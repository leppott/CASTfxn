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Current\OtherGov\City of San Diego\FY2018\pkg data\"/>
    </mc:Choice>
  </mc:AlternateContent>
  <bookViews>
    <workbookView xWindow="480" yWindow="1935" windowWidth="14355" windowHeight="9780" activeTab="1"/>
  </bookViews>
  <sheets>
    <sheet name="NOTES" sheetId="1" r:id="rId1"/>
    <sheet name="data.SampSummary" sheetId="2" r:id="rId2"/>
    <sheet name="chem" sheetId="5" r:id="rId3"/>
    <sheet name="Habitat" sheetId="4" r:id="rId4"/>
  </sheets>
  <definedNames>
    <definedName name="_xlnm._FilterDatabase" localSheetId="2" hidden="1">chem!$A$1:$D$2543</definedName>
    <definedName name="_xlnm._FilterDatabase" localSheetId="1" hidden="1">data.SampSummary!$A$1:$G$3578</definedName>
    <definedName name="_xlnm._FilterDatabase" localSheetId="3" hidden="1">Habitat!$A$1:$E$1318</definedName>
    <definedName name="FileName">NOTES!$B$8</definedName>
  </definedNames>
  <calcPr calcId="171027"/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2" i="4"/>
  <c r="C1" i="4"/>
  <c r="D2322" i="5" l="1"/>
  <c r="D2543" i="5"/>
  <c r="D2539" i="5"/>
  <c r="D2535" i="5"/>
  <c r="D2531" i="5"/>
  <c r="D2527" i="5"/>
  <c r="D2523" i="5"/>
  <c r="D2519" i="5"/>
  <c r="D2515" i="5"/>
  <c r="D2511" i="5"/>
  <c r="D2507" i="5"/>
  <c r="D2503" i="5"/>
  <c r="D2499" i="5"/>
  <c r="D2495" i="5"/>
  <c r="D2491" i="5"/>
  <c r="D2487" i="5"/>
  <c r="D2483" i="5"/>
  <c r="D2479" i="5"/>
  <c r="D2475" i="5"/>
  <c r="D2471" i="5"/>
  <c r="D2467" i="5"/>
  <c r="D2463" i="5"/>
  <c r="D2459" i="5"/>
  <c r="D2455" i="5"/>
  <c r="D2451" i="5"/>
  <c r="D2447" i="5"/>
  <c r="D2443" i="5"/>
  <c r="D2439" i="5"/>
  <c r="D2435" i="5"/>
  <c r="D2431" i="5"/>
  <c r="D2427" i="5"/>
  <c r="D2423" i="5"/>
  <c r="D2419" i="5"/>
  <c r="D2415" i="5"/>
  <c r="D2411" i="5"/>
  <c r="D2407" i="5"/>
  <c r="D2403" i="5"/>
  <c r="D2399" i="5"/>
  <c r="D2395" i="5"/>
  <c r="D2391" i="5"/>
  <c r="D2387" i="5"/>
  <c r="D2383" i="5"/>
  <c r="D2379" i="5"/>
  <c r="D2375" i="5"/>
  <c r="D2371" i="5"/>
  <c r="D2367" i="5"/>
  <c r="D2363" i="5"/>
  <c r="D2359" i="5"/>
  <c r="D2355" i="5"/>
  <c r="D2351" i="5"/>
  <c r="D2347" i="5"/>
  <c r="D2343" i="5"/>
  <c r="D2339" i="5"/>
  <c r="D2335" i="5"/>
  <c r="D2331" i="5"/>
  <c r="D2327" i="5"/>
  <c r="D2323" i="5"/>
  <c r="D2319" i="5"/>
  <c r="D2315" i="5"/>
  <c r="D2311" i="5"/>
  <c r="D2307" i="5"/>
  <c r="D2303" i="5"/>
  <c r="D2299" i="5"/>
  <c r="D2295" i="5"/>
  <c r="D2486" i="5"/>
  <c r="D2478" i="5"/>
  <c r="D2466" i="5"/>
  <c r="D2454" i="5"/>
  <c r="D2442" i="5"/>
  <c r="D2430" i="5"/>
  <c r="D2418" i="5"/>
  <c r="D2406" i="5"/>
  <c r="D2394" i="5"/>
  <c r="D2382" i="5"/>
  <c r="D2370" i="5"/>
  <c r="D2358" i="5"/>
  <c r="D2346" i="5"/>
  <c r="D2330" i="5"/>
  <c r="D2542" i="5"/>
  <c r="D2538" i="5"/>
  <c r="D2534" i="5"/>
  <c r="D2530" i="5"/>
  <c r="D2526" i="5"/>
  <c r="D2522" i="5"/>
  <c r="D2518" i="5"/>
  <c r="D2514" i="5"/>
  <c r="D2510" i="5"/>
  <c r="D2506" i="5"/>
  <c r="D2502" i="5"/>
  <c r="D2498" i="5"/>
  <c r="D2494" i="5"/>
  <c r="D2490" i="5"/>
  <c r="D2482" i="5"/>
  <c r="D2474" i="5"/>
  <c r="D2470" i="5"/>
  <c r="D2462" i="5"/>
  <c r="D2458" i="5"/>
  <c r="D2450" i="5"/>
  <c r="D2446" i="5"/>
  <c r="D2438" i="5"/>
  <c r="D2434" i="5"/>
  <c r="D2426" i="5"/>
  <c r="D2422" i="5"/>
  <c r="D2414" i="5"/>
  <c r="D2410" i="5"/>
  <c r="D2402" i="5"/>
  <c r="D2398" i="5"/>
  <c r="D2390" i="5"/>
  <c r="D2386" i="5"/>
  <c r="D2378" i="5"/>
  <c r="D2374" i="5"/>
  <c r="D2366" i="5"/>
  <c r="D2362" i="5"/>
  <c r="D2354" i="5"/>
  <c r="D2350" i="5"/>
  <c r="D2342" i="5"/>
  <c r="D2338" i="5"/>
  <c r="D2334" i="5"/>
  <c r="D2326" i="5"/>
  <c r="E860" i="4"/>
  <c r="D2291" i="5"/>
  <c r="D2287" i="5"/>
  <c r="D2283" i="5"/>
  <c r="D2279" i="5"/>
  <c r="D2275" i="5"/>
  <c r="D2271" i="5"/>
  <c r="D2267" i="5"/>
  <c r="D2263" i="5"/>
  <c r="D2259" i="5"/>
  <c r="D2255" i="5"/>
  <c r="D2251" i="5"/>
  <c r="D2247" i="5"/>
  <c r="D2243" i="5"/>
  <c r="D2239" i="5"/>
  <c r="D2235" i="5"/>
  <c r="D2231" i="5"/>
  <c r="D2227" i="5"/>
  <c r="D2223" i="5"/>
  <c r="D2219" i="5"/>
  <c r="D2215" i="5"/>
  <c r="D2211" i="5"/>
  <c r="D2207" i="5"/>
  <c r="D2203" i="5"/>
  <c r="D2199" i="5"/>
  <c r="D2195" i="5"/>
  <c r="D2191" i="5"/>
  <c r="D2187" i="5"/>
  <c r="D2183" i="5"/>
  <c r="D2179" i="5"/>
  <c r="D2175" i="5"/>
  <c r="D2171" i="5"/>
  <c r="D2167" i="5"/>
  <c r="D2163" i="5"/>
  <c r="D2159" i="5"/>
  <c r="D2155" i="5"/>
  <c r="D2151" i="5"/>
  <c r="D2147" i="5"/>
  <c r="D2143" i="5"/>
  <c r="D2139" i="5"/>
  <c r="D2135" i="5"/>
  <c r="D2131" i="5"/>
  <c r="D2127" i="5"/>
  <c r="D2123" i="5"/>
  <c r="D2119" i="5"/>
  <c r="D2115" i="5"/>
  <c r="D2111" i="5"/>
  <c r="D2107" i="5"/>
  <c r="D2103" i="5"/>
  <c r="D2099" i="5"/>
  <c r="D2095" i="5"/>
  <c r="D2091" i="5"/>
  <c r="D2087" i="5"/>
  <c r="D2083" i="5"/>
  <c r="D2079" i="5"/>
  <c r="D2075" i="5"/>
  <c r="D2071" i="5"/>
  <c r="D2067" i="5"/>
  <c r="D2063" i="5"/>
  <c r="D2059" i="5"/>
  <c r="D2055" i="5"/>
  <c r="D2051" i="5"/>
  <c r="D2047" i="5"/>
  <c r="D2043" i="5"/>
  <c r="D2039" i="5"/>
  <c r="D2035" i="5"/>
  <c r="D2031" i="5"/>
  <c r="D2027" i="5"/>
  <c r="D2023" i="5"/>
  <c r="D2019" i="5"/>
  <c r="D2015" i="5"/>
  <c r="D2011" i="5"/>
  <c r="D2007" i="5"/>
  <c r="D2003" i="5"/>
  <c r="D1999" i="5"/>
  <c r="D1995" i="5"/>
  <c r="D1991" i="5"/>
  <c r="D1987" i="5"/>
  <c r="D1983" i="5"/>
  <c r="D1979" i="5"/>
  <c r="D1975" i="5"/>
  <c r="D1971" i="5"/>
  <c r="D1967" i="5"/>
  <c r="D1963" i="5"/>
  <c r="D1959" i="5"/>
  <c r="D1955" i="5"/>
  <c r="D1951" i="5"/>
  <c r="D1947" i="5"/>
  <c r="D1943" i="5"/>
  <c r="D1939" i="5"/>
  <c r="D1935" i="5"/>
  <c r="D1931" i="5"/>
  <c r="D1927" i="5"/>
  <c r="D1923" i="5"/>
  <c r="D1919" i="5"/>
  <c r="D1915" i="5"/>
  <c r="D1911" i="5"/>
  <c r="D1907" i="5"/>
  <c r="D1903" i="5"/>
  <c r="D1899" i="5"/>
  <c r="D1895" i="5"/>
  <c r="D1891" i="5"/>
  <c r="D1887" i="5"/>
  <c r="D1883" i="5"/>
  <c r="D1879" i="5"/>
  <c r="D1875" i="5"/>
  <c r="D1871" i="5"/>
  <c r="D1867" i="5"/>
  <c r="D1863" i="5"/>
  <c r="D1859" i="5"/>
  <c r="D1855" i="5"/>
  <c r="D1851" i="5"/>
  <c r="D1847" i="5"/>
  <c r="D1843" i="5"/>
  <c r="D1839" i="5"/>
  <c r="D1835" i="5"/>
  <c r="D1831" i="5"/>
  <c r="D1827" i="5"/>
  <c r="D1823" i="5"/>
  <c r="D1819" i="5"/>
  <c r="D1815" i="5"/>
  <c r="D1811" i="5"/>
  <c r="D1807" i="5"/>
  <c r="D1803" i="5"/>
  <c r="D1799" i="5"/>
  <c r="D1795" i="5"/>
  <c r="D1791" i="5"/>
  <c r="D1787" i="5"/>
  <c r="D1783" i="5"/>
  <c r="D1779" i="5"/>
  <c r="D1775" i="5"/>
  <c r="D1771" i="5"/>
  <c r="D1767" i="5"/>
  <c r="D1763" i="5"/>
  <c r="D1759" i="5"/>
  <c r="D1755" i="5"/>
  <c r="D1751" i="5"/>
  <c r="D1747" i="5"/>
  <c r="D1743" i="5"/>
  <c r="D1739" i="5"/>
  <c r="D1735" i="5"/>
  <c r="D1731" i="5"/>
  <c r="D1727" i="5"/>
  <c r="D1723" i="5"/>
  <c r="D1719" i="5"/>
  <c r="D1715" i="5"/>
  <c r="D1711" i="5"/>
  <c r="D1707" i="5"/>
  <c r="D1703" i="5"/>
  <c r="D1699" i="5"/>
  <c r="D1695" i="5"/>
  <c r="D1691" i="5"/>
  <c r="D1687" i="5"/>
  <c r="D1683" i="5"/>
  <c r="D1679" i="5"/>
  <c r="D1675" i="5"/>
  <c r="D1671" i="5"/>
  <c r="D1667" i="5"/>
  <c r="D1663" i="5"/>
  <c r="D1659" i="5"/>
  <c r="D1655" i="5"/>
  <c r="D1651" i="5"/>
  <c r="D1647" i="5"/>
  <c r="D1643" i="5"/>
  <c r="D1639" i="5"/>
  <c r="D1635" i="5"/>
  <c r="D1631" i="5"/>
  <c r="D1627" i="5"/>
  <c r="D1623" i="5"/>
  <c r="D1619" i="5"/>
  <c r="D1615" i="5"/>
  <c r="D2318" i="5"/>
  <c r="D2314" i="5"/>
  <c r="D2310" i="5"/>
  <c r="D2306" i="5"/>
  <c r="D2302" i="5"/>
  <c r="D2298" i="5"/>
  <c r="D2294" i="5"/>
  <c r="D2290" i="5"/>
  <c r="D2286" i="5"/>
  <c r="D2282" i="5"/>
  <c r="D2278" i="5"/>
  <c r="D2274" i="5"/>
  <c r="D2270" i="5"/>
  <c r="D2266" i="5"/>
  <c r="D2262" i="5"/>
  <c r="D2258" i="5"/>
  <c r="D2254" i="5"/>
  <c r="D2250" i="5"/>
  <c r="D2246" i="5"/>
  <c r="D2242" i="5"/>
  <c r="D2238" i="5"/>
  <c r="D2234" i="5"/>
  <c r="D2230" i="5"/>
  <c r="D2226" i="5"/>
  <c r="D2222" i="5"/>
  <c r="D2218" i="5"/>
  <c r="D2214" i="5"/>
  <c r="D2210" i="5"/>
  <c r="D2206" i="5"/>
  <c r="D2202" i="5"/>
  <c r="D2198" i="5"/>
  <c r="D2194" i="5"/>
  <c r="D2190" i="5"/>
  <c r="D2186" i="5"/>
  <c r="D2182" i="5"/>
  <c r="D2178" i="5"/>
  <c r="D2174" i="5"/>
  <c r="D2170" i="5"/>
  <c r="D2166" i="5"/>
  <c r="D2162" i="5"/>
  <c r="D2158" i="5"/>
  <c r="D2154" i="5"/>
  <c r="D2150" i="5"/>
  <c r="D2146" i="5"/>
  <c r="D2142" i="5"/>
  <c r="D2138" i="5"/>
  <c r="D2134" i="5"/>
  <c r="D2130" i="5"/>
  <c r="D2126" i="5"/>
  <c r="D2122" i="5"/>
  <c r="D2118" i="5"/>
  <c r="D2114" i="5"/>
  <c r="D2110" i="5"/>
  <c r="D2106" i="5"/>
  <c r="D2102" i="5"/>
  <c r="D2098" i="5"/>
  <c r="D2094" i="5"/>
  <c r="D2090" i="5"/>
  <c r="D2086" i="5"/>
  <c r="D2082" i="5"/>
  <c r="D2078" i="5"/>
  <c r="D2074" i="5"/>
  <c r="D2070" i="5"/>
  <c r="D2066" i="5"/>
  <c r="D2062" i="5"/>
  <c r="D2058" i="5"/>
  <c r="D2054" i="5"/>
  <c r="D2050" i="5"/>
  <c r="D2046" i="5"/>
  <c r="D2042" i="5"/>
  <c r="D2038" i="5"/>
  <c r="D2034" i="5"/>
  <c r="D2030" i="5"/>
  <c r="D2026" i="5"/>
  <c r="D2022" i="5"/>
  <c r="D2018" i="5"/>
  <c r="D2014" i="5"/>
  <c r="D2010" i="5"/>
  <c r="D2006" i="5"/>
  <c r="D2002" i="5"/>
  <c r="D1998" i="5"/>
  <c r="D1994" i="5"/>
  <c r="D1990" i="5"/>
  <c r="D1986" i="5"/>
  <c r="D1982" i="5"/>
  <c r="D1978" i="5"/>
  <c r="D1974" i="5"/>
  <c r="D1970" i="5"/>
  <c r="D1966" i="5"/>
  <c r="D1962" i="5"/>
  <c r="D1958" i="5"/>
  <c r="D1954" i="5"/>
  <c r="D1950" i="5"/>
  <c r="D1946" i="5"/>
  <c r="D1942" i="5"/>
  <c r="D1938" i="5"/>
  <c r="D1934" i="5"/>
  <c r="D1930" i="5"/>
  <c r="D1926" i="5"/>
  <c r="D1922" i="5"/>
  <c r="D1918" i="5"/>
  <c r="D1914" i="5"/>
  <c r="D1910" i="5"/>
  <c r="D1906" i="5"/>
  <c r="D1902" i="5"/>
  <c r="D1898" i="5"/>
  <c r="D1894" i="5"/>
  <c r="D1890" i="5"/>
  <c r="D1886" i="5"/>
  <c r="D1882" i="5"/>
  <c r="D1878" i="5"/>
  <c r="D1874" i="5"/>
  <c r="D1870" i="5"/>
  <c r="D1866" i="5"/>
  <c r="D1862" i="5"/>
  <c r="D1858" i="5"/>
  <c r="D1854" i="5"/>
  <c r="D1850" i="5"/>
  <c r="D1846" i="5"/>
  <c r="D1842" i="5"/>
  <c r="D1838" i="5"/>
  <c r="D1834" i="5"/>
  <c r="D1830" i="5"/>
  <c r="D1826" i="5"/>
  <c r="D1822" i="5"/>
  <c r="D1818" i="5"/>
  <c r="D1814" i="5"/>
  <c r="D1810" i="5"/>
  <c r="D1806" i="5"/>
  <c r="D1802" i="5"/>
  <c r="D1798" i="5"/>
  <c r="D1794" i="5"/>
  <c r="D1790" i="5"/>
  <c r="D1786" i="5"/>
  <c r="D1782" i="5"/>
  <c r="D1778" i="5"/>
  <c r="D1774" i="5"/>
  <c r="D1770" i="5"/>
  <c r="D1766" i="5"/>
  <c r="D1762" i="5"/>
  <c r="D1758" i="5"/>
  <c r="D1754" i="5"/>
  <c r="D1750" i="5"/>
  <c r="D1746" i="5"/>
  <c r="D1742" i="5"/>
  <c r="D1738" i="5"/>
  <c r="D1734" i="5"/>
  <c r="D1730" i="5"/>
  <c r="D1726" i="5"/>
  <c r="D1722" i="5"/>
  <c r="D1718" i="5"/>
  <c r="D1714" i="5"/>
  <c r="D1710" i="5"/>
  <c r="D1706" i="5"/>
  <c r="D1702" i="5"/>
  <c r="D1698" i="5"/>
  <c r="D1694" i="5"/>
  <c r="D1690" i="5"/>
  <c r="D1686" i="5"/>
  <c r="D1682" i="5"/>
  <c r="D1678" i="5"/>
  <c r="D1674" i="5"/>
  <c r="D1670" i="5"/>
  <c r="D1666" i="5"/>
  <c r="D1662" i="5"/>
  <c r="D1658" i="5"/>
  <c r="D1654" i="5"/>
  <c r="D1650" i="5"/>
  <c r="D1646" i="5"/>
  <c r="D1642" i="5"/>
  <c r="D1638" i="5"/>
  <c r="D1634" i="5"/>
  <c r="D1630" i="5"/>
  <c r="D1626" i="5"/>
  <c r="D1622" i="5"/>
  <c r="D1618" i="5"/>
  <c r="D1614" i="5"/>
  <c r="D1610" i="5"/>
  <c r="D1606" i="5"/>
  <c r="D1602" i="5"/>
  <c r="D1598" i="5"/>
  <c r="D1594" i="5"/>
  <c r="D1590" i="5"/>
  <c r="D1586" i="5"/>
  <c r="D1582" i="5"/>
  <c r="D1578" i="5"/>
  <c r="D1574" i="5"/>
  <c r="D1570" i="5"/>
  <c r="D1566" i="5"/>
  <c r="D1562" i="5"/>
  <c r="D1558" i="5"/>
  <c r="D1554" i="5"/>
  <c r="D1550" i="5"/>
  <c r="D1546" i="5"/>
  <c r="D1542" i="5"/>
  <c r="D1538" i="5"/>
  <c r="D1534" i="5"/>
  <c r="D1530" i="5"/>
  <c r="D1526" i="5"/>
  <c r="D1522" i="5"/>
  <c r="D1518" i="5"/>
  <c r="D1514" i="5"/>
  <c r="D1510" i="5"/>
  <c r="D1506" i="5"/>
  <c r="D1502" i="5"/>
  <c r="D1498" i="5"/>
  <c r="D1494" i="5"/>
  <c r="D1490" i="5"/>
  <c r="D1486" i="5"/>
  <c r="D1482" i="5"/>
  <c r="D1478" i="5"/>
  <c r="D1474" i="5"/>
  <c r="D1470" i="5"/>
  <c r="D1466" i="5"/>
  <c r="D1462" i="5"/>
  <c r="D1458" i="5"/>
  <c r="D1454" i="5"/>
  <c r="D1450" i="5"/>
  <c r="D1446" i="5"/>
  <c r="D1442" i="5"/>
  <c r="D1438" i="5"/>
  <c r="D1434" i="5"/>
  <c r="D1430" i="5"/>
  <c r="D1426" i="5"/>
  <c r="D1422" i="5"/>
  <c r="D1418" i="5"/>
  <c r="D1414" i="5"/>
  <c r="D1410" i="5"/>
  <c r="D1406" i="5"/>
  <c r="D1402" i="5"/>
  <c r="D1398" i="5"/>
  <c r="D1394" i="5"/>
  <c r="D1390" i="5"/>
  <c r="D1386" i="5"/>
  <c r="D1382" i="5"/>
  <c r="D1378" i="5"/>
  <c r="D1374" i="5"/>
  <c r="D1370" i="5"/>
  <c r="D1366" i="5"/>
  <c r="D1362" i="5"/>
  <c r="D1358" i="5"/>
  <c r="D1354" i="5"/>
  <c r="D1350" i="5"/>
  <c r="D1346" i="5"/>
  <c r="D1342" i="5"/>
  <c r="D1338" i="5"/>
  <c r="D1334" i="5"/>
  <c r="D1330" i="5"/>
  <c r="D1326" i="5"/>
  <c r="D1322" i="5"/>
  <c r="D1318" i="5"/>
  <c r="D1314" i="5"/>
  <c r="D1310" i="5"/>
  <c r="D1306" i="5"/>
  <c r="D1302" i="5"/>
  <c r="D1298" i="5"/>
  <c r="D1294" i="5"/>
  <c r="D1290" i="5"/>
  <c r="D1286" i="5"/>
  <c r="D1282" i="5"/>
  <c r="D1278" i="5"/>
  <c r="D1274" i="5"/>
  <c r="D1270" i="5"/>
  <c r="D1266" i="5"/>
  <c r="D1262" i="5"/>
  <c r="D1258" i="5"/>
  <c r="D1254" i="5"/>
  <c r="D1250" i="5"/>
  <c r="D1246" i="5"/>
  <c r="D1242" i="5"/>
  <c r="D1238" i="5"/>
  <c r="D1234" i="5"/>
  <c r="D1230" i="5"/>
  <c r="D1226" i="5"/>
  <c r="D1222" i="5"/>
  <c r="D1218" i="5"/>
  <c r="D1214" i="5"/>
  <c r="D1210" i="5"/>
  <c r="D1206" i="5"/>
  <c r="D1202" i="5"/>
  <c r="D1198" i="5"/>
  <c r="D1194" i="5"/>
  <c r="D1190" i="5"/>
  <c r="D1186" i="5"/>
  <c r="D1182" i="5"/>
  <c r="D1178" i="5"/>
  <c r="D1174" i="5"/>
  <c r="D1170" i="5"/>
  <c r="D1166" i="5"/>
  <c r="D1162" i="5"/>
  <c r="D1158" i="5"/>
  <c r="D1154" i="5"/>
  <c r="D1150" i="5"/>
  <c r="D1146" i="5"/>
  <c r="D1142" i="5"/>
  <c r="D1138" i="5"/>
  <c r="D1134" i="5"/>
  <c r="D1130" i="5"/>
  <c r="D1126" i="5"/>
  <c r="D1122" i="5"/>
  <c r="D1118" i="5"/>
  <c r="D1114" i="5"/>
  <c r="D1110" i="5"/>
  <c r="D1106" i="5"/>
  <c r="D1102" i="5"/>
  <c r="D1098" i="5"/>
  <c r="D1094" i="5"/>
  <c r="D1090" i="5"/>
  <c r="D1086" i="5"/>
  <c r="D1082" i="5"/>
  <c r="D1078" i="5"/>
  <c r="D1074" i="5"/>
  <c r="D1070" i="5"/>
  <c r="D1066" i="5"/>
  <c r="D1062" i="5"/>
  <c r="D1058" i="5"/>
  <c r="D1054" i="5"/>
  <c r="D1050" i="5"/>
  <c r="D1046" i="5"/>
  <c r="D1042" i="5"/>
  <c r="D1038" i="5"/>
  <c r="D1034" i="5"/>
  <c r="D1030" i="5"/>
  <c r="D1026" i="5"/>
  <c r="D1022" i="5"/>
  <c r="D1018" i="5"/>
  <c r="D1014" i="5"/>
  <c r="D1010" i="5"/>
  <c r="E823" i="4"/>
  <c r="D37" i="5"/>
  <c r="D93" i="5"/>
  <c r="D269" i="5"/>
  <c r="D501" i="5"/>
  <c r="D671" i="5"/>
  <c r="D807" i="5"/>
  <c r="D885" i="5"/>
  <c r="D977" i="5"/>
  <c r="D1063" i="5"/>
  <c r="D1141" i="5"/>
  <c r="D1233" i="5"/>
  <c r="D1319" i="5"/>
  <c r="D1397" i="5"/>
  <c r="D1489" i="5"/>
  <c r="D1645" i="5"/>
  <c r="D1821" i="5"/>
  <c r="D1985" i="5"/>
  <c r="D2149" i="5"/>
  <c r="D2333" i="5"/>
  <c r="D2497" i="5"/>
  <c r="D49" i="5"/>
  <c r="D117" i="5"/>
  <c r="D443" i="5"/>
  <c r="D699" i="5"/>
  <c r="D849" i="5"/>
  <c r="D949" i="5"/>
  <c r="D1077" i="5"/>
  <c r="D1191" i="5"/>
  <c r="D1297" i="5"/>
  <c r="D1425" i="5"/>
  <c r="D1553" i="5"/>
  <c r="D1765" i="5"/>
  <c r="D2021" i="5"/>
  <c r="D2241" i="5"/>
  <c r="D2461" i="5"/>
  <c r="D65" i="5"/>
  <c r="D373" i="5"/>
  <c r="D629" i="5"/>
  <c r="D871" i="5"/>
  <c r="D1013" i="5"/>
  <c r="D1169" i="5"/>
  <c r="D1333" i="5"/>
  <c r="D1461" i="5"/>
  <c r="D1729" i="5"/>
  <c r="D2077" i="5"/>
  <c r="D2369" i="5"/>
  <c r="D21" i="5"/>
  <c r="D193" i="5"/>
  <c r="D763" i="5"/>
  <c r="D935" i="5"/>
  <c r="D1127" i="5"/>
  <c r="D1361" i="5"/>
  <c r="D1589" i="5"/>
  <c r="D1949" i="5"/>
  <c r="D2405" i="5"/>
  <c r="D77" i="5"/>
  <c r="D543" i="5"/>
  <c r="D821" i="5"/>
  <c r="D1041" i="5"/>
  <c r="D1255" i="5"/>
  <c r="D1447" i="5"/>
  <c r="D1857" i="5"/>
  <c r="D2205" i="5"/>
  <c r="D13" i="5"/>
  <c r="D113" i="5"/>
  <c r="D571" i="5"/>
  <c r="D913" i="5"/>
  <c r="D1105" i="5"/>
  <c r="D1269" i="5"/>
  <c r="D1511" i="5"/>
  <c r="D1893" i="5"/>
  <c r="D2277" i="5"/>
  <c r="D415" i="5"/>
  <c r="D1383" i="5"/>
  <c r="D999" i="5"/>
  <c r="D2113" i="5"/>
  <c r="D29" i="5"/>
  <c r="D1205" i="5"/>
  <c r="D2533" i="5"/>
  <c r="D1693" i="5"/>
  <c r="D785" i="5"/>
  <c r="D2541" i="5"/>
  <c r="D2537" i="5"/>
  <c r="D2529" i="5"/>
  <c r="D2525" i="5"/>
  <c r="D2521" i="5"/>
  <c r="D2517" i="5"/>
  <c r="D2513" i="5"/>
  <c r="D2509" i="5"/>
  <c r="D2505" i="5"/>
  <c r="D2501" i="5"/>
  <c r="D2493" i="5"/>
  <c r="D2489" i="5"/>
  <c r="D2485" i="5"/>
  <c r="D2481" i="5"/>
  <c r="D2477" i="5"/>
  <c r="D2473" i="5"/>
  <c r="D2469" i="5"/>
  <c r="D2465" i="5"/>
  <c r="D2457" i="5"/>
  <c r="D2453" i="5"/>
  <c r="D2449" i="5"/>
  <c r="D2445" i="5"/>
  <c r="D2441" i="5"/>
  <c r="D2437" i="5"/>
  <c r="D2433" i="5"/>
  <c r="D2429" i="5"/>
  <c r="D2425" i="5"/>
  <c r="D2421" i="5"/>
  <c r="D2417" i="5"/>
  <c r="D2413" i="5"/>
  <c r="D2409" i="5"/>
  <c r="D2401" i="5"/>
  <c r="D2397" i="5"/>
  <c r="D2393" i="5"/>
  <c r="D2389" i="5"/>
  <c r="D2385" i="5"/>
  <c r="D2381" i="5"/>
  <c r="D2377" i="5"/>
  <c r="D2373" i="5"/>
  <c r="D2365" i="5"/>
  <c r="D2361" i="5"/>
  <c r="D2357" i="5"/>
  <c r="D2353" i="5"/>
  <c r="D2349" i="5"/>
  <c r="D2345" i="5"/>
  <c r="D2341" i="5"/>
  <c r="D2337" i="5"/>
  <c r="D2329" i="5"/>
  <c r="D2325" i="5"/>
  <c r="D2321" i="5"/>
  <c r="D2317" i="5"/>
  <c r="D2313" i="5"/>
  <c r="D2309" i="5"/>
  <c r="D2305" i="5"/>
  <c r="D2301" i="5"/>
  <c r="D2297" i="5"/>
  <c r="D2293" i="5"/>
  <c r="D2289" i="5"/>
  <c r="D2285" i="5"/>
  <c r="D2281" i="5"/>
  <c r="D2273" i="5"/>
  <c r="D2269" i="5"/>
  <c r="D2265" i="5"/>
  <c r="D2261" i="5"/>
  <c r="D2257" i="5"/>
  <c r="D2253" i="5"/>
  <c r="D2249" i="5"/>
  <c r="D2245" i="5"/>
  <c r="D2237" i="5"/>
  <c r="D2233" i="5"/>
  <c r="D2229" i="5"/>
  <c r="D2225" i="5"/>
  <c r="D2221" i="5"/>
  <c r="D2217" i="5"/>
  <c r="D2213" i="5"/>
  <c r="D2209" i="5"/>
  <c r="D2201" i="5"/>
  <c r="D2197" i="5"/>
  <c r="D2193" i="5"/>
  <c r="D2189" i="5"/>
  <c r="D2185" i="5"/>
  <c r="D2181" i="5"/>
  <c r="D2177" i="5"/>
  <c r="D2173" i="5"/>
  <c r="D2169" i="5"/>
  <c r="D2165" i="5"/>
  <c r="D2161" i="5"/>
  <c r="D2157" i="5"/>
  <c r="D2153" i="5"/>
  <c r="D2145" i="5"/>
  <c r="D2141" i="5"/>
  <c r="D2137" i="5"/>
  <c r="D2133" i="5"/>
  <c r="D2129" i="5"/>
  <c r="D2125" i="5"/>
  <c r="D2121" i="5"/>
  <c r="D2117" i="5"/>
  <c r="D2109" i="5"/>
  <c r="D2105" i="5"/>
  <c r="D2101" i="5"/>
  <c r="D2097" i="5"/>
  <c r="D2093" i="5"/>
  <c r="D2089" i="5"/>
  <c r="D2085" i="5"/>
  <c r="D2081" i="5"/>
  <c r="D2073" i="5"/>
  <c r="D2069" i="5"/>
  <c r="D2065" i="5"/>
  <c r="D2061" i="5"/>
  <c r="D2057" i="5"/>
  <c r="D2053" i="5"/>
  <c r="D2049" i="5"/>
  <c r="D2045" i="5"/>
  <c r="D2041" i="5"/>
  <c r="D2037" i="5"/>
  <c r="D2033" i="5"/>
  <c r="D2029" i="5"/>
  <c r="D2025" i="5"/>
  <c r="D2017" i="5"/>
  <c r="D2013" i="5"/>
  <c r="D2009" i="5"/>
  <c r="D2005" i="5"/>
  <c r="D2001" i="5"/>
  <c r="D1997" i="5"/>
  <c r="D1993" i="5"/>
  <c r="D1989" i="5"/>
  <c r="D1981" i="5"/>
  <c r="D1977" i="5"/>
  <c r="D1973" i="5"/>
  <c r="D1969" i="5"/>
  <c r="D2" i="5"/>
  <c r="D2540" i="5"/>
  <c r="D2536" i="5"/>
  <c r="D2532" i="5"/>
  <c r="D2528" i="5"/>
  <c r="D2524" i="5"/>
  <c r="D2520" i="5"/>
  <c r="D2516" i="5"/>
  <c r="D2512" i="5"/>
  <c r="D2508" i="5"/>
  <c r="D2504" i="5"/>
  <c r="D2500" i="5"/>
  <c r="D2496" i="5"/>
  <c r="D2492" i="5"/>
  <c r="D2488" i="5"/>
  <c r="D2484" i="5"/>
  <c r="D2480" i="5"/>
  <c r="D2476" i="5"/>
  <c r="D2472" i="5"/>
  <c r="D2468" i="5"/>
  <c r="D2464" i="5"/>
  <c r="D2460" i="5"/>
  <c r="D2456" i="5"/>
  <c r="D2452" i="5"/>
  <c r="D2448" i="5"/>
  <c r="D2444" i="5"/>
  <c r="D2440" i="5"/>
  <c r="D2436" i="5"/>
  <c r="D2432" i="5"/>
  <c r="D2428" i="5"/>
  <c r="D2424" i="5"/>
  <c r="D2420" i="5"/>
  <c r="D2416" i="5"/>
  <c r="D2412" i="5"/>
  <c r="D2408" i="5"/>
  <c r="D2404" i="5"/>
  <c r="D2400" i="5"/>
  <c r="D2396" i="5"/>
  <c r="D2392" i="5"/>
  <c r="D2388" i="5"/>
  <c r="D2384" i="5"/>
  <c r="D2380" i="5"/>
  <c r="D2376" i="5"/>
  <c r="D2372" i="5"/>
  <c r="D2368" i="5"/>
  <c r="D2364" i="5"/>
  <c r="D2360" i="5"/>
  <c r="D2356" i="5"/>
  <c r="D2352" i="5"/>
  <c r="D2348" i="5"/>
  <c r="D2344" i="5"/>
  <c r="D2340" i="5"/>
  <c r="D2336" i="5"/>
  <c r="D2332" i="5"/>
  <c r="D2328" i="5"/>
  <c r="D2324" i="5"/>
  <c r="D2320" i="5"/>
  <c r="D2316" i="5"/>
  <c r="D2312" i="5"/>
  <c r="D2308" i="5"/>
  <c r="D2304" i="5"/>
  <c r="D2300" i="5"/>
  <c r="D2296" i="5"/>
  <c r="D2292" i="5"/>
  <c r="D2288" i="5"/>
  <c r="D2284" i="5"/>
  <c r="D2280" i="5"/>
  <c r="D2276" i="5"/>
  <c r="D2272" i="5"/>
  <c r="D2268" i="5"/>
  <c r="D2264" i="5"/>
  <c r="D2260" i="5"/>
  <c r="D2256" i="5"/>
  <c r="D2252" i="5"/>
  <c r="D2248" i="5"/>
  <c r="D2244" i="5"/>
  <c r="D2240" i="5"/>
  <c r="D2236" i="5"/>
  <c r="D2232" i="5"/>
  <c r="D2228" i="5"/>
  <c r="D2224" i="5"/>
  <c r="D2220" i="5"/>
  <c r="D2216" i="5"/>
  <c r="D2212" i="5"/>
  <c r="D2208" i="5"/>
  <c r="D2204" i="5"/>
  <c r="D2200" i="5"/>
  <c r="D2196" i="5"/>
  <c r="D2192" i="5"/>
  <c r="D2188" i="5"/>
  <c r="D2184" i="5"/>
  <c r="D2180" i="5"/>
  <c r="D2176" i="5"/>
  <c r="D2172" i="5"/>
  <c r="D2168" i="5"/>
  <c r="D2164" i="5"/>
  <c r="D2160" i="5"/>
  <c r="D2156" i="5"/>
  <c r="D2152" i="5"/>
  <c r="D2148" i="5"/>
  <c r="D2144" i="5"/>
  <c r="D2140" i="5"/>
  <c r="D2136" i="5"/>
  <c r="D2132" i="5"/>
  <c r="D2128" i="5"/>
  <c r="D2124" i="5"/>
  <c r="D2120" i="5"/>
  <c r="D2116" i="5"/>
  <c r="D2112" i="5"/>
  <c r="D2108" i="5"/>
  <c r="D2104" i="5"/>
  <c r="D2100" i="5"/>
  <c r="D2096" i="5"/>
  <c r="D2092" i="5"/>
  <c r="D2088" i="5"/>
  <c r="D2084" i="5"/>
  <c r="D2080" i="5"/>
  <c r="D2076" i="5"/>
  <c r="D2072" i="5"/>
  <c r="D2068" i="5"/>
  <c r="D2064" i="5"/>
  <c r="D2060" i="5"/>
  <c r="D2056" i="5"/>
  <c r="D2052" i="5"/>
  <c r="D2048" i="5"/>
  <c r="D2044" i="5"/>
  <c r="D2040" i="5"/>
  <c r="D2036" i="5"/>
  <c r="D2032" i="5"/>
  <c r="D2028" i="5"/>
  <c r="D2024" i="5"/>
  <c r="D2020" i="5"/>
  <c r="D2016" i="5"/>
  <c r="D2012" i="5"/>
  <c r="D2008" i="5"/>
  <c r="D2004" i="5"/>
  <c r="D2000" i="5"/>
  <c r="D1996" i="5"/>
  <c r="D1992" i="5"/>
  <c r="D1988" i="5"/>
  <c r="D1984" i="5"/>
  <c r="D1980" i="5"/>
  <c r="D1976" i="5"/>
  <c r="D1972" i="5"/>
  <c r="D1968" i="5"/>
  <c r="D1964" i="5"/>
  <c r="D1960" i="5"/>
  <c r="D1956" i="5"/>
  <c r="D1952" i="5"/>
  <c r="D1948" i="5"/>
  <c r="D1944" i="5"/>
  <c r="D1940" i="5"/>
  <c r="D1936" i="5"/>
  <c r="D1932" i="5"/>
  <c r="D1928" i="5"/>
  <c r="D1924" i="5"/>
  <c r="D1920" i="5"/>
  <c r="D1916" i="5"/>
  <c r="D1912" i="5"/>
  <c r="D1908" i="5"/>
  <c r="D1904" i="5"/>
  <c r="D1900" i="5"/>
  <c r="D1896" i="5"/>
  <c r="D1892" i="5"/>
  <c r="D1888" i="5"/>
  <c r="D1884" i="5"/>
  <c r="D1880" i="5"/>
  <c r="D1876" i="5"/>
  <c r="D1872" i="5"/>
  <c r="D1868" i="5"/>
  <c r="D1864" i="5"/>
  <c r="D1860" i="5"/>
  <c r="D1856" i="5"/>
  <c r="D1852" i="5"/>
  <c r="D1848" i="5"/>
  <c r="D1844" i="5"/>
  <c r="D1840" i="5"/>
  <c r="D1836" i="5"/>
  <c r="D1832" i="5"/>
  <c r="D1828" i="5"/>
  <c r="D1824" i="5"/>
  <c r="D1820" i="5"/>
  <c r="D1816" i="5"/>
  <c r="D1812" i="5"/>
  <c r="D1808" i="5"/>
  <c r="D1804" i="5"/>
  <c r="D1800" i="5"/>
  <c r="D1796" i="5"/>
  <c r="D1792" i="5"/>
  <c r="D1788" i="5"/>
  <c r="D1784" i="5"/>
  <c r="D1780" i="5"/>
  <c r="D1776" i="5"/>
  <c r="D1772" i="5"/>
  <c r="D1768" i="5"/>
  <c r="D1764" i="5"/>
  <c r="D1760" i="5"/>
  <c r="D1756" i="5"/>
  <c r="D1752" i="5"/>
  <c r="D1748" i="5"/>
  <c r="D1744" i="5"/>
  <c r="D1740" i="5"/>
  <c r="D1736" i="5"/>
  <c r="D1732" i="5"/>
  <c r="D1728" i="5"/>
  <c r="D1724" i="5"/>
  <c r="D1720" i="5"/>
  <c r="D1716" i="5"/>
  <c r="D1712" i="5"/>
  <c r="D1708" i="5"/>
  <c r="D1704" i="5"/>
  <c r="D1700" i="5"/>
  <c r="D1696" i="5"/>
  <c r="D1692" i="5"/>
  <c r="D1688" i="5"/>
  <c r="D1684" i="5"/>
  <c r="D1680" i="5"/>
  <c r="D1676" i="5"/>
  <c r="D1672" i="5"/>
  <c r="D1668" i="5"/>
  <c r="D1664" i="5"/>
  <c r="D1660" i="5"/>
  <c r="D1656" i="5"/>
  <c r="D1652" i="5"/>
  <c r="D1648" i="5"/>
  <c r="D1644" i="5"/>
  <c r="D1640" i="5"/>
  <c r="D1636" i="5"/>
  <c r="D1632" i="5"/>
  <c r="D1628" i="5"/>
  <c r="D1006" i="5"/>
  <c r="D1002" i="5"/>
  <c r="D998" i="5"/>
  <c r="D994" i="5"/>
  <c r="D990" i="5"/>
  <c r="D986" i="5"/>
  <c r="D982" i="5"/>
  <c r="D978" i="5"/>
  <c r="D974" i="5"/>
  <c r="D970" i="5"/>
  <c r="D966" i="5"/>
  <c r="D962" i="5"/>
  <c r="D958" i="5"/>
  <c r="D954" i="5"/>
  <c r="D950" i="5"/>
  <c r="D946" i="5"/>
  <c r="D942" i="5"/>
  <c r="D938" i="5"/>
  <c r="D934" i="5"/>
  <c r="D930" i="5"/>
  <c r="D926" i="5"/>
  <c r="D922" i="5"/>
  <c r="D918" i="5"/>
  <c r="D914" i="5"/>
  <c r="D910" i="5"/>
  <c r="D906" i="5"/>
  <c r="D902" i="5"/>
  <c r="D898" i="5"/>
  <c r="D894" i="5"/>
  <c r="D890" i="5"/>
  <c r="D886" i="5"/>
  <c r="D882" i="5"/>
  <c r="D878" i="5"/>
  <c r="D874" i="5"/>
  <c r="D870" i="5"/>
  <c r="D866" i="5"/>
  <c r="D862" i="5"/>
  <c r="D858" i="5"/>
  <c r="D854" i="5"/>
  <c r="D850" i="5"/>
  <c r="D846" i="5"/>
  <c r="D842" i="5"/>
  <c r="D838" i="5"/>
  <c r="D834" i="5"/>
  <c r="D830" i="5"/>
  <c r="D826" i="5"/>
  <c r="D822" i="5"/>
  <c r="D818" i="5"/>
  <c r="D814" i="5"/>
  <c r="D810" i="5"/>
  <c r="D806" i="5"/>
  <c r="D802" i="5"/>
  <c r="D798" i="5"/>
  <c r="D794" i="5"/>
  <c r="D790" i="5"/>
  <c r="D786" i="5"/>
  <c r="D782" i="5"/>
  <c r="D778" i="5"/>
  <c r="D774" i="5"/>
  <c r="D770" i="5"/>
  <c r="D766" i="5"/>
  <c r="D762" i="5"/>
  <c r="D758" i="5"/>
  <c r="D754" i="5"/>
  <c r="D750" i="5"/>
  <c r="D746" i="5"/>
  <c r="D742" i="5"/>
  <c r="D738" i="5"/>
  <c r="D734" i="5"/>
  <c r="D730" i="5"/>
  <c r="D726" i="5"/>
  <c r="D722" i="5"/>
  <c r="D718" i="5"/>
  <c r="D714" i="5"/>
  <c r="D710" i="5"/>
  <c r="D706" i="5"/>
  <c r="D702" i="5"/>
  <c r="D698" i="5"/>
  <c r="D694" i="5"/>
  <c r="D690" i="5"/>
  <c r="D686" i="5"/>
  <c r="D682" i="5"/>
  <c r="D678" i="5"/>
  <c r="D674" i="5"/>
  <c r="D670" i="5"/>
  <c r="D666" i="5"/>
  <c r="D662" i="5"/>
  <c r="D658" i="5"/>
  <c r="D654" i="5"/>
  <c r="D650" i="5"/>
  <c r="D646" i="5"/>
  <c r="D642" i="5"/>
  <c r="D638" i="5"/>
  <c r="D634" i="5"/>
  <c r="D630" i="5"/>
  <c r="D626" i="5"/>
  <c r="D622" i="5"/>
  <c r="D618" i="5"/>
  <c r="D614" i="5"/>
  <c r="D610" i="5"/>
  <c r="D606" i="5"/>
  <c r="D602" i="5"/>
  <c r="D598" i="5"/>
  <c r="D594" i="5"/>
  <c r="D590" i="5"/>
  <c r="D586" i="5"/>
  <c r="D582" i="5"/>
  <c r="D578" i="5"/>
  <c r="D574" i="5"/>
  <c r="D570" i="5"/>
  <c r="D566" i="5"/>
  <c r="D562" i="5"/>
  <c r="D558" i="5"/>
  <c r="D554" i="5"/>
  <c r="D550" i="5"/>
  <c r="D546" i="5"/>
  <c r="D542" i="5"/>
  <c r="D538" i="5"/>
  <c r="D534" i="5"/>
  <c r="D530" i="5"/>
  <c r="D526" i="5"/>
  <c r="D522" i="5"/>
  <c r="D518" i="5"/>
  <c r="D514" i="5"/>
  <c r="D510" i="5"/>
  <c r="D506" i="5"/>
  <c r="D502" i="5"/>
  <c r="D498" i="5"/>
  <c r="D494" i="5"/>
  <c r="D490" i="5"/>
  <c r="D486" i="5"/>
  <c r="D482" i="5"/>
  <c r="D478" i="5"/>
  <c r="D474" i="5"/>
  <c r="D470" i="5"/>
  <c r="D466" i="5"/>
  <c r="D462" i="5"/>
  <c r="D458" i="5"/>
  <c r="D454" i="5"/>
  <c r="D450" i="5"/>
  <c r="D446" i="5"/>
  <c r="D442" i="5"/>
  <c r="D438" i="5"/>
  <c r="D434" i="5"/>
  <c r="D430" i="5"/>
  <c r="D426" i="5"/>
  <c r="D422" i="5"/>
  <c r="D418" i="5"/>
  <c r="D414" i="5"/>
  <c r="D410" i="5"/>
  <c r="D406" i="5"/>
  <c r="D402" i="5"/>
  <c r="D398" i="5"/>
  <c r="D394" i="5"/>
  <c r="D390" i="5"/>
  <c r="D386" i="5"/>
  <c r="D382" i="5"/>
  <c r="D378" i="5"/>
  <c r="D374" i="5"/>
  <c r="D370" i="5"/>
  <c r="D366" i="5"/>
  <c r="D362" i="5"/>
  <c r="D358" i="5"/>
  <c r="D354" i="5"/>
  <c r="D350" i="5"/>
  <c r="D346" i="5"/>
  <c r="D342" i="5"/>
  <c r="D338" i="5"/>
  <c r="D334" i="5"/>
  <c r="D330" i="5"/>
  <c r="D326" i="5"/>
  <c r="D322" i="5"/>
  <c r="D318" i="5"/>
  <c r="D314" i="5"/>
  <c r="D310" i="5"/>
  <c r="D306" i="5"/>
  <c r="D302" i="5"/>
  <c r="D298" i="5"/>
  <c r="D294" i="5"/>
  <c r="D290" i="5"/>
  <c r="D286" i="5"/>
  <c r="D282" i="5"/>
  <c r="D278" i="5"/>
  <c r="D274" i="5"/>
  <c r="D270" i="5"/>
  <c r="D266" i="5"/>
  <c r="D262" i="5"/>
  <c r="D258" i="5"/>
  <c r="D254" i="5"/>
  <c r="D250" i="5"/>
  <c r="D246" i="5"/>
  <c r="D242" i="5"/>
  <c r="D238" i="5"/>
  <c r="D234" i="5"/>
  <c r="D230" i="5"/>
  <c r="D226" i="5"/>
  <c r="D222" i="5"/>
  <c r="D218" i="5"/>
  <c r="D214" i="5"/>
  <c r="D210" i="5"/>
  <c r="D206" i="5"/>
  <c r="D202" i="5"/>
  <c r="D198" i="5"/>
  <c r="D194" i="5"/>
  <c r="D190" i="5"/>
  <c r="D186" i="5"/>
  <c r="D182" i="5"/>
  <c r="D178" i="5"/>
  <c r="D174" i="5"/>
  <c r="D170" i="5"/>
  <c r="D166" i="5"/>
  <c r="D162" i="5"/>
  <c r="D158" i="5"/>
  <c r="D154" i="5"/>
  <c r="D150" i="5"/>
  <c r="D146" i="5"/>
  <c r="D142" i="5"/>
  <c r="D138" i="5"/>
  <c r="D134" i="5"/>
  <c r="D130" i="5"/>
  <c r="D126" i="5"/>
  <c r="D122" i="5"/>
  <c r="D118" i="5"/>
  <c r="D114" i="5"/>
  <c r="D110" i="5"/>
  <c r="D106" i="5"/>
  <c r="D102" i="5"/>
  <c r="D98" i="5"/>
  <c r="D94" i="5"/>
  <c r="D90" i="5"/>
  <c r="D86" i="5"/>
  <c r="D82" i="5"/>
  <c r="D78" i="5"/>
  <c r="D74" i="5"/>
  <c r="D70" i="5"/>
  <c r="D66" i="5"/>
  <c r="D62" i="5"/>
  <c r="D58" i="5"/>
  <c r="D54" i="5"/>
  <c r="D50" i="5"/>
  <c r="D46" i="5"/>
  <c r="D42" i="5"/>
  <c r="D38" i="5"/>
  <c r="D34" i="5"/>
  <c r="D30" i="5"/>
  <c r="D26" i="5"/>
  <c r="D22" i="5"/>
  <c r="D18" i="5"/>
  <c r="D14" i="5"/>
  <c r="D10" i="5"/>
  <c r="D6" i="5"/>
  <c r="D1965" i="5"/>
  <c r="D1961" i="5"/>
  <c r="D1957" i="5"/>
  <c r="D1953" i="5"/>
  <c r="D1945" i="5"/>
  <c r="D1941" i="5"/>
  <c r="D1937" i="5"/>
  <c r="D1933" i="5"/>
  <c r="D1929" i="5"/>
  <c r="D1925" i="5"/>
  <c r="D1921" i="5"/>
  <c r="D1917" i="5"/>
  <c r="D1913" i="5"/>
  <c r="D1909" i="5"/>
  <c r="D1905" i="5"/>
  <c r="D1901" i="5"/>
  <c r="D1897" i="5"/>
  <c r="D1889" i="5"/>
  <c r="D1885" i="5"/>
  <c r="D1881" i="5"/>
  <c r="D1877" i="5"/>
  <c r="D1873" i="5"/>
  <c r="D1869" i="5"/>
  <c r="D1865" i="5"/>
  <c r="D1861" i="5"/>
  <c r="D1853" i="5"/>
  <c r="D1849" i="5"/>
  <c r="D1845" i="5"/>
  <c r="D1841" i="5"/>
  <c r="D1837" i="5"/>
  <c r="D1833" i="5"/>
  <c r="D1829" i="5"/>
  <c r="D1825" i="5"/>
  <c r="D1817" i="5"/>
  <c r="D1813" i="5"/>
  <c r="D1809" i="5"/>
  <c r="D1805" i="5"/>
  <c r="D1801" i="5"/>
  <c r="D1797" i="5"/>
  <c r="D1793" i="5"/>
  <c r="D1789" i="5"/>
  <c r="D1785" i="5"/>
  <c r="D1781" i="5"/>
  <c r="D1777" i="5"/>
  <c r="D1773" i="5"/>
  <c r="D1769" i="5"/>
  <c r="D1761" i="5"/>
  <c r="D1757" i="5"/>
  <c r="D1753" i="5"/>
  <c r="D1749" i="5"/>
  <c r="D1745" i="5"/>
  <c r="D1741" i="5"/>
  <c r="D1737" i="5"/>
  <c r="D1733" i="5"/>
  <c r="D1725" i="5"/>
  <c r="D1721" i="5"/>
  <c r="D1717" i="5"/>
  <c r="D1713" i="5"/>
  <c r="D1709" i="5"/>
  <c r="D1705" i="5"/>
  <c r="D1701" i="5"/>
  <c r="D1697" i="5"/>
  <c r="D1689" i="5"/>
  <c r="D1685" i="5"/>
  <c r="D1681" i="5"/>
  <c r="D1677" i="5"/>
  <c r="D1673" i="5"/>
  <c r="D1669" i="5"/>
  <c r="D1665" i="5"/>
  <c r="D1661" i="5"/>
  <c r="D1657" i="5"/>
  <c r="D1653" i="5"/>
  <c r="D1649" i="5"/>
  <c r="D1641" i="5"/>
  <c r="D1637" i="5"/>
  <c r="D1633" i="5"/>
  <c r="D1629" i="5"/>
  <c r="D1625" i="5"/>
  <c r="D1621" i="5"/>
  <c r="D1617" i="5"/>
  <c r="D1613" i="5"/>
  <c r="D1609" i="5"/>
  <c r="D1605" i="5"/>
  <c r="D1601" i="5"/>
  <c r="D1597" i="5"/>
  <c r="D1593" i="5"/>
  <c r="D1585" i="5"/>
  <c r="D1581" i="5"/>
  <c r="D1577" i="5"/>
  <c r="D1573" i="5"/>
  <c r="D1569" i="5"/>
  <c r="D1565" i="5"/>
  <c r="D1561" i="5"/>
  <c r="D1557" i="5"/>
  <c r="D1549" i="5"/>
  <c r="D1545" i="5"/>
  <c r="D1541" i="5"/>
  <c r="D1537" i="5"/>
  <c r="D1533" i="5"/>
  <c r="D1529" i="5"/>
  <c r="D1525" i="5"/>
  <c r="D1521" i="5"/>
  <c r="D1517" i="5"/>
  <c r="D1513" i="5"/>
  <c r="D1509" i="5"/>
  <c r="D1505" i="5"/>
  <c r="D1501" i="5"/>
  <c r="D1497" i="5"/>
  <c r="D1493" i="5"/>
  <c r="D1485" i="5"/>
  <c r="D1481" i="5"/>
  <c r="D1477" i="5"/>
  <c r="D1473" i="5"/>
  <c r="D1469" i="5"/>
  <c r="D1465" i="5"/>
  <c r="D1457" i="5"/>
  <c r="D1453" i="5"/>
  <c r="D1449" i="5"/>
  <c r="D1445" i="5"/>
  <c r="D1441" i="5"/>
  <c r="D1437" i="5"/>
  <c r="D1433" i="5"/>
  <c r="D1429" i="5"/>
  <c r="D1421" i="5"/>
  <c r="D1417" i="5"/>
  <c r="D1413" i="5"/>
  <c r="D1409" i="5"/>
  <c r="D1405" i="5"/>
  <c r="D1401" i="5"/>
  <c r="D1393" i="5"/>
  <c r="D1389" i="5"/>
  <c r="D1385" i="5"/>
  <c r="D1381" i="5"/>
  <c r="D1377" i="5"/>
  <c r="D1373" i="5"/>
  <c r="D1369" i="5"/>
  <c r="D1365" i="5"/>
  <c r="D1357" i="5"/>
  <c r="D1353" i="5"/>
  <c r="D1349" i="5"/>
  <c r="D1345" i="5"/>
  <c r="D1341" i="5"/>
  <c r="D1337" i="5"/>
  <c r="D1329" i="5"/>
  <c r="D1325" i="5"/>
  <c r="D1321" i="5"/>
  <c r="D1317" i="5"/>
  <c r="D1611" i="5"/>
  <c r="D1607" i="5"/>
  <c r="D1603" i="5"/>
  <c r="D1599" i="5"/>
  <c r="D1595" i="5"/>
  <c r="D1591" i="5"/>
  <c r="D1587" i="5"/>
  <c r="D1583" i="5"/>
  <c r="D1579" i="5"/>
  <c r="D1575" i="5"/>
  <c r="D1571" i="5"/>
  <c r="D1567" i="5"/>
  <c r="D1563" i="5"/>
  <c r="D1559" i="5"/>
  <c r="D1555" i="5"/>
  <c r="D1551" i="5"/>
  <c r="D1547" i="5"/>
  <c r="D1543" i="5"/>
  <c r="D1539" i="5"/>
  <c r="D1535" i="5"/>
  <c r="D1531" i="5"/>
  <c r="D1527" i="5"/>
  <c r="D1523" i="5"/>
  <c r="D1519" i="5"/>
  <c r="D1515" i="5"/>
  <c r="D1507" i="5"/>
  <c r="D1503" i="5"/>
  <c r="D1499" i="5"/>
  <c r="D1495" i="5"/>
  <c r="D1491" i="5"/>
  <c r="D1487" i="5"/>
  <c r="D1483" i="5"/>
  <c r="D1479" i="5"/>
  <c r="D1475" i="5"/>
  <c r="D1471" i="5"/>
  <c r="D1467" i="5"/>
  <c r="D1463" i="5"/>
  <c r="D1459" i="5"/>
  <c r="D1455" i="5"/>
  <c r="D1451" i="5"/>
  <c r="D1443" i="5"/>
  <c r="D1439" i="5"/>
  <c r="D1435" i="5"/>
  <c r="D1431" i="5"/>
  <c r="D1427" i="5"/>
  <c r="D1423" i="5"/>
  <c r="D1419" i="5"/>
  <c r="D1415" i="5"/>
  <c r="D1411" i="5"/>
  <c r="D1407" i="5"/>
  <c r="D1403" i="5"/>
  <c r="D1399" i="5"/>
  <c r="D1395" i="5"/>
  <c r="D1391" i="5"/>
  <c r="D1387" i="5"/>
  <c r="D1379" i="5"/>
  <c r="D1375" i="5"/>
  <c r="D1371" i="5"/>
  <c r="D1367" i="5"/>
  <c r="D1363" i="5"/>
  <c r="D1359" i="5"/>
  <c r="D1355" i="5"/>
  <c r="D1351" i="5"/>
  <c r="D1347" i="5"/>
  <c r="D1343" i="5"/>
  <c r="D1339" i="5"/>
  <c r="D1335" i="5"/>
  <c r="D1331" i="5"/>
  <c r="D1327" i="5"/>
  <c r="D1323" i="5"/>
  <c r="D1315" i="5"/>
  <c r="D1311" i="5"/>
  <c r="D1307" i="5"/>
  <c r="D1303" i="5"/>
  <c r="D1299" i="5"/>
  <c r="D1295" i="5"/>
  <c r="D1291" i="5"/>
  <c r="D1287" i="5"/>
  <c r="D1283" i="5"/>
  <c r="D1279" i="5"/>
  <c r="D1275" i="5"/>
  <c r="D1271" i="5"/>
  <c r="D1267" i="5"/>
  <c r="D1263" i="5"/>
  <c r="D1259" i="5"/>
  <c r="D1251" i="5"/>
  <c r="D1247" i="5"/>
  <c r="D1624" i="5"/>
  <c r="D1620" i="5"/>
  <c r="D1616" i="5"/>
  <c r="D1612" i="5"/>
  <c r="D1608" i="5"/>
  <c r="D1604" i="5"/>
  <c r="D1600" i="5"/>
  <c r="D1596" i="5"/>
  <c r="D1592" i="5"/>
  <c r="D1588" i="5"/>
  <c r="D1584" i="5"/>
  <c r="D1580" i="5"/>
  <c r="D1576" i="5"/>
  <c r="D1572" i="5"/>
  <c r="D1568" i="5"/>
  <c r="D1564" i="5"/>
  <c r="D1560" i="5"/>
  <c r="D1556" i="5"/>
  <c r="D1552" i="5"/>
  <c r="D1548" i="5"/>
  <c r="D1544" i="5"/>
  <c r="D1540" i="5"/>
  <c r="D1536" i="5"/>
  <c r="D1532" i="5"/>
  <c r="D1528" i="5"/>
  <c r="D1524" i="5"/>
  <c r="D1520" i="5"/>
  <c r="D1516" i="5"/>
  <c r="D1512" i="5"/>
  <c r="D1508" i="5"/>
  <c r="D1504" i="5"/>
  <c r="D1500" i="5"/>
  <c r="D1496" i="5"/>
  <c r="D1492" i="5"/>
  <c r="D1488" i="5"/>
  <c r="D1484" i="5"/>
  <c r="D1480" i="5"/>
  <c r="D1476" i="5"/>
  <c r="D1472" i="5"/>
  <c r="D1468" i="5"/>
  <c r="D1464" i="5"/>
  <c r="D1460" i="5"/>
  <c r="D1456" i="5"/>
  <c r="D1452" i="5"/>
  <c r="D1448" i="5"/>
  <c r="D1444" i="5"/>
  <c r="D1440" i="5"/>
  <c r="D1436" i="5"/>
  <c r="D1432" i="5"/>
  <c r="D1428" i="5"/>
  <c r="D1424" i="5"/>
  <c r="D1420" i="5"/>
  <c r="D1416" i="5"/>
  <c r="D1412" i="5"/>
  <c r="D1408" i="5"/>
  <c r="D1404" i="5"/>
  <c r="D1400" i="5"/>
  <c r="D1396" i="5"/>
  <c r="D1392" i="5"/>
  <c r="D1388" i="5"/>
  <c r="D1384" i="5"/>
  <c r="D1380" i="5"/>
  <c r="D1376" i="5"/>
  <c r="D1372" i="5"/>
  <c r="D1368" i="5"/>
  <c r="D1364" i="5"/>
  <c r="D1360" i="5"/>
  <c r="D1356" i="5"/>
  <c r="D1352" i="5"/>
  <c r="D1348" i="5"/>
  <c r="D1344" i="5"/>
  <c r="D1340" i="5"/>
  <c r="D1336" i="5"/>
  <c r="D1332" i="5"/>
  <c r="D1328" i="5"/>
  <c r="D1324" i="5"/>
  <c r="D1243" i="5"/>
  <c r="D1239" i="5"/>
  <c r="D1235" i="5"/>
  <c r="D1231" i="5"/>
  <c r="D1227" i="5"/>
  <c r="D1223" i="5"/>
  <c r="D1219" i="5"/>
  <c r="D1215" i="5"/>
  <c r="D1211" i="5"/>
  <c r="D1207" i="5"/>
  <c r="D1203" i="5"/>
  <c r="D1199" i="5"/>
  <c r="D1195" i="5"/>
  <c r="D1187" i="5"/>
  <c r="D1183" i="5"/>
  <c r="D1179" i="5"/>
  <c r="D1175" i="5"/>
  <c r="D1171" i="5"/>
  <c r="D1167" i="5"/>
  <c r="D1163" i="5"/>
  <c r="D1159" i="5"/>
  <c r="D1155" i="5"/>
  <c r="D1151" i="5"/>
  <c r="D1147" i="5"/>
  <c r="D1143" i="5"/>
  <c r="D1139" i="5"/>
  <c r="D1135" i="5"/>
  <c r="D1131" i="5"/>
  <c r="D1123" i="5"/>
  <c r="D1119" i="5"/>
  <c r="D1115" i="5"/>
  <c r="D1111" i="5"/>
  <c r="D1107" i="5"/>
  <c r="D1103" i="5"/>
  <c r="D1099" i="5"/>
  <c r="D1095" i="5"/>
  <c r="D1091" i="5"/>
  <c r="D1087" i="5"/>
  <c r="D1083" i="5"/>
  <c r="D1079" i="5"/>
  <c r="D1075" i="5"/>
  <c r="D1071" i="5"/>
  <c r="D1067" i="5"/>
  <c r="D1059" i="5"/>
  <c r="D1055" i="5"/>
  <c r="D1051" i="5"/>
  <c r="D1047" i="5"/>
  <c r="D1043" i="5"/>
  <c r="D1039" i="5"/>
  <c r="D1035" i="5"/>
  <c r="D1031" i="5"/>
  <c r="D1027" i="5"/>
  <c r="D1023" i="5"/>
  <c r="D1019" i="5"/>
  <c r="D1015" i="5"/>
  <c r="D1011" i="5"/>
  <c r="D1007" i="5"/>
  <c r="D1003" i="5"/>
  <c r="D995" i="5"/>
  <c r="D991" i="5"/>
  <c r="D987" i="5"/>
  <c r="D983" i="5"/>
  <c r="D979" i="5"/>
  <c r="D975" i="5"/>
  <c r="D971" i="5"/>
  <c r="D967" i="5"/>
  <c r="D963" i="5"/>
  <c r="D959" i="5"/>
  <c r="D955" i="5"/>
  <c r="D951" i="5"/>
  <c r="D947" i="5"/>
  <c r="D943" i="5"/>
  <c r="D939" i="5"/>
  <c r="D931" i="5"/>
  <c r="D927" i="5"/>
  <c r="D923" i="5"/>
  <c r="D919" i="5"/>
  <c r="D915" i="5"/>
  <c r="D911" i="5"/>
  <c r="D907" i="5"/>
  <c r="D903" i="5"/>
  <c r="D899" i="5"/>
  <c r="D895" i="5"/>
  <c r="D891" i="5"/>
  <c r="D887" i="5"/>
  <c r="D883" i="5"/>
  <c r="D879" i="5"/>
  <c r="D875" i="5"/>
  <c r="D867" i="5"/>
  <c r="D863" i="5"/>
  <c r="D859" i="5"/>
  <c r="D855" i="5"/>
  <c r="D851" i="5"/>
  <c r="D847" i="5"/>
  <c r="D843" i="5"/>
  <c r="D839" i="5"/>
  <c r="D835" i="5"/>
  <c r="D831" i="5"/>
  <c r="D827" i="5"/>
  <c r="D823" i="5"/>
  <c r="D819" i="5"/>
  <c r="D815" i="5"/>
  <c r="D811" i="5"/>
  <c r="D803" i="5"/>
  <c r="D799" i="5"/>
  <c r="D795" i="5"/>
  <c r="D791" i="5"/>
  <c r="D787" i="5"/>
  <c r="D783" i="5"/>
  <c r="D779" i="5"/>
  <c r="D775" i="5"/>
  <c r="D771" i="5"/>
  <c r="D767" i="5"/>
  <c r="D759" i="5"/>
  <c r="D755" i="5"/>
  <c r="D751" i="5"/>
  <c r="D747" i="5"/>
  <c r="D743" i="5"/>
  <c r="D739" i="5"/>
  <c r="D735" i="5"/>
  <c r="D731" i="5"/>
  <c r="D727" i="5"/>
  <c r="D723" i="5"/>
  <c r="D719" i="5"/>
  <c r="D715" i="5"/>
  <c r="D711" i="5"/>
  <c r="D707" i="5"/>
  <c r="D703" i="5"/>
  <c r="D695" i="5"/>
  <c r="D691" i="5"/>
  <c r="D687" i="5"/>
  <c r="D683" i="5"/>
  <c r="D679" i="5"/>
  <c r="D675" i="5"/>
  <c r="D667" i="5"/>
  <c r="D663" i="5"/>
  <c r="D659" i="5"/>
  <c r="D655" i="5"/>
  <c r="D651" i="5"/>
  <c r="D647" i="5"/>
  <c r="D643" i="5"/>
  <c r="D639" i="5"/>
  <c r="D635" i="5"/>
  <c r="D631" i="5"/>
  <c r="D627" i="5"/>
  <c r="D623" i="5"/>
  <c r="D619" i="5"/>
  <c r="D615" i="5"/>
  <c r="D611" i="5"/>
  <c r="D607" i="5"/>
  <c r="D603" i="5"/>
  <c r="D599" i="5"/>
  <c r="D595" i="5"/>
  <c r="D591" i="5"/>
  <c r="D587" i="5"/>
  <c r="D583" i="5"/>
  <c r="D579" i="5"/>
  <c r="D575" i="5"/>
  <c r="D567" i="5"/>
  <c r="D563" i="5"/>
  <c r="D559" i="5"/>
  <c r="D555" i="5"/>
  <c r="D551" i="5"/>
  <c r="D547" i="5"/>
  <c r="D539" i="5"/>
  <c r="D535" i="5"/>
  <c r="D531" i="5"/>
  <c r="D527" i="5"/>
  <c r="D523" i="5"/>
  <c r="D519" i="5"/>
  <c r="D515" i="5"/>
  <c r="D511" i="5"/>
  <c r="D507" i="5"/>
  <c r="D503" i="5"/>
  <c r="D499" i="5"/>
  <c r="D495" i="5"/>
  <c r="D491" i="5"/>
  <c r="D487" i="5"/>
  <c r="D483" i="5"/>
  <c r="D479" i="5"/>
  <c r="D475" i="5"/>
  <c r="D471" i="5"/>
  <c r="D467" i="5"/>
  <c r="D463" i="5"/>
  <c r="D459" i="5"/>
  <c r="D455" i="5"/>
  <c r="D451" i="5"/>
  <c r="D447" i="5"/>
  <c r="D439" i="5"/>
  <c r="D435" i="5"/>
  <c r="D431" i="5"/>
  <c r="D427" i="5"/>
  <c r="D423" i="5"/>
  <c r="D419" i="5"/>
  <c r="D411" i="5"/>
  <c r="D407" i="5"/>
  <c r="D403" i="5"/>
  <c r="D399" i="5"/>
  <c r="D395" i="5"/>
  <c r="D391" i="5"/>
  <c r="D387" i="5"/>
  <c r="D383" i="5"/>
  <c r="D379" i="5"/>
  <c r="D375" i="5"/>
  <c r="D371" i="5"/>
  <c r="D367" i="5"/>
  <c r="D363" i="5"/>
  <c r="D359" i="5"/>
  <c r="D355" i="5"/>
  <c r="D351" i="5"/>
  <c r="D347" i="5"/>
  <c r="D343" i="5"/>
  <c r="D339" i="5"/>
  <c r="D335" i="5"/>
  <c r="D331" i="5"/>
  <c r="D327" i="5"/>
  <c r="D323" i="5"/>
  <c r="D319" i="5"/>
  <c r="D315" i="5"/>
  <c r="D311" i="5"/>
  <c r="D307" i="5"/>
  <c r="D303" i="5"/>
  <c r="D299" i="5"/>
  <c r="D295" i="5"/>
  <c r="D291" i="5"/>
  <c r="D287" i="5"/>
  <c r="D283" i="5"/>
  <c r="D279" i="5"/>
  <c r="D275" i="5"/>
  <c r="D271" i="5"/>
  <c r="D267" i="5"/>
  <c r="D263" i="5"/>
  <c r="D259" i="5"/>
  <c r="D255" i="5"/>
  <c r="D251" i="5"/>
  <c r="D247" i="5"/>
  <c r="D243" i="5"/>
  <c r="D239" i="5"/>
  <c r="D235" i="5"/>
  <c r="D231" i="5"/>
  <c r="D227" i="5"/>
  <c r="D223" i="5"/>
  <c r="D219" i="5"/>
  <c r="D215" i="5"/>
  <c r="D211" i="5"/>
  <c r="D207" i="5"/>
  <c r="D203" i="5"/>
  <c r="D199" i="5"/>
  <c r="D195" i="5"/>
  <c r="D191" i="5"/>
  <c r="D187" i="5"/>
  <c r="D183" i="5"/>
  <c r="D179" i="5"/>
  <c r="D175" i="5"/>
  <c r="D171" i="5"/>
  <c r="D167" i="5"/>
  <c r="D163" i="5"/>
  <c r="D159" i="5"/>
  <c r="D155" i="5"/>
  <c r="D151" i="5"/>
  <c r="D147" i="5"/>
  <c r="D143" i="5"/>
  <c r="D139" i="5"/>
  <c r="D135" i="5"/>
  <c r="D131" i="5"/>
  <c r="D127" i="5"/>
  <c r="D123" i="5"/>
  <c r="D119" i="5"/>
  <c r="D115" i="5"/>
  <c r="D111" i="5"/>
  <c r="D107" i="5"/>
  <c r="D103" i="5"/>
  <c r="D99" i="5"/>
  <c r="D95" i="5"/>
  <c r="D91" i="5"/>
  <c r="D87" i="5"/>
  <c r="D83" i="5"/>
  <c r="D79" i="5"/>
  <c r="D75" i="5"/>
  <c r="D71" i="5"/>
  <c r="D67" i="5"/>
  <c r="D63" i="5"/>
  <c r="D59" i="5"/>
  <c r="D55" i="5"/>
  <c r="D51" i="5"/>
  <c r="D47" i="5"/>
  <c r="D43" i="5"/>
  <c r="D39" i="5"/>
  <c r="D35" i="5"/>
  <c r="D31" i="5"/>
  <c r="D27" i="5"/>
  <c r="D23" i="5"/>
  <c r="D19" i="5"/>
  <c r="D15" i="5"/>
  <c r="D11" i="5"/>
  <c r="D7" i="5"/>
  <c r="D3" i="5"/>
  <c r="D1313" i="5"/>
  <c r="D1309" i="5"/>
  <c r="D1305" i="5"/>
  <c r="D1301" i="5"/>
  <c r="D1293" i="5"/>
  <c r="D1289" i="5"/>
  <c r="D1285" i="5"/>
  <c r="D1281" i="5"/>
  <c r="D1277" i="5"/>
  <c r="D1273" i="5"/>
  <c r="D1265" i="5"/>
  <c r="D1261" i="5"/>
  <c r="D1257" i="5"/>
  <c r="D1253" i="5"/>
  <c r="D1249" i="5"/>
  <c r="D1245" i="5"/>
  <c r="D1241" i="5"/>
  <c r="D1237" i="5"/>
  <c r="D1229" i="5"/>
  <c r="D1225" i="5"/>
  <c r="D1221" i="5"/>
  <c r="D1217" i="5"/>
  <c r="D1213" i="5"/>
  <c r="D1209" i="5"/>
  <c r="D1201" i="5"/>
  <c r="D1197" i="5"/>
  <c r="D1193" i="5"/>
  <c r="D1189" i="5"/>
  <c r="D1185" i="5"/>
  <c r="D1181" i="5"/>
  <c r="D1177" i="5"/>
  <c r="D1173" i="5"/>
  <c r="D1165" i="5"/>
  <c r="D1161" i="5"/>
  <c r="D1157" i="5"/>
  <c r="D1153" i="5"/>
  <c r="D1149" i="5"/>
  <c r="D1145" i="5"/>
  <c r="D1137" i="5"/>
  <c r="D1133" i="5"/>
  <c r="D1129" i="5"/>
  <c r="D1125" i="5"/>
  <c r="D1121" i="5"/>
  <c r="D1117" i="5"/>
  <c r="D1113" i="5"/>
  <c r="D1109" i="5"/>
  <c r="D1101" i="5"/>
  <c r="D1097" i="5"/>
  <c r="D1093" i="5"/>
  <c r="D1089" i="5"/>
  <c r="D1085" i="5"/>
  <c r="D1081" i="5"/>
  <c r="D1073" i="5"/>
  <c r="D1069" i="5"/>
  <c r="D1065" i="5"/>
  <c r="D1061" i="5"/>
  <c r="D1057" i="5"/>
  <c r="D1053" i="5"/>
  <c r="D1049" i="5"/>
  <c r="D1045" i="5"/>
  <c r="D1037" i="5"/>
  <c r="D1033" i="5"/>
  <c r="D1029" i="5"/>
  <c r="D1025" i="5"/>
  <c r="D1021" i="5"/>
  <c r="D1017" i="5"/>
  <c r="D1009" i="5"/>
  <c r="D1005" i="5"/>
  <c r="D1001" i="5"/>
  <c r="D997" i="5"/>
  <c r="D993" i="5"/>
  <c r="D989" i="5"/>
  <c r="D985" i="5"/>
  <c r="D981" i="5"/>
  <c r="D973" i="5"/>
  <c r="D969" i="5"/>
  <c r="D1320" i="5"/>
  <c r="D1316" i="5"/>
  <c r="D1312" i="5"/>
  <c r="D1308" i="5"/>
  <c r="D1304" i="5"/>
  <c r="D1300" i="5"/>
  <c r="D1296" i="5"/>
  <c r="D1292" i="5"/>
  <c r="D1288" i="5"/>
  <c r="D1284" i="5"/>
  <c r="D1280" i="5"/>
  <c r="D1276" i="5"/>
  <c r="D1272" i="5"/>
  <c r="D1268" i="5"/>
  <c r="D1264" i="5"/>
  <c r="D1260" i="5"/>
  <c r="D1256" i="5"/>
  <c r="D1252" i="5"/>
  <c r="D1248" i="5"/>
  <c r="D1244" i="5"/>
  <c r="D1240" i="5"/>
  <c r="D1236" i="5"/>
  <c r="D1232" i="5"/>
  <c r="D1228" i="5"/>
  <c r="D1224" i="5"/>
  <c r="D1220" i="5"/>
  <c r="D1216" i="5"/>
  <c r="D1212" i="5"/>
  <c r="D1208" i="5"/>
  <c r="D1204" i="5"/>
  <c r="D1200" i="5"/>
  <c r="D1196" i="5"/>
  <c r="D1192" i="5"/>
  <c r="D1188" i="5"/>
  <c r="D1184" i="5"/>
  <c r="D1180" i="5"/>
  <c r="D1176" i="5"/>
  <c r="D1172" i="5"/>
  <c r="D1168" i="5"/>
  <c r="D1164" i="5"/>
  <c r="D1160" i="5"/>
  <c r="D1156" i="5"/>
  <c r="D1152" i="5"/>
  <c r="D1148" i="5"/>
  <c r="D1144" i="5"/>
  <c r="D1140" i="5"/>
  <c r="D1136" i="5"/>
  <c r="D1132" i="5"/>
  <c r="D1128" i="5"/>
  <c r="D1124" i="5"/>
  <c r="D1120" i="5"/>
  <c r="D1116" i="5"/>
  <c r="D1112" i="5"/>
  <c r="D1108" i="5"/>
  <c r="D1104" i="5"/>
  <c r="D1100" i="5"/>
  <c r="D1096" i="5"/>
  <c r="D1092" i="5"/>
  <c r="D1088" i="5"/>
  <c r="D1084" i="5"/>
  <c r="D1080" i="5"/>
  <c r="D1076" i="5"/>
  <c r="D1072" i="5"/>
  <c r="D1068" i="5"/>
  <c r="D1064" i="5"/>
  <c r="D1060" i="5"/>
  <c r="D1056" i="5"/>
  <c r="D1052" i="5"/>
  <c r="D1048" i="5"/>
  <c r="D1044" i="5"/>
  <c r="D1040" i="5"/>
  <c r="D1036" i="5"/>
  <c r="D1032" i="5"/>
  <c r="D1028" i="5"/>
  <c r="D1024" i="5"/>
  <c r="D1020" i="5"/>
  <c r="D1016" i="5"/>
  <c r="D1012" i="5"/>
  <c r="D1008" i="5"/>
  <c r="D1004" i="5"/>
  <c r="D1000" i="5"/>
  <c r="D996" i="5"/>
  <c r="D992" i="5"/>
  <c r="D988" i="5"/>
  <c r="D984" i="5"/>
  <c r="D980" i="5"/>
  <c r="D976" i="5"/>
  <c r="D972" i="5"/>
  <c r="D968" i="5"/>
  <c r="D964" i="5"/>
  <c r="D960" i="5"/>
  <c r="D956" i="5"/>
  <c r="D952" i="5"/>
  <c r="D948" i="5"/>
  <c r="D944" i="5"/>
  <c r="D940" i="5"/>
  <c r="D936" i="5"/>
  <c r="D932" i="5"/>
  <c r="D928" i="5"/>
  <c r="D924" i="5"/>
  <c r="D920" i="5"/>
  <c r="D916" i="5"/>
  <c r="D912" i="5"/>
  <c r="D908" i="5"/>
  <c r="D904" i="5"/>
  <c r="D900" i="5"/>
  <c r="D896" i="5"/>
  <c r="D892" i="5"/>
  <c r="D888" i="5"/>
  <c r="D884" i="5"/>
  <c r="D880" i="5"/>
  <c r="D876" i="5"/>
  <c r="D872" i="5"/>
  <c r="D868" i="5"/>
  <c r="D864" i="5"/>
  <c r="D860" i="5"/>
  <c r="D856" i="5"/>
  <c r="D852" i="5"/>
  <c r="D848" i="5"/>
  <c r="D844" i="5"/>
  <c r="D840" i="5"/>
  <c r="D836" i="5"/>
  <c r="D832" i="5"/>
  <c r="D828" i="5"/>
  <c r="D824" i="5"/>
  <c r="D820" i="5"/>
  <c r="D816" i="5"/>
  <c r="D812" i="5"/>
  <c r="D808" i="5"/>
  <c r="D804" i="5"/>
  <c r="D800" i="5"/>
  <c r="D796" i="5"/>
  <c r="D792" i="5"/>
  <c r="D788" i="5"/>
  <c r="D784" i="5"/>
  <c r="D780" i="5"/>
  <c r="D776" i="5"/>
  <c r="D772" i="5"/>
  <c r="D768" i="5"/>
  <c r="D764" i="5"/>
  <c r="D760" i="5"/>
  <c r="D756" i="5"/>
  <c r="D752" i="5"/>
  <c r="D748" i="5"/>
  <c r="D744" i="5"/>
  <c r="D740" i="5"/>
  <c r="D736" i="5"/>
  <c r="D732" i="5"/>
  <c r="D728" i="5"/>
  <c r="D724" i="5"/>
  <c r="D720" i="5"/>
  <c r="D716" i="5"/>
  <c r="D712" i="5"/>
  <c r="D708" i="5"/>
  <c r="D704" i="5"/>
  <c r="D700" i="5"/>
  <c r="D696" i="5"/>
  <c r="D692" i="5"/>
  <c r="D688" i="5"/>
  <c r="D684" i="5"/>
  <c r="D680" i="5"/>
  <c r="D676" i="5"/>
  <c r="D672" i="5"/>
  <c r="D668" i="5"/>
  <c r="D664" i="5"/>
  <c r="D660" i="5"/>
  <c r="D656" i="5"/>
  <c r="D652" i="5"/>
  <c r="D648" i="5"/>
  <c r="D644" i="5"/>
  <c r="D640" i="5"/>
  <c r="D636" i="5"/>
  <c r="D632" i="5"/>
  <c r="D628" i="5"/>
  <c r="D624" i="5"/>
  <c r="D620" i="5"/>
  <c r="D616" i="5"/>
  <c r="D612" i="5"/>
  <c r="D608" i="5"/>
  <c r="D604" i="5"/>
  <c r="D600" i="5"/>
  <c r="D596" i="5"/>
  <c r="D592" i="5"/>
  <c r="D588" i="5"/>
  <c r="D584" i="5"/>
  <c r="D580" i="5"/>
  <c r="D576" i="5"/>
  <c r="D572" i="5"/>
  <c r="D568" i="5"/>
  <c r="D564" i="5"/>
  <c r="D560" i="5"/>
  <c r="D556" i="5"/>
  <c r="D552" i="5"/>
  <c r="D548" i="5"/>
  <c r="D544" i="5"/>
  <c r="D540" i="5"/>
  <c r="D536" i="5"/>
  <c r="D532" i="5"/>
  <c r="D528" i="5"/>
  <c r="D524" i="5"/>
  <c r="D520" i="5"/>
  <c r="D516" i="5"/>
  <c r="D512" i="5"/>
  <c r="D508" i="5"/>
  <c r="D504" i="5"/>
  <c r="D500" i="5"/>
  <c r="D496" i="5"/>
  <c r="D492" i="5"/>
  <c r="D488" i="5"/>
  <c r="D484" i="5"/>
  <c r="D480" i="5"/>
  <c r="D476" i="5"/>
  <c r="D472" i="5"/>
  <c r="D468" i="5"/>
  <c r="D464" i="5"/>
  <c r="D460" i="5"/>
  <c r="D456" i="5"/>
  <c r="D452" i="5"/>
  <c r="D448" i="5"/>
  <c r="D444" i="5"/>
  <c r="D440" i="5"/>
  <c r="D436" i="5"/>
  <c r="D432" i="5"/>
  <c r="D428" i="5"/>
  <c r="D424" i="5"/>
  <c r="D420" i="5"/>
  <c r="D416" i="5"/>
  <c r="D412" i="5"/>
  <c r="D408" i="5"/>
  <c r="D404" i="5"/>
  <c r="D400" i="5"/>
  <c r="D396" i="5"/>
  <c r="D392" i="5"/>
  <c r="D388" i="5"/>
  <c r="D384" i="5"/>
  <c r="D380" i="5"/>
  <c r="D376" i="5"/>
  <c r="D372" i="5"/>
  <c r="D368" i="5"/>
  <c r="D364" i="5"/>
  <c r="D360" i="5"/>
  <c r="D356" i="5"/>
  <c r="D352" i="5"/>
  <c r="D348" i="5"/>
  <c r="D344" i="5"/>
  <c r="D340" i="5"/>
  <c r="D336" i="5"/>
  <c r="D332" i="5"/>
  <c r="D328" i="5"/>
  <c r="D324" i="5"/>
  <c r="D320" i="5"/>
  <c r="D316" i="5"/>
  <c r="D312" i="5"/>
  <c r="D308" i="5"/>
  <c r="D304" i="5"/>
  <c r="D300" i="5"/>
  <c r="D296" i="5"/>
  <c r="D292" i="5"/>
  <c r="D288" i="5"/>
  <c r="D284" i="5"/>
  <c r="D280" i="5"/>
  <c r="D276" i="5"/>
  <c r="D272" i="5"/>
  <c r="D268" i="5"/>
  <c r="D264" i="5"/>
  <c r="D260" i="5"/>
  <c r="D256" i="5"/>
  <c r="D252" i="5"/>
  <c r="D248" i="5"/>
  <c r="D244" i="5"/>
  <c r="D240" i="5"/>
  <c r="D236" i="5"/>
  <c r="D232" i="5"/>
  <c r="D228" i="5"/>
  <c r="D224" i="5"/>
  <c r="D220" i="5"/>
  <c r="D216" i="5"/>
  <c r="D212" i="5"/>
  <c r="D208" i="5"/>
  <c r="D204" i="5"/>
  <c r="D200" i="5"/>
  <c r="D196" i="5"/>
  <c r="D192" i="5"/>
  <c r="D188" i="5"/>
  <c r="D184" i="5"/>
  <c r="D180" i="5"/>
  <c r="D176" i="5"/>
  <c r="D172" i="5"/>
  <c r="D168" i="5"/>
  <c r="D164" i="5"/>
  <c r="D160" i="5"/>
  <c r="D156" i="5"/>
  <c r="D152" i="5"/>
  <c r="D148" i="5"/>
  <c r="D144" i="5"/>
  <c r="D140" i="5"/>
  <c r="D136" i="5"/>
  <c r="D132" i="5"/>
  <c r="D128" i="5"/>
  <c r="D124" i="5"/>
  <c r="D120" i="5"/>
  <c r="D116" i="5"/>
  <c r="D112" i="5"/>
  <c r="D108" i="5"/>
  <c r="D104" i="5"/>
  <c r="D100" i="5"/>
  <c r="D96" i="5"/>
  <c r="D92" i="5"/>
  <c r="D88" i="5"/>
  <c r="D84" i="5"/>
  <c r="D80" i="5"/>
  <c r="D76" i="5"/>
  <c r="D72" i="5"/>
  <c r="D68" i="5"/>
  <c r="D64" i="5"/>
  <c r="D60" i="5"/>
  <c r="D56" i="5"/>
  <c r="D52" i="5"/>
  <c r="D48" i="5"/>
  <c r="D44" i="5"/>
  <c r="D40" i="5"/>
  <c r="D36" i="5"/>
  <c r="D32" i="5"/>
  <c r="D28" i="5"/>
  <c r="D24" i="5"/>
  <c r="D20" i="5"/>
  <c r="D16" i="5"/>
  <c r="D12" i="5"/>
  <c r="D8" i="5"/>
  <c r="D4" i="5"/>
  <c r="D965" i="5"/>
  <c r="D961" i="5"/>
  <c r="D957" i="5"/>
  <c r="D953" i="5"/>
  <c r="D945" i="5"/>
  <c r="D941" i="5"/>
  <c r="D937" i="5"/>
  <c r="D933" i="5"/>
  <c r="D929" i="5"/>
  <c r="D925" i="5"/>
  <c r="D921" i="5"/>
  <c r="D917" i="5"/>
  <c r="D909" i="5"/>
  <c r="D905" i="5"/>
  <c r="D901" i="5"/>
  <c r="D897" i="5"/>
  <c r="D893" i="5"/>
  <c r="D889" i="5"/>
  <c r="D881" i="5"/>
  <c r="D877" i="5"/>
  <c r="D873" i="5"/>
  <c r="D869" i="5"/>
  <c r="D865" i="5"/>
  <c r="D861" i="5"/>
  <c r="D857" i="5"/>
  <c r="D853" i="5"/>
  <c r="D845" i="5"/>
  <c r="D841" i="5"/>
  <c r="D837" i="5"/>
  <c r="D833" i="5"/>
  <c r="D829" i="5"/>
  <c r="D825" i="5"/>
  <c r="D817" i="5"/>
  <c r="D813" i="5"/>
  <c r="D809" i="5"/>
  <c r="D805" i="5"/>
  <c r="D801" i="5"/>
  <c r="D797" i="5"/>
  <c r="D793" i="5"/>
  <c r="D789" i="5"/>
  <c r="D781" i="5"/>
  <c r="D777" i="5"/>
  <c r="D773" i="5"/>
  <c r="D769" i="5"/>
  <c r="D765" i="5"/>
  <c r="D761" i="5"/>
  <c r="D757" i="5"/>
  <c r="D753" i="5"/>
  <c r="D749" i="5"/>
  <c r="D745" i="5"/>
  <c r="D741" i="5"/>
  <c r="D737" i="5"/>
  <c r="D733" i="5"/>
  <c r="D729" i="5"/>
  <c r="D725" i="5"/>
  <c r="D721" i="5"/>
  <c r="D717" i="5"/>
  <c r="D713" i="5"/>
  <c r="D709" i="5"/>
  <c r="D705" i="5"/>
  <c r="D701" i="5"/>
  <c r="D697" i="5"/>
  <c r="D693" i="5"/>
  <c r="D689" i="5"/>
  <c r="D685" i="5"/>
  <c r="D681" i="5"/>
  <c r="D677" i="5"/>
  <c r="D673" i="5"/>
  <c r="D669" i="5"/>
  <c r="D665" i="5"/>
  <c r="D661" i="5"/>
  <c r="D657" i="5"/>
  <c r="D653" i="5"/>
  <c r="D649" i="5"/>
  <c r="D645" i="5"/>
  <c r="D641" i="5"/>
  <c r="D637" i="5"/>
  <c r="D633" i="5"/>
  <c r="D625" i="5"/>
  <c r="D621" i="5"/>
  <c r="D617" i="5"/>
  <c r="D613" i="5"/>
  <c r="D609" i="5"/>
  <c r="D605" i="5"/>
  <c r="D601" i="5"/>
  <c r="D597" i="5"/>
  <c r="D593" i="5"/>
  <c r="D589" i="5"/>
  <c r="D585" i="5"/>
  <c r="D581" i="5"/>
  <c r="D577" i="5"/>
  <c r="D573" i="5"/>
  <c r="D569" i="5"/>
  <c r="D565" i="5"/>
  <c r="D561" i="5"/>
  <c r="D557" i="5"/>
  <c r="D553" i="5"/>
  <c r="D549" i="5"/>
  <c r="D545" i="5"/>
  <c r="D541" i="5"/>
  <c r="D537" i="5"/>
  <c r="D533" i="5"/>
  <c r="D529" i="5"/>
  <c r="D525" i="5"/>
  <c r="D521" i="5"/>
  <c r="D517" i="5"/>
  <c r="D513" i="5"/>
  <c r="D509" i="5"/>
  <c r="D505" i="5"/>
  <c r="D497" i="5"/>
  <c r="D493" i="5"/>
  <c r="D489" i="5"/>
  <c r="D485" i="5"/>
  <c r="D481" i="5"/>
  <c r="D477" i="5"/>
  <c r="D473" i="5"/>
  <c r="D469" i="5"/>
  <c r="D465" i="5"/>
  <c r="D461" i="5"/>
  <c r="D457" i="5"/>
  <c r="D453" i="5"/>
  <c r="D449" i="5"/>
  <c r="D445" i="5"/>
  <c r="D441" i="5"/>
  <c r="D437" i="5"/>
  <c r="D433" i="5"/>
  <c r="D429" i="5"/>
  <c r="D425" i="5"/>
  <c r="D421" i="5"/>
  <c r="D417" i="5"/>
  <c r="D413" i="5"/>
  <c r="D409" i="5"/>
  <c r="D405" i="5"/>
  <c r="D401" i="5"/>
  <c r="D397" i="5"/>
  <c r="D393" i="5"/>
  <c r="D389" i="5"/>
  <c r="D385" i="5"/>
  <c r="D381" i="5"/>
  <c r="D377" i="5"/>
  <c r="D369" i="5"/>
  <c r="D365" i="5"/>
  <c r="D361" i="5"/>
  <c r="D357" i="5"/>
  <c r="D353" i="5"/>
  <c r="D349" i="5"/>
  <c r="D345" i="5"/>
  <c r="D341" i="5"/>
  <c r="D337" i="5"/>
  <c r="D333" i="5"/>
  <c r="D329" i="5"/>
  <c r="D325" i="5"/>
  <c r="D321" i="5"/>
  <c r="D317" i="5"/>
  <c r="D313" i="5"/>
  <c r="D309" i="5"/>
  <c r="D305" i="5"/>
  <c r="D301" i="5"/>
  <c r="D297" i="5"/>
  <c r="D293" i="5"/>
  <c r="D289" i="5"/>
  <c r="D285" i="5"/>
  <c r="D281" i="5"/>
  <c r="D277" i="5"/>
  <c r="D273" i="5"/>
  <c r="D265" i="5"/>
  <c r="D261" i="5"/>
  <c r="D257" i="5"/>
  <c r="D253" i="5"/>
  <c r="D249" i="5"/>
  <c r="D245" i="5"/>
  <c r="D241" i="5"/>
  <c r="D237" i="5"/>
  <c r="D233" i="5"/>
  <c r="D229" i="5"/>
  <c r="D225" i="5"/>
  <c r="D221" i="5"/>
  <c r="D217" i="5"/>
  <c r="D213" i="5"/>
  <c r="D209" i="5"/>
  <c r="D205" i="5"/>
  <c r="D201" i="5"/>
  <c r="D197" i="5"/>
  <c r="D189" i="5"/>
  <c r="D185" i="5"/>
  <c r="D181" i="5"/>
  <c r="D177" i="5"/>
  <c r="D173" i="5"/>
  <c r="D169" i="5"/>
  <c r="D165" i="5"/>
  <c r="D161" i="5"/>
  <c r="D157" i="5"/>
  <c r="D153" i="5"/>
  <c r="D149" i="5"/>
  <c r="D145" i="5"/>
  <c r="D141" i="5"/>
  <c r="D137" i="5"/>
  <c r="D133" i="5"/>
  <c r="D129" i="5"/>
  <c r="D125" i="5"/>
  <c r="D121" i="5"/>
  <c r="D109" i="5"/>
  <c r="D105" i="5"/>
  <c r="D101" i="5"/>
  <c r="D97" i="5"/>
  <c r="D89" i="5"/>
  <c r="D85" i="5"/>
  <c r="D81" i="5"/>
  <c r="D73" i="5"/>
  <c r="D69" i="5"/>
  <c r="D61" i="5"/>
  <c r="D57" i="5"/>
  <c r="D53" i="5"/>
  <c r="D45" i="5"/>
  <c r="D41" i="5"/>
  <c r="D33" i="5"/>
  <c r="D25" i="5"/>
  <c r="D17" i="5"/>
  <c r="D9" i="5"/>
  <c r="D5" i="5"/>
  <c r="E1244" i="4"/>
  <c r="E1116" i="4"/>
  <c r="E988" i="4"/>
  <c r="E815" i="4"/>
  <c r="E1292" i="4"/>
  <c r="E1249" i="4"/>
  <c r="E1207" i="4"/>
  <c r="E1164" i="4"/>
  <c r="E1121" i="4"/>
  <c r="E1079" i="4"/>
  <c r="E1036" i="4"/>
  <c r="E993" i="4"/>
  <c r="E951" i="4"/>
  <c r="E908" i="4"/>
  <c r="E865" i="4"/>
  <c r="E1201" i="4"/>
  <c r="E1073" i="4"/>
  <c r="E945" i="4"/>
  <c r="E903" i="4"/>
  <c r="E765" i="4"/>
  <c r="E1313" i="4"/>
  <c r="E1271" i="4"/>
  <c r="E1228" i="4"/>
  <c r="E1185" i="4"/>
  <c r="E1143" i="4"/>
  <c r="E1100" i="4"/>
  <c r="E1057" i="4"/>
  <c r="E1015" i="4"/>
  <c r="E972" i="4"/>
  <c r="E929" i="4"/>
  <c r="E887" i="4"/>
  <c r="E844" i="4"/>
  <c r="E787" i="4"/>
  <c r="E1287" i="4"/>
  <c r="E1159" i="4"/>
  <c r="E1031" i="4"/>
  <c r="E1308" i="4"/>
  <c r="E1265" i="4"/>
  <c r="E1223" i="4"/>
  <c r="E1180" i="4"/>
  <c r="E1137" i="4"/>
  <c r="E1095" i="4"/>
  <c r="E1052" i="4"/>
  <c r="E1009" i="4"/>
  <c r="E967" i="4"/>
  <c r="E924" i="4"/>
  <c r="E881" i="4"/>
  <c r="E839" i="4"/>
  <c r="E776" i="4"/>
  <c r="E1303" i="4"/>
  <c r="E1281" i="4"/>
  <c r="E1260" i="4"/>
  <c r="E1239" i="4"/>
  <c r="E1217" i="4"/>
  <c r="E1196" i="4"/>
  <c r="E1175" i="4"/>
  <c r="E1153" i="4"/>
  <c r="E1132" i="4"/>
  <c r="E1111" i="4"/>
  <c r="E1089" i="4"/>
  <c r="E1068" i="4"/>
  <c r="E1047" i="4"/>
  <c r="E1025" i="4"/>
  <c r="E1004" i="4"/>
  <c r="E983" i="4"/>
  <c r="E961" i="4"/>
  <c r="E940" i="4"/>
  <c r="E919" i="4"/>
  <c r="E897" i="4"/>
  <c r="E876" i="4"/>
  <c r="E855" i="4"/>
  <c r="E833" i="4"/>
  <c r="E808" i="4"/>
  <c r="E3" i="4"/>
  <c r="E7" i="4"/>
  <c r="E11" i="4"/>
  <c r="E15" i="4"/>
  <c r="E19" i="4"/>
  <c r="E23" i="4"/>
  <c r="E27" i="4"/>
  <c r="E31" i="4"/>
  <c r="E35" i="4"/>
  <c r="E39" i="4"/>
  <c r="E43" i="4"/>
  <c r="E47" i="4"/>
  <c r="E51" i="4"/>
  <c r="E55" i="4"/>
  <c r="E59" i="4"/>
  <c r="E63" i="4"/>
  <c r="E67" i="4"/>
  <c r="E71" i="4"/>
  <c r="E75" i="4"/>
  <c r="E79" i="4"/>
  <c r="E83" i="4"/>
  <c r="E87" i="4"/>
  <c r="E91" i="4"/>
  <c r="E95" i="4"/>
  <c r="E99" i="4"/>
  <c r="E103" i="4"/>
  <c r="E107" i="4"/>
  <c r="E111" i="4"/>
  <c r="E115" i="4"/>
  <c r="E119" i="4"/>
  <c r="E123" i="4"/>
  <c r="E127" i="4"/>
  <c r="E131" i="4"/>
  <c r="E135" i="4"/>
  <c r="E139" i="4"/>
  <c r="E143" i="4"/>
  <c r="E147" i="4"/>
  <c r="E151" i="4"/>
  <c r="E155" i="4"/>
  <c r="E159" i="4"/>
  <c r="E163" i="4"/>
  <c r="E167" i="4"/>
  <c r="E171" i="4"/>
  <c r="E175" i="4"/>
  <c r="E179" i="4"/>
  <c r="E183" i="4"/>
  <c r="E187" i="4"/>
  <c r="E191" i="4"/>
  <c r="E195" i="4"/>
  <c r="E199" i="4"/>
  <c r="E203" i="4"/>
  <c r="E207" i="4"/>
  <c r="E211" i="4"/>
  <c r="E215" i="4"/>
  <c r="E219" i="4"/>
  <c r="E223" i="4"/>
  <c r="E227" i="4"/>
  <c r="E231" i="4"/>
  <c r="E235" i="4"/>
  <c r="E239" i="4"/>
  <c r="E243" i="4"/>
  <c r="E247" i="4"/>
  <c r="E251" i="4"/>
  <c r="E255" i="4"/>
  <c r="E259" i="4"/>
  <c r="E263" i="4"/>
  <c r="E267" i="4"/>
  <c r="E271" i="4"/>
  <c r="E275" i="4"/>
  <c r="E279" i="4"/>
  <c r="E283" i="4"/>
  <c r="E287" i="4"/>
  <c r="E291" i="4"/>
  <c r="E295" i="4"/>
  <c r="E299" i="4"/>
  <c r="E303" i="4"/>
  <c r="E307" i="4"/>
  <c r="E311" i="4"/>
  <c r="E315" i="4"/>
  <c r="E319" i="4"/>
  <c r="E323" i="4"/>
  <c r="E327" i="4"/>
  <c r="E331" i="4"/>
  <c r="E335" i="4"/>
  <c r="E339" i="4"/>
  <c r="E4" i="4"/>
  <c r="E9" i="4"/>
  <c r="E14" i="4"/>
  <c r="E20" i="4"/>
  <c r="E25" i="4"/>
  <c r="E30" i="4"/>
  <c r="E36" i="4"/>
  <c r="E41" i="4"/>
  <c r="E46" i="4"/>
  <c r="E52" i="4"/>
  <c r="E57" i="4"/>
  <c r="E62" i="4"/>
  <c r="E68" i="4"/>
  <c r="E73" i="4"/>
  <c r="E78" i="4"/>
  <c r="E84" i="4"/>
  <c r="E89" i="4"/>
  <c r="E94" i="4"/>
  <c r="E100" i="4"/>
  <c r="E105" i="4"/>
  <c r="E110" i="4"/>
  <c r="E116" i="4"/>
  <c r="E121" i="4"/>
  <c r="E126" i="4"/>
  <c r="E132" i="4"/>
  <c r="E137" i="4"/>
  <c r="E142" i="4"/>
  <c r="E148" i="4"/>
  <c r="E153" i="4"/>
  <c r="E158" i="4"/>
  <c r="E164" i="4"/>
  <c r="E169" i="4"/>
  <c r="E174" i="4"/>
  <c r="E180" i="4"/>
  <c r="E185" i="4"/>
  <c r="E190" i="4"/>
  <c r="E196" i="4"/>
  <c r="E201" i="4"/>
  <c r="E206" i="4"/>
  <c r="E212" i="4"/>
  <c r="E217" i="4"/>
  <c r="E222" i="4"/>
  <c r="E228" i="4"/>
  <c r="E233" i="4"/>
  <c r="E238" i="4"/>
  <c r="E244" i="4"/>
  <c r="E249" i="4"/>
  <c r="E254" i="4"/>
  <c r="E260" i="4"/>
  <c r="E265" i="4"/>
  <c r="E270" i="4"/>
  <c r="E276" i="4"/>
  <c r="E281" i="4"/>
  <c r="E286" i="4"/>
  <c r="E292" i="4"/>
  <c r="E297" i="4"/>
  <c r="E302" i="4"/>
  <c r="E308" i="4"/>
  <c r="E313" i="4"/>
  <c r="E318" i="4"/>
  <c r="E324" i="4"/>
  <c r="E329" i="4"/>
  <c r="E334" i="4"/>
  <c r="E340" i="4"/>
  <c r="E344" i="4"/>
  <c r="E348" i="4"/>
  <c r="E352" i="4"/>
  <c r="E356" i="4"/>
  <c r="E360" i="4"/>
  <c r="E364" i="4"/>
  <c r="E368" i="4"/>
  <c r="E372" i="4"/>
  <c r="E376" i="4"/>
  <c r="E380" i="4"/>
  <c r="E384" i="4"/>
  <c r="E388" i="4"/>
  <c r="E392" i="4"/>
  <c r="E396" i="4"/>
  <c r="E400" i="4"/>
  <c r="E404" i="4"/>
  <c r="E408" i="4"/>
  <c r="E412" i="4"/>
  <c r="E416" i="4"/>
  <c r="E420" i="4"/>
  <c r="E424" i="4"/>
  <c r="E428" i="4"/>
  <c r="E432" i="4"/>
  <c r="E436" i="4"/>
  <c r="E440" i="4"/>
  <c r="E444" i="4"/>
  <c r="E448" i="4"/>
  <c r="E452" i="4"/>
  <c r="E456" i="4"/>
  <c r="E460" i="4"/>
  <c r="E464" i="4"/>
  <c r="E468" i="4"/>
  <c r="E472" i="4"/>
  <c r="E476" i="4"/>
  <c r="E480" i="4"/>
  <c r="E484" i="4"/>
  <c r="E488" i="4"/>
  <c r="E492" i="4"/>
  <c r="E496" i="4"/>
  <c r="E500" i="4"/>
  <c r="E504" i="4"/>
  <c r="E508" i="4"/>
  <c r="E512" i="4"/>
  <c r="E516" i="4"/>
  <c r="E520" i="4"/>
  <c r="E524" i="4"/>
  <c r="E528" i="4"/>
  <c r="E532" i="4"/>
  <c r="E536" i="4"/>
  <c r="E540" i="4"/>
  <c r="E544" i="4"/>
  <c r="E548" i="4"/>
  <c r="E552" i="4"/>
  <c r="E556" i="4"/>
  <c r="E560" i="4"/>
  <c r="E564" i="4"/>
  <c r="E568" i="4"/>
  <c r="E572" i="4"/>
  <c r="E576" i="4"/>
  <c r="E580" i="4"/>
  <c r="E584" i="4"/>
  <c r="E588" i="4"/>
  <c r="E592" i="4"/>
  <c r="E596" i="4"/>
  <c r="E600" i="4"/>
  <c r="E604" i="4"/>
  <c r="E608" i="4"/>
  <c r="E612" i="4"/>
  <c r="E616" i="4"/>
  <c r="E620" i="4"/>
  <c r="E624" i="4"/>
  <c r="E628" i="4"/>
  <c r="E632" i="4"/>
  <c r="E636" i="4"/>
  <c r="E640" i="4"/>
  <c r="E644" i="4"/>
  <c r="E648" i="4"/>
  <c r="E652" i="4"/>
  <c r="E656" i="4"/>
  <c r="E660" i="4"/>
  <c r="E664" i="4"/>
  <c r="E668" i="4"/>
  <c r="E672" i="4"/>
  <c r="E676" i="4"/>
  <c r="E680" i="4"/>
  <c r="E684" i="4"/>
  <c r="E688" i="4"/>
  <c r="E692" i="4"/>
  <c r="E696" i="4"/>
  <c r="E700" i="4"/>
  <c r="E704" i="4"/>
  <c r="E708" i="4"/>
  <c r="E712" i="4"/>
  <c r="E716" i="4"/>
  <c r="E720" i="4"/>
  <c r="E724" i="4"/>
  <c r="E728" i="4"/>
  <c r="E732" i="4"/>
  <c r="E736" i="4"/>
  <c r="E740" i="4"/>
  <c r="E744" i="4"/>
  <c r="E748" i="4"/>
  <c r="E752" i="4"/>
  <c r="E756" i="4"/>
  <c r="E760" i="4"/>
  <c r="E764" i="4"/>
  <c r="E5" i="4"/>
  <c r="E12" i="4"/>
  <c r="E18" i="4"/>
  <c r="E26" i="4"/>
  <c r="E33" i="4"/>
  <c r="E40" i="4"/>
  <c r="E48" i="4"/>
  <c r="E54" i="4"/>
  <c r="E61" i="4"/>
  <c r="E69" i="4"/>
  <c r="E76" i="4"/>
  <c r="E82" i="4"/>
  <c r="E90" i="4"/>
  <c r="E97" i="4"/>
  <c r="E104" i="4"/>
  <c r="E112" i="4"/>
  <c r="E118" i="4"/>
  <c r="E125" i="4"/>
  <c r="E133" i="4"/>
  <c r="E140" i="4"/>
  <c r="E146" i="4"/>
  <c r="E154" i="4"/>
  <c r="E161" i="4"/>
  <c r="E168" i="4"/>
  <c r="E176" i="4"/>
  <c r="E182" i="4"/>
  <c r="E189" i="4"/>
  <c r="E197" i="4"/>
  <c r="E204" i="4"/>
  <c r="E210" i="4"/>
  <c r="E218" i="4"/>
  <c r="E225" i="4"/>
  <c r="E232" i="4"/>
  <c r="E240" i="4"/>
  <c r="E246" i="4"/>
  <c r="E253" i="4"/>
  <c r="E261" i="4"/>
  <c r="E268" i="4"/>
  <c r="E274" i="4"/>
  <c r="E282" i="4"/>
  <c r="E289" i="4"/>
  <c r="E296" i="4"/>
  <c r="E304" i="4"/>
  <c r="E310" i="4"/>
  <c r="E317" i="4"/>
  <c r="E325" i="4"/>
  <c r="E332" i="4"/>
  <c r="E338" i="4"/>
  <c r="E345" i="4"/>
  <c r="E350" i="4"/>
  <c r="E355" i="4"/>
  <c r="E361" i="4"/>
  <c r="E366" i="4"/>
  <c r="E371" i="4"/>
  <c r="E377" i="4"/>
  <c r="E382" i="4"/>
  <c r="E387" i="4"/>
  <c r="E393" i="4"/>
  <c r="E398" i="4"/>
  <c r="E403" i="4"/>
  <c r="E409" i="4"/>
  <c r="E414" i="4"/>
  <c r="E419" i="4"/>
  <c r="E425" i="4"/>
  <c r="E430" i="4"/>
  <c r="E435" i="4"/>
  <c r="E441" i="4"/>
  <c r="E446" i="4"/>
  <c r="E451" i="4"/>
  <c r="E457" i="4"/>
  <c r="E462" i="4"/>
  <c r="E467" i="4"/>
  <c r="E473" i="4"/>
  <c r="E478" i="4"/>
  <c r="E483" i="4"/>
  <c r="E489" i="4"/>
  <c r="E494" i="4"/>
  <c r="E499" i="4"/>
  <c r="E505" i="4"/>
  <c r="E510" i="4"/>
  <c r="E515" i="4"/>
  <c r="E521" i="4"/>
  <c r="E526" i="4"/>
  <c r="E531" i="4"/>
  <c r="E537" i="4"/>
  <c r="E542" i="4"/>
  <c r="E547" i="4"/>
  <c r="E553" i="4"/>
  <c r="E558" i="4"/>
  <c r="E563" i="4"/>
  <c r="E569" i="4"/>
  <c r="E574" i="4"/>
  <c r="E579" i="4"/>
  <c r="E585" i="4"/>
  <c r="E590" i="4"/>
  <c r="E595" i="4"/>
  <c r="E601" i="4"/>
  <c r="E606" i="4"/>
  <c r="E611" i="4"/>
  <c r="E617" i="4"/>
  <c r="E622" i="4"/>
  <c r="E627" i="4"/>
  <c r="E633" i="4"/>
  <c r="E638" i="4"/>
  <c r="E643" i="4"/>
  <c r="E649" i="4"/>
  <c r="E654" i="4"/>
  <c r="E659" i="4"/>
  <c r="E665" i="4"/>
  <c r="E670" i="4"/>
  <c r="E675" i="4"/>
  <c r="E681" i="4"/>
  <c r="E686" i="4"/>
  <c r="E691" i="4"/>
  <c r="E697" i="4"/>
  <c r="E702" i="4"/>
  <c r="E707" i="4"/>
  <c r="E713" i="4"/>
  <c r="E718" i="4"/>
  <c r="E723" i="4"/>
  <c r="E729" i="4"/>
  <c r="E734" i="4"/>
  <c r="E739" i="4"/>
  <c r="E745" i="4"/>
  <c r="E750" i="4"/>
  <c r="E755" i="4"/>
  <c r="E761" i="4"/>
  <c r="E766" i="4"/>
  <c r="E770" i="4"/>
  <c r="E774" i="4"/>
  <c r="E778" i="4"/>
  <c r="E782" i="4"/>
  <c r="E786" i="4"/>
  <c r="E790" i="4"/>
  <c r="E794" i="4"/>
  <c r="E798" i="4"/>
  <c r="E802" i="4"/>
  <c r="E806" i="4"/>
  <c r="E810" i="4"/>
  <c r="E814" i="4"/>
  <c r="E818" i="4"/>
  <c r="E822" i="4"/>
  <c r="E826" i="4"/>
  <c r="E830" i="4"/>
  <c r="E834" i="4"/>
  <c r="E838" i="4"/>
  <c r="E842" i="4"/>
  <c r="E846" i="4"/>
  <c r="E850" i="4"/>
  <c r="E854" i="4"/>
  <c r="E858" i="4"/>
  <c r="E862" i="4"/>
  <c r="E866" i="4"/>
  <c r="E870" i="4"/>
  <c r="E874" i="4"/>
  <c r="E878" i="4"/>
  <c r="E882" i="4"/>
  <c r="E886" i="4"/>
  <c r="E890" i="4"/>
  <c r="E894" i="4"/>
  <c r="E898" i="4"/>
  <c r="E902" i="4"/>
  <c r="E906" i="4"/>
  <c r="E910" i="4"/>
  <c r="E914" i="4"/>
  <c r="E918" i="4"/>
  <c r="E922" i="4"/>
  <c r="E926" i="4"/>
  <c r="E930" i="4"/>
  <c r="E934" i="4"/>
  <c r="E938" i="4"/>
  <c r="E942" i="4"/>
  <c r="E946" i="4"/>
  <c r="E950" i="4"/>
  <c r="E954" i="4"/>
  <c r="E958" i="4"/>
  <c r="E962" i="4"/>
  <c r="E966" i="4"/>
  <c r="E970" i="4"/>
  <c r="E974" i="4"/>
  <c r="E978" i="4"/>
  <c r="E982" i="4"/>
  <c r="E986" i="4"/>
  <c r="E990" i="4"/>
  <c r="E994" i="4"/>
  <c r="E998" i="4"/>
  <c r="E1002" i="4"/>
  <c r="E1006" i="4"/>
  <c r="E1010" i="4"/>
  <c r="E1014" i="4"/>
  <c r="E1018" i="4"/>
  <c r="E1022" i="4"/>
  <c r="E1026" i="4"/>
  <c r="E1030" i="4"/>
  <c r="E1034" i="4"/>
  <c r="E1038" i="4"/>
  <c r="E1042" i="4"/>
  <c r="E1046" i="4"/>
  <c r="E1050" i="4"/>
  <c r="E1054" i="4"/>
  <c r="E1058" i="4"/>
  <c r="E1062" i="4"/>
  <c r="E1066" i="4"/>
  <c r="E1070" i="4"/>
  <c r="E1074" i="4"/>
  <c r="E1078" i="4"/>
  <c r="E1082" i="4"/>
  <c r="E1086" i="4"/>
  <c r="E1090" i="4"/>
  <c r="E1094" i="4"/>
  <c r="E1098" i="4"/>
  <c r="E1102" i="4"/>
  <c r="E1106" i="4"/>
  <c r="E1110" i="4"/>
  <c r="E1114" i="4"/>
  <c r="E1118" i="4"/>
  <c r="E1122" i="4"/>
  <c r="E1126" i="4"/>
  <c r="E1130" i="4"/>
  <c r="E1134" i="4"/>
  <c r="E1138" i="4"/>
  <c r="E1142" i="4"/>
  <c r="E1146" i="4"/>
  <c r="E1150" i="4"/>
  <c r="E1154" i="4"/>
  <c r="E1158" i="4"/>
  <c r="E1162" i="4"/>
  <c r="E1166" i="4"/>
  <c r="E1170" i="4"/>
  <c r="E1174" i="4"/>
  <c r="E1178" i="4"/>
  <c r="E1182" i="4"/>
  <c r="E1186" i="4"/>
  <c r="E1190" i="4"/>
  <c r="E1194" i="4"/>
  <c r="E1198" i="4"/>
  <c r="E1202" i="4"/>
  <c r="E1206" i="4"/>
  <c r="E1210" i="4"/>
  <c r="E1214" i="4"/>
  <c r="E1218" i="4"/>
  <c r="E1222" i="4"/>
  <c r="E1226" i="4"/>
  <c r="E1230" i="4"/>
  <c r="E1234" i="4"/>
  <c r="E1238" i="4"/>
  <c r="E1242" i="4"/>
  <c r="E1246" i="4"/>
  <c r="E1250" i="4"/>
  <c r="E1254" i="4"/>
  <c r="E1258" i="4"/>
  <c r="E1262" i="4"/>
  <c r="E1266" i="4"/>
  <c r="E1270" i="4"/>
  <c r="E1274" i="4"/>
  <c r="E1278" i="4"/>
  <c r="E1282" i="4"/>
  <c r="E1286" i="4"/>
  <c r="E1290" i="4"/>
  <c r="E1294" i="4"/>
  <c r="E1298" i="4"/>
  <c r="E1302" i="4"/>
  <c r="E1306" i="4"/>
  <c r="E1310" i="4"/>
  <c r="E1314" i="4"/>
  <c r="E1318" i="4"/>
  <c r="E8" i="4"/>
  <c r="E16" i="4"/>
  <c r="E22" i="4"/>
  <c r="E29" i="4"/>
  <c r="E37" i="4"/>
  <c r="E44" i="4"/>
  <c r="E50" i="4"/>
  <c r="E58" i="4"/>
  <c r="E65" i="4"/>
  <c r="E72" i="4"/>
  <c r="E80" i="4"/>
  <c r="E86" i="4"/>
  <c r="E93" i="4"/>
  <c r="E101" i="4"/>
  <c r="E108" i="4"/>
  <c r="E114" i="4"/>
  <c r="E122" i="4"/>
  <c r="E129" i="4"/>
  <c r="E136" i="4"/>
  <c r="E144" i="4"/>
  <c r="E150" i="4"/>
  <c r="E157" i="4"/>
  <c r="E165" i="4"/>
  <c r="E172" i="4"/>
  <c r="E178" i="4"/>
  <c r="E186" i="4"/>
  <c r="E193" i="4"/>
  <c r="E200" i="4"/>
  <c r="E208" i="4"/>
  <c r="E214" i="4"/>
  <c r="E221" i="4"/>
  <c r="E229" i="4"/>
  <c r="E236" i="4"/>
  <c r="E242" i="4"/>
  <c r="E250" i="4"/>
  <c r="E257" i="4"/>
  <c r="E264" i="4"/>
  <c r="E272" i="4"/>
  <c r="E278" i="4"/>
  <c r="E285" i="4"/>
  <c r="E293" i="4"/>
  <c r="E300" i="4"/>
  <c r="E306" i="4"/>
  <c r="E314" i="4"/>
  <c r="E321" i="4"/>
  <c r="E328" i="4"/>
  <c r="E336" i="4"/>
  <c r="E342" i="4"/>
  <c r="E347" i="4"/>
  <c r="E353" i="4"/>
  <c r="E358" i="4"/>
  <c r="E363" i="4"/>
  <c r="E369" i="4"/>
  <c r="E374" i="4"/>
  <c r="E379" i="4"/>
  <c r="E385" i="4"/>
  <c r="E390" i="4"/>
  <c r="E395" i="4"/>
  <c r="E401" i="4"/>
  <c r="E406" i="4"/>
  <c r="E411" i="4"/>
  <c r="E417" i="4"/>
  <c r="E422" i="4"/>
  <c r="E427" i="4"/>
  <c r="E433" i="4"/>
  <c r="E438" i="4"/>
  <c r="E443" i="4"/>
  <c r="E449" i="4"/>
  <c r="E454" i="4"/>
  <c r="E459" i="4"/>
  <c r="E465" i="4"/>
  <c r="E470" i="4"/>
  <c r="E475" i="4"/>
  <c r="E481" i="4"/>
  <c r="E486" i="4"/>
  <c r="E491" i="4"/>
  <c r="E497" i="4"/>
  <c r="E502" i="4"/>
  <c r="E507" i="4"/>
  <c r="E513" i="4"/>
  <c r="E518" i="4"/>
  <c r="E523" i="4"/>
  <c r="E529" i="4"/>
  <c r="E534" i="4"/>
  <c r="E539" i="4"/>
  <c r="E6" i="4"/>
  <c r="E21" i="4"/>
  <c r="E34" i="4"/>
  <c r="E49" i="4"/>
  <c r="E64" i="4"/>
  <c r="E77" i="4"/>
  <c r="E92" i="4"/>
  <c r="E106" i="4"/>
  <c r="E120" i="4"/>
  <c r="E134" i="4"/>
  <c r="E149" i="4"/>
  <c r="E162" i="4"/>
  <c r="E177" i="4"/>
  <c r="E192" i="4"/>
  <c r="E205" i="4"/>
  <c r="E220" i="4"/>
  <c r="E234" i="4"/>
  <c r="E248" i="4"/>
  <c r="E262" i="4"/>
  <c r="E277" i="4"/>
  <c r="E290" i="4"/>
  <c r="E305" i="4"/>
  <c r="E320" i="4"/>
  <c r="E333" i="4"/>
  <c r="E346" i="4"/>
  <c r="E357" i="4"/>
  <c r="E367" i="4"/>
  <c r="E378" i="4"/>
  <c r="E389" i="4"/>
  <c r="E399" i="4"/>
  <c r="E410" i="4"/>
  <c r="E421" i="4"/>
  <c r="E431" i="4"/>
  <c r="E442" i="4"/>
  <c r="E453" i="4"/>
  <c r="E463" i="4"/>
  <c r="E474" i="4"/>
  <c r="E485" i="4"/>
  <c r="E495" i="4"/>
  <c r="E506" i="4"/>
  <c r="E517" i="4"/>
  <c r="E527" i="4"/>
  <c r="E538" i="4"/>
  <c r="E546" i="4"/>
  <c r="E554" i="4"/>
  <c r="E561" i="4"/>
  <c r="E567" i="4"/>
  <c r="E575" i="4"/>
  <c r="E582" i="4"/>
  <c r="E589" i="4"/>
  <c r="E597" i="4"/>
  <c r="E603" i="4"/>
  <c r="E610" i="4"/>
  <c r="E618" i="4"/>
  <c r="E625" i="4"/>
  <c r="E631" i="4"/>
  <c r="E639" i="4"/>
  <c r="E646" i="4"/>
  <c r="E653" i="4"/>
  <c r="E661" i="4"/>
  <c r="E667" i="4"/>
  <c r="E674" i="4"/>
  <c r="E682" i="4"/>
  <c r="E689" i="4"/>
  <c r="E695" i="4"/>
  <c r="E703" i="4"/>
  <c r="E710" i="4"/>
  <c r="E717" i="4"/>
  <c r="E725" i="4"/>
  <c r="E731" i="4"/>
  <c r="E738" i="4"/>
  <c r="E746" i="4"/>
  <c r="E753" i="4"/>
  <c r="E759" i="4"/>
  <c r="E767" i="4"/>
  <c r="E772" i="4"/>
  <c r="E777" i="4"/>
  <c r="E783" i="4"/>
  <c r="E788" i="4"/>
  <c r="E793" i="4"/>
  <c r="E799" i="4"/>
  <c r="E804" i="4"/>
  <c r="E10" i="4"/>
  <c r="E24" i="4"/>
  <c r="E38" i="4"/>
  <c r="E53" i="4"/>
  <c r="E66" i="4"/>
  <c r="E81" i="4"/>
  <c r="E96" i="4"/>
  <c r="E109" i="4"/>
  <c r="E124" i="4"/>
  <c r="E138" i="4"/>
  <c r="E152" i="4"/>
  <c r="E166" i="4"/>
  <c r="E181" i="4"/>
  <c r="E194" i="4"/>
  <c r="E209" i="4"/>
  <c r="E224" i="4"/>
  <c r="E237" i="4"/>
  <c r="E252" i="4"/>
  <c r="E266" i="4"/>
  <c r="E280" i="4"/>
  <c r="E294" i="4"/>
  <c r="E309" i="4"/>
  <c r="E322" i="4"/>
  <c r="E337" i="4"/>
  <c r="E349" i="4"/>
  <c r="E359" i="4"/>
  <c r="E370" i="4"/>
  <c r="E381" i="4"/>
  <c r="E391" i="4"/>
  <c r="E402" i="4"/>
  <c r="E413" i="4"/>
  <c r="E423" i="4"/>
  <c r="E434" i="4"/>
  <c r="E445" i="4"/>
  <c r="E455" i="4"/>
  <c r="E466" i="4"/>
  <c r="E477" i="4"/>
  <c r="E487" i="4"/>
  <c r="E498" i="4"/>
  <c r="E509" i="4"/>
  <c r="E519" i="4"/>
  <c r="E530" i="4"/>
  <c r="E541" i="4"/>
  <c r="E549" i="4"/>
  <c r="E555" i="4"/>
  <c r="E562" i="4"/>
  <c r="E570" i="4"/>
  <c r="E577" i="4"/>
  <c r="E583" i="4"/>
  <c r="E591" i="4"/>
  <c r="E598" i="4"/>
  <c r="E605" i="4"/>
  <c r="E613" i="4"/>
  <c r="E619" i="4"/>
  <c r="E626" i="4"/>
  <c r="E634" i="4"/>
  <c r="E641" i="4"/>
  <c r="E647" i="4"/>
  <c r="E655" i="4"/>
  <c r="E662" i="4"/>
  <c r="E669" i="4"/>
  <c r="E677" i="4"/>
  <c r="E683" i="4"/>
  <c r="E690" i="4"/>
  <c r="E698" i="4"/>
  <c r="E705" i="4"/>
  <c r="E711" i="4"/>
  <c r="E719" i="4"/>
  <c r="E726" i="4"/>
  <c r="E733" i="4"/>
  <c r="E741" i="4"/>
  <c r="E747" i="4"/>
  <c r="E754" i="4"/>
  <c r="E762" i="4"/>
  <c r="E768" i="4"/>
  <c r="E773" i="4"/>
  <c r="E779" i="4"/>
  <c r="E784" i="4"/>
  <c r="E789" i="4"/>
  <c r="E795" i="4"/>
  <c r="E800" i="4"/>
  <c r="E805" i="4"/>
  <c r="E811" i="4"/>
  <c r="E816" i="4"/>
  <c r="E821" i="4"/>
  <c r="E13" i="4"/>
  <c r="E42" i="4"/>
  <c r="E70" i="4"/>
  <c r="E98" i="4"/>
  <c r="E128" i="4"/>
  <c r="E156" i="4"/>
  <c r="E184" i="4"/>
  <c r="E213" i="4"/>
  <c r="E241" i="4"/>
  <c r="E269" i="4"/>
  <c r="E298" i="4"/>
  <c r="E326" i="4"/>
  <c r="E351" i="4"/>
  <c r="E373" i="4"/>
  <c r="E394" i="4"/>
  <c r="E415" i="4"/>
  <c r="E437" i="4"/>
  <c r="E458" i="4"/>
  <c r="E479" i="4"/>
  <c r="E501" i="4"/>
  <c r="E522" i="4"/>
  <c r="E543" i="4"/>
  <c r="E557" i="4"/>
  <c r="E571" i="4"/>
  <c r="E586" i="4"/>
  <c r="E599" i="4"/>
  <c r="E614" i="4"/>
  <c r="E629" i="4"/>
  <c r="E642" i="4"/>
  <c r="E657" i="4"/>
  <c r="E671" i="4"/>
  <c r="E685" i="4"/>
  <c r="E699" i="4"/>
  <c r="E714" i="4"/>
  <c r="E727" i="4"/>
  <c r="E742" i="4"/>
  <c r="E757" i="4"/>
  <c r="E769" i="4"/>
  <c r="E780" i="4"/>
  <c r="E791" i="4"/>
  <c r="E801" i="4"/>
  <c r="E809" i="4"/>
  <c r="E817" i="4"/>
  <c r="E824" i="4"/>
  <c r="E829" i="4"/>
  <c r="E835" i="4"/>
  <c r="E840" i="4"/>
  <c r="E845" i="4"/>
  <c r="E851" i="4"/>
  <c r="E856" i="4"/>
  <c r="E861" i="4"/>
  <c r="E867" i="4"/>
  <c r="E872" i="4"/>
  <c r="E877" i="4"/>
  <c r="E883" i="4"/>
  <c r="E888" i="4"/>
  <c r="E893" i="4"/>
  <c r="E899" i="4"/>
  <c r="E904" i="4"/>
  <c r="E909" i="4"/>
  <c r="E915" i="4"/>
  <c r="E920" i="4"/>
  <c r="E925" i="4"/>
  <c r="E931" i="4"/>
  <c r="E936" i="4"/>
  <c r="E941" i="4"/>
  <c r="E947" i="4"/>
  <c r="E952" i="4"/>
  <c r="E957" i="4"/>
  <c r="E963" i="4"/>
  <c r="E968" i="4"/>
  <c r="E973" i="4"/>
  <c r="E979" i="4"/>
  <c r="E984" i="4"/>
  <c r="E989" i="4"/>
  <c r="E995" i="4"/>
  <c r="E1000" i="4"/>
  <c r="E1005" i="4"/>
  <c r="E1011" i="4"/>
  <c r="E1016" i="4"/>
  <c r="E1021" i="4"/>
  <c r="E1027" i="4"/>
  <c r="E1032" i="4"/>
  <c r="E1037" i="4"/>
  <c r="E1043" i="4"/>
  <c r="E1048" i="4"/>
  <c r="E1053" i="4"/>
  <c r="E1059" i="4"/>
  <c r="E1064" i="4"/>
  <c r="E1069" i="4"/>
  <c r="E1075" i="4"/>
  <c r="E1080" i="4"/>
  <c r="E1085" i="4"/>
  <c r="E1091" i="4"/>
  <c r="E1096" i="4"/>
  <c r="E1101" i="4"/>
  <c r="E1107" i="4"/>
  <c r="E1112" i="4"/>
  <c r="E1117" i="4"/>
  <c r="E1123" i="4"/>
  <c r="E1128" i="4"/>
  <c r="E1133" i="4"/>
  <c r="E1139" i="4"/>
  <c r="E1144" i="4"/>
  <c r="E1149" i="4"/>
  <c r="E1155" i="4"/>
  <c r="E1160" i="4"/>
  <c r="E1165" i="4"/>
  <c r="E1171" i="4"/>
  <c r="E1176" i="4"/>
  <c r="E1181" i="4"/>
  <c r="E1187" i="4"/>
  <c r="E1192" i="4"/>
  <c r="E1197" i="4"/>
  <c r="E1203" i="4"/>
  <c r="E1208" i="4"/>
  <c r="E1213" i="4"/>
  <c r="E1219" i="4"/>
  <c r="E1224" i="4"/>
  <c r="E1229" i="4"/>
  <c r="E1235" i="4"/>
  <c r="E1240" i="4"/>
  <c r="E1245" i="4"/>
  <c r="E1251" i="4"/>
  <c r="E1256" i="4"/>
  <c r="E1261" i="4"/>
  <c r="E1267" i="4"/>
  <c r="E1272" i="4"/>
  <c r="E1277" i="4"/>
  <c r="E1283" i="4"/>
  <c r="E1288" i="4"/>
  <c r="E1293" i="4"/>
  <c r="E1299" i="4"/>
  <c r="E1304" i="4"/>
  <c r="E1309" i="4"/>
  <c r="E1315" i="4"/>
  <c r="E17" i="4"/>
  <c r="E45" i="4"/>
  <c r="E74" i="4"/>
  <c r="E102" i="4"/>
  <c r="E130" i="4"/>
  <c r="E160" i="4"/>
  <c r="E188" i="4"/>
  <c r="E216" i="4"/>
  <c r="E245" i="4"/>
  <c r="E273" i="4"/>
  <c r="E301" i="4"/>
  <c r="E330" i="4"/>
  <c r="E354" i="4"/>
  <c r="E375" i="4"/>
  <c r="E397" i="4"/>
  <c r="E418" i="4"/>
  <c r="E439" i="4"/>
  <c r="E461" i="4"/>
  <c r="E482" i="4"/>
  <c r="E503" i="4"/>
  <c r="E525" i="4"/>
  <c r="E545" i="4"/>
  <c r="E559" i="4"/>
  <c r="E573" i="4"/>
  <c r="E587" i="4"/>
  <c r="E602" i="4"/>
  <c r="E615" i="4"/>
  <c r="E630" i="4"/>
  <c r="E645" i="4"/>
  <c r="E658" i="4"/>
  <c r="E673" i="4"/>
  <c r="E687" i="4"/>
  <c r="E701" i="4"/>
  <c r="E715" i="4"/>
  <c r="E730" i="4"/>
  <c r="E743" i="4"/>
  <c r="E758" i="4"/>
  <c r="E771" i="4"/>
  <c r="E781" i="4"/>
  <c r="E792" i="4"/>
  <c r="E803" i="4"/>
  <c r="E812" i="4"/>
  <c r="E819" i="4"/>
  <c r="E825" i="4"/>
  <c r="E831" i="4"/>
  <c r="E836" i="4"/>
  <c r="E841" i="4"/>
  <c r="E847" i="4"/>
  <c r="E852" i="4"/>
  <c r="E857" i="4"/>
  <c r="E863" i="4"/>
  <c r="E868" i="4"/>
  <c r="E873" i="4"/>
  <c r="E879" i="4"/>
  <c r="E884" i="4"/>
  <c r="E889" i="4"/>
  <c r="E895" i="4"/>
  <c r="E900" i="4"/>
  <c r="E905" i="4"/>
  <c r="E911" i="4"/>
  <c r="E916" i="4"/>
  <c r="E921" i="4"/>
  <c r="E927" i="4"/>
  <c r="E932" i="4"/>
  <c r="E937" i="4"/>
  <c r="E943" i="4"/>
  <c r="E948" i="4"/>
  <c r="E953" i="4"/>
  <c r="E959" i="4"/>
  <c r="E964" i="4"/>
  <c r="E969" i="4"/>
  <c r="E975" i="4"/>
  <c r="E980" i="4"/>
  <c r="E985" i="4"/>
  <c r="E991" i="4"/>
  <c r="E996" i="4"/>
  <c r="E1001" i="4"/>
  <c r="E1007" i="4"/>
  <c r="E1012" i="4"/>
  <c r="E1017" i="4"/>
  <c r="E1023" i="4"/>
  <c r="E1028" i="4"/>
  <c r="E1033" i="4"/>
  <c r="E1039" i="4"/>
  <c r="E1044" i="4"/>
  <c r="E1049" i="4"/>
  <c r="E1055" i="4"/>
  <c r="E1060" i="4"/>
  <c r="E1065" i="4"/>
  <c r="E1071" i="4"/>
  <c r="E1076" i="4"/>
  <c r="E1081" i="4"/>
  <c r="E1087" i="4"/>
  <c r="E1092" i="4"/>
  <c r="E1097" i="4"/>
  <c r="E1103" i="4"/>
  <c r="E1108" i="4"/>
  <c r="E1113" i="4"/>
  <c r="E1119" i="4"/>
  <c r="E1124" i="4"/>
  <c r="E1129" i="4"/>
  <c r="E1135" i="4"/>
  <c r="E1140" i="4"/>
  <c r="E1145" i="4"/>
  <c r="E1151" i="4"/>
  <c r="E1156" i="4"/>
  <c r="E1161" i="4"/>
  <c r="E1167" i="4"/>
  <c r="E1172" i="4"/>
  <c r="E1177" i="4"/>
  <c r="E1183" i="4"/>
  <c r="E1188" i="4"/>
  <c r="E1193" i="4"/>
  <c r="E1199" i="4"/>
  <c r="E1204" i="4"/>
  <c r="E1209" i="4"/>
  <c r="E1215" i="4"/>
  <c r="E1220" i="4"/>
  <c r="E1225" i="4"/>
  <c r="E1231" i="4"/>
  <c r="E1236" i="4"/>
  <c r="E1241" i="4"/>
  <c r="E1247" i="4"/>
  <c r="E1252" i="4"/>
  <c r="E1257" i="4"/>
  <c r="E1263" i="4"/>
  <c r="E1268" i="4"/>
  <c r="E1273" i="4"/>
  <c r="E1279" i="4"/>
  <c r="E1284" i="4"/>
  <c r="E1289" i="4"/>
  <c r="E1295" i="4"/>
  <c r="E1300" i="4"/>
  <c r="E1305" i="4"/>
  <c r="E1311" i="4"/>
  <c r="E1316" i="4"/>
  <c r="E28" i="4"/>
  <c r="E56" i="4"/>
  <c r="E85" i="4"/>
  <c r="E113" i="4"/>
  <c r="E141" i="4"/>
  <c r="E170" i="4"/>
  <c r="E198" i="4"/>
  <c r="E226" i="4"/>
  <c r="E256" i="4"/>
  <c r="E284" i="4"/>
  <c r="E312" i="4"/>
  <c r="E341" i="4"/>
  <c r="E362" i="4"/>
  <c r="E383" i="4"/>
  <c r="E405" i="4"/>
  <c r="E426" i="4"/>
  <c r="E447" i="4"/>
  <c r="E469" i="4"/>
  <c r="E490" i="4"/>
  <c r="E511" i="4"/>
  <c r="E533" i="4"/>
  <c r="E550" i="4"/>
  <c r="E565" i="4"/>
  <c r="E578" i="4"/>
  <c r="E593" i="4"/>
  <c r="E607" i="4"/>
  <c r="E621" i="4"/>
  <c r="E635" i="4"/>
  <c r="E650" i="4"/>
  <c r="E663" i="4"/>
  <c r="E678" i="4"/>
  <c r="E693" i="4"/>
  <c r="E706" i="4"/>
  <c r="E721" i="4"/>
  <c r="E735" i="4"/>
  <c r="E749" i="4"/>
  <c r="E763" i="4"/>
  <c r="E775" i="4"/>
  <c r="E785" i="4"/>
  <c r="E796" i="4"/>
  <c r="E807" i="4"/>
  <c r="E813" i="4"/>
  <c r="E820" i="4"/>
  <c r="E827" i="4"/>
  <c r="E832" i="4"/>
  <c r="E837" i="4"/>
  <c r="E843" i="4"/>
  <c r="E848" i="4"/>
  <c r="E853" i="4"/>
  <c r="E859" i="4"/>
  <c r="E864" i="4"/>
  <c r="E869" i="4"/>
  <c r="E875" i="4"/>
  <c r="E880" i="4"/>
  <c r="E885" i="4"/>
  <c r="E891" i="4"/>
  <c r="E896" i="4"/>
  <c r="E901" i="4"/>
  <c r="E907" i="4"/>
  <c r="E912" i="4"/>
  <c r="E917" i="4"/>
  <c r="E923" i="4"/>
  <c r="E928" i="4"/>
  <c r="E933" i="4"/>
  <c r="E939" i="4"/>
  <c r="E944" i="4"/>
  <c r="E949" i="4"/>
  <c r="E955" i="4"/>
  <c r="E960" i="4"/>
  <c r="E965" i="4"/>
  <c r="E971" i="4"/>
  <c r="E976" i="4"/>
  <c r="E981" i="4"/>
  <c r="E987" i="4"/>
  <c r="E992" i="4"/>
  <c r="E997" i="4"/>
  <c r="E1003" i="4"/>
  <c r="E1008" i="4"/>
  <c r="E1013" i="4"/>
  <c r="E1019" i="4"/>
  <c r="E1024" i="4"/>
  <c r="E1029" i="4"/>
  <c r="E1035" i="4"/>
  <c r="E1040" i="4"/>
  <c r="E1045" i="4"/>
  <c r="E1051" i="4"/>
  <c r="E1056" i="4"/>
  <c r="E1061" i="4"/>
  <c r="E1067" i="4"/>
  <c r="E1072" i="4"/>
  <c r="E1077" i="4"/>
  <c r="E1083" i="4"/>
  <c r="E1088" i="4"/>
  <c r="E1093" i="4"/>
  <c r="E1099" i="4"/>
  <c r="E1104" i="4"/>
  <c r="E1109" i="4"/>
  <c r="E1115" i="4"/>
  <c r="E1120" i="4"/>
  <c r="E1125" i="4"/>
  <c r="E1131" i="4"/>
  <c r="E1136" i="4"/>
  <c r="E1141" i="4"/>
  <c r="E1147" i="4"/>
  <c r="E1152" i="4"/>
  <c r="E1157" i="4"/>
  <c r="E1163" i="4"/>
  <c r="E1168" i="4"/>
  <c r="E1173" i="4"/>
  <c r="E1179" i="4"/>
  <c r="E1184" i="4"/>
  <c r="E1189" i="4"/>
  <c r="E1195" i="4"/>
  <c r="E1200" i="4"/>
  <c r="E1205" i="4"/>
  <c r="E1211" i="4"/>
  <c r="E1216" i="4"/>
  <c r="E1221" i="4"/>
  <c r="E1227" i="4"/>
  <c r="E1232" i="4"/>
  <c r="E1237" i="4"/>
  <c r="E1243" i="4"/>
  <c r="E1248" i="4"/>
  <c r="E1253" i="4"/>
  <c r="E1259" i="4"/>
  <c r="E1264" i="4"/>
  <c r="E1269" i="4"/>
  <c r="E1275" i="4"/>
  <c r="E1280" i="4"/>
  <c r="E1285" i="4"/>
  <c r="E1291" i="4"/>
  <c r="E1296" i="4"/>
  <c r="E1301" i="4"/>
  <c r="E1307" i="4"/>
  <c r="E1312" i="4"/>
  <c r="E1317" i="4"/>
  <c r="E60" i="4"/>
  <c r="E117" i="4"/>
  <c r="E145" i="4"/>
  <c r="E173" i="4"/>
  <c r="E202" i="4"/>
  <c r="E230" i="4"/>
  <c r="E258" i="4"/>
  <c r="E288" i="4"/>
  <c r="E316" i="4"/>
  <c r="E343" i="4"/>
  <c r="E365" i="4"/>
  <c r="E386" i="4"/>
  <c r="E407" i="4"/>
  <c r="E429" i="4"/>
  <c r="E450" i="4"/>
  <c r="E471" i="4"/>
  <c r="E493" i="4"/>
  <c r="E514" i="4"/>
  <c r="E535" i="4"/>
  <c r="E551" i="4"/>
  <c r="E566" i="4"/>
  <c r="E581" i="4"/>
  <c r="E594" i="4"/>
  <c r="E609" i="4"/>
  <c r="E623" i="4"/>
  <c r="E637" i="4"/>
  <c r="E651" i="4"/>
  <c r="E666" i="4"/>
  <c r="E679" i="4"/>
  <c r="E694" i="4"/>
  <c r="E709" i="4"/>
  <c r="E722" i="4"/>
  <c r="E737" i="4"/>
  <c r="E751" i="4"/>
  <c r="E32" i="4"/>
  <c r="E2" i="4"/>
  <c r="E1297" i="4"/>
  <c r="E1276" i="4"/>
  <c r="E1255" i="4"/>
  <c r="E1233" i="4"/>
  <c r="E1212" i="4"/>
  <c r="E1191" i="4"/>
  <c r="E1169" i="4"/>
  <c r="E1148" i="4"/>
  <c r="E1127" i="4"/>
  <c r="E1105" i="4"/>
  <c r="E1084" i="4"/>
  <c r="E1063" i="4"/>
  <c r="E1041" i="4"/>
  <c r="E1020" i="4"/>
  <c r="E999" i="4"/>
  <c r="E977" i="4"/>
  <c r="E956" i="4"/>
  <c r="E935" i="4"/>
  <c r="E913" i="4"/>
  <c r="E892" i="4"/>
  <c r="E871" i="4"/>
  <c r="E849" i="4"/>
  <c r="E828" i="4"/>
  <c r="E797" i="4"/>
  <c r="E88" i="4"/>
  <c r="B9" i="1"/>
  <c r="B8" i="1"/>
  <c r="C16" i="1" s="1"/>
  <c r="B7" i="1"/>
  <c r="C17" i="1" l="1"/>
  <c r="C18" i="1"/>
</calcChain>
</file>

<file path=xl/comments1.xml><?xml version="1.0" encoding="utf-8"?>
<comments xmlns="http://schemas.openxmlformats.org/spreadsheetml/2006/main">
  <authors>
    <author>Erik W. Leppo</author>
  </authors>
  <commentList>
    <comment ref="A7" authorId="0" shapeId="0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</commentList>
</comments>
</file>

<file path=xl/sharedStrings.xml><?xml version="1.0" encoding="utf-8"?>
<sst xmlns="http://schemas.openxmlformats.org/spreadsheetml/2006/main" count="20801" uniqueCount="6534">
  <si>
    <t>Specific Task</t>
  </si>
  <si>
    <t>Erik.Leppo@tetratech.com</t>
  </si>
  <si>
    <t>Path &amp; FileName</t>
  </si>
  <si>
    <t>FileName:</t>
  </si>
  <si>
    <t>TabName:</t>
  </si>
  <si>
    <t>Descriptions</t>
  </si>
  <si>
    <t>NOTES</t>
  </si>
  <si>
    <t>Description of Work</t>
  </si>
  <si>
    <t>Sheet2</t>
  </si>
  <si>
    <t>Sheet3</t>
  </si>
  <si>
    <t>Worksheet</t>
  </si>
  <si>
    <t>Link</t>
  </si>
  <si>
    <t>Description of work and other worksheets.</t>
  </si>
  <si>
    <t>AZ Create SampSummary Table</t>
  </si>
  <si>
    <t>Needed for CASTfxn R package.</t>
  </si>
  <si>
    <t>StationID</t>
  </si>
  <si>
    <t>LCWLR001.23</t>
  </si>
  <si>
    <t>SRTON062.28</t>
  </si>
  <si>
    <t>SPGRA007.71</t>
  </si>
  <si>
    <t>LCCOL003.03</t>
  </si>
  <si>
    <t>VROAK048.36</t>
  </si>
  <si>
    <t>LCWLR005.31</t>
  </si>
  <si>
    <t>SPRMC011.48</t>
  </si>
  <si>
    <t>VROAK049.65</t>
  </si>
  <si>
    <t>VRWCL023.36</t>
  </si>
  <si>
    <t>LCMLK001.18</t>
  </si>
  <si>
    <t>VRPIE016.49</t>
  </si>
  <si>
    <t>VROAK047.96</t>
  </si>
  <si>
    <t>UGBLR030.24</t>
  </si>
  <si>
    <t>UGSFR144.95</t>
  </si>
  <si>
    <t>LCNUT025.35</t>
  </si>
  <si>
    <t>SRUDC000.02</t>
  </si>
  <si>
    <t>SRBGY002.86</t>
  </si>
  <si>
    <t>LCMIN018.05</t>
  </si>
  <si>
    <t>LCELR005.67</t>
  </si>
  <si>
    <t>UGCMB004.23</t>
  </si>
  <si>
    <t>SRFIS010.92</t>
  </si>
  <si>
    <t>VRWOK000.82</t>
  </si>
  <si>
    <t>UGBLR046.35</t>
  </si>
  <si>
    <t>UGFRY009.52</t>
  </si>
  <si>
    <t>VRWEB009.13</t>
  </si>
  <si>
    <t>SPRUC007.81</t>
  </si>
  <si>
    <t>UGLAN000.60</t>
  </si>
  <si>
    <t>SRCYN045.73</t>
  </si>
  <si>
    <t>UGMRW011.38</t>
  </si>
  <si>
    <t>SRREY001.14</t>
  </si>
  <si>
    <t>SREFB000.91</t>
  </si>
  <si>
    <t>SPWRC000.48</t>
  </si>
  <si>
    <t>CGNCA028.70</t>
  </si>
  <si>
    <t>VRWCL036.37</t>
  </si>
  <si>
    <t>SRDCN001.90</t>
  </si>
  <si>
    <t>SRTON061.37</t>
  </si>
  <si>
    <t>UGCAV016.84</t>
  </si>
  <si>
    <t>SRTON059.43</t>
  </si>
  <si>
    <t>UGCOL003.48</t>
  </si>
  <si>
    <t>UGTRY001.56</t>
  </si>
  <si>
    <t>LCHAL008.83</t>
  </si>
  <si>
    <t>SREFB008.27</t>
  </si>
  <si>
    <t>LCLCR350.32</t>
  </si>
  <si>
    <t>VROAK045.64</t>
  </si>
  <si>
    <t>VREVR051.15</t>
  </si>
  <si>
    <t>LCHAL004.59</t>
  </si>
  <si>
    <t>LCBRB006.74</t>
  </si>
  <si>
    <t>LCRUD007.23</t>
  </si>
  <si>
    <t>SRCKN001.61</t>
  </si>
  <si>
    <t>SRNBE000.10</t>
  </si>
  <si>
    <t>SRBLR102.24</t>
  </si>
  <si>
    <t>LCHAL010.20</t>
  </si>
  <si>
    <t>LCSLR001.42</t>
  </si>
  <si>
    <t>SRWRK007.97</t>
  </si>
  <si>
    <t>SRWFB003.45</t>
  </si>
  <si>
    <t>SRTON056.39</t>
  </si>
  <si>
    <t>SRNBE000.86</t>
  </si>
  <si>
    <t>LCELR000.13</t>
  </si>
  <si>
    <t>SRSTI000.38</t>
  </si>
  <si>
    <t>SRBEV007.28</t>
  </si>
  <si>
    <t>SREFB011.86</t>
  </si>
  <si>
    <t>SPMLC012.43</t>
  </si>
  <si>
    <t>SRHAY000.04</t>
  </si>
  <si>
    <t>UGETK011.80</t>
  </si>
  <si>
    <t>SRWFB001.13</t>
  </si>
  <si>
    <t>SPCRC013.37</t>
  </si>
  <si>
    <t>LCLCR352.57</t>
  </si>
  <si>
    <t>LCELR008.70</t>
  </si>
  <si>
    <t>SRRES000.33</t>
  </si>
  <si>
    <t>SRFIS004.49</t>
  </si>
  <si>
    <t>SRWFB005.34</t>
  </si>
  <si>
    <t>LCLVL001.32</t>
  </si>
  <si>
    <t>LCELR007.74</t>
  </si>
  <si>
    <t>SPRUC008.21</t>
  </si>
  <si>
    <t>LCPAD001.30</t>
  </si>
  <si>
    <t>SPBIG007.41</t>
  </si>
  <si>
    <t>LCLIL002.16</t>
  </si>
  <si>
    <t>SRCDY002.95</t>
  </si>
  <si>
    <t>LCMAM002.05</t>
  </si>
  <si>
    <t>LCRUD008.43</t>
  </si>
  <si>
    <t>LCBEN002.57</t>
  </si>
  <si>
    <t>LCELR000.99</t>
  </si>
  <si>
    <t>LCFIS003.86</t>
  </si>
  <si>
    <t>LCWLR004.09</t>
  </si>
  <si>
    <t>SRBWL005.79</t>
  </si>
  <si>
    <t>LCLCR360.06</t>
  </si>
  <si>
    <t>UGKPK011.18</t>
  </si>
  <si>
    <t>LCSLR003.72</t>
  </si>
  <si>
    <t>LCWLR000.92</t>
  </si>
  <si>
    <t>UGGRA000.82</t>
  </si>
  <si>
    <t>LCWLR007.37</t>
  </si>
  <si>
    <t>LCELR007.19</t>
  </si>
  <si>
    <t>SRSNK001.96</t>
  </si>
  <si>
    <t>SRHAN002.27</t>
  </si>
  <si>
    <t>SRWFB015.22</t>
  </si>
  <si>
    <t>LCLCR211.73</t>
  </si>
  <si>
    <t>LCSHL031.05</t>
  </si>
  <si>
    <t>LCNUT020.72</t>
  </si>
  <si>
    <t>LCBIL000.15</t>
  </si>
  <si>
    <t>LCNUT011.29</t>
  </si>
  <si>
    <t>LCBCK005.06</t>
  </si>
  <si>
    <t>LCBRO018.96</t>
  </si>
  <si>
    <t>LCSIL027.05</t>
  </si>
  <si>
    <t>LCRUD003.45</t>
  </si>
  <si>
    <t>LCLCR311.31</t>
  </si>
  <si>
    <t>VREVR045.50</t>
  </si>
  <si>
    <t>LCBRO018.13</t>
  </si>
  <si>
    <t>LCSIL041.04</t>
  </si>
  <si>
    <t>LCSIL043.84</t>
  </si>
  <si>
    <t>LCSHL026.50</t>
  </si>
  <si>
    <t>VRELL000.18</t>
  </si>
  <si>
    <t>MGHSR108.19</t>
  </si>
  <si>
    <t>LCLCR340.02</t>
  </si>
  <si>
    <t>LCECL009.39</t>
  </si>
  <si>
    <t>LCCHC073.26</t>
  </si>
  <si>
    <t>VROAK043.73</t>
  </si>
  <si>
    <t>VRWAL018.97</t>
  </si>
  <si>
    <t>SRHAY003.25</t>
  </si>
  <si>
    <t>LCLCR323.60</t>
  </si>
  <si>
    <t>SRHRS001.41</t>
  </si>
  <si>
    <t>LCLCR342.03</t>
  </si>
  <si>
    <t>LCCOY000.71</t>
  </si>
  <si>
    <t>LCECL018.17</t>
  </si>
  <si>
    <t>LCBIL000.01</t>
  </si>
  <si>
    <t>UGEAG056.85</t>
  </si>
  <si>
    <t>UGBLR031.69</t>
  </si>
  <si>
    <t>LCLCR336.72</t>
  </si>
  <si>
    <t>CGDEE000.10</t>
  </si>
  <si>
    <t>UGBTH001.03</t>
  </si>
  <si>
    <t>UGSTO003.44</t>
  </si>
  <si>
    <t>VREVR044.96</t>
  </si>
  <si>
    <t>SRUNF002.31</t>
  </si>
  <si>
    <t>LCLCR337.67</t>
  </si>
  <si>
    <t>SPRMC011.11</t>
  </si>
  <si>
    <t>MGHSR110.58</t>
  </si>
  <si>
    <t>SRHAG013.09</t>
  </si>
  <si>
    <t>LCRDF009.82</t>
  </si>
  <si>
    <t>LCRIG004.87</t>
  </si>
  <si>
    <t>SPGDN007.55</t>
  </si>
  <si>
    <t>LCCHC075.04</t>
  </si>
  <si>
    <t>LCBCK005.75</t>
  </si>
  <si>
    <t>VRWEB010.36</t>
  </si>
  <si>
    <t>SPTUR028.53</t>
  </si>
  <si>
    <t>LCECL017.75</t>
  </si>
  <si>
    <t>CGTAP000.08</t>
  </si>
  <si>
    <t>UGBLR028.99</t>
  </si>
  <si>
    <t>UGBLR028.77</t>
  </si>
  <si>
    <t>LCECL021.13</t>
  </si>
  <si>
    <t>SRWRK002.83</t>
  </si>
  <si>
    <t>SRBON001.69</t>
  </si>
  <si>
    <t>SPMLC013.56</t>
  </si>
  <si>
    <t>LCSHL029.75</t>
  </si>
  <si>
    <t>VRELL009.02</t>
  </si>
  <si>
    <t>SRUEF000.87</t>
  </si>
  <si>
    <t>SRTON058.63</t>
  </si>
  <si>
    <t>SRSTI002.67</t>
  </si>
  <si>
    <t>VROAK048.92</t>
  </si>
  <si>
    <t>LCROS000.25</t>
  </si>
  <si>
    <t>LCCHC081.26</t>
  </si>
  <si>
    <t>LCCHC077.84</t>
  </si>
  <si>
    <t>UGBLR036.37</t>
  </si>
  <si>
    <t>SRBLR070.45</t>
  </si>
  <si>
    <t>SRCYN048.21</t>
  </si>
  <si>
    <t>SRNFB012.35</t>
  </si>
  <si>
    <t>LCMRS043.17</t>
  </si>
  <si>
    <t>SRUUE000.03</t>
  </si>
  <si>
    <t>VRBON002.71</t>
  </si>
  <si>
    <t>SPSPR126.35</t>
  </si>
  <si>
    <t>CGDEE000.07</t>
  </si>
  <si>
    <t>CGPAR000.49</t>
  </si>
  <si>
    <t>VREVR034.80</t>
  </si>
  <si>
    <t>VRWBV002.97</t>
  </si>
  <si>
    <t>SCSYR004.21</t>
  </si>
  <si>
    <t>MGANT013.35</t>
  </si>
  <si>
    <t>MGAFR087.06</t>
  </si>
  <si>
    <t>VRLIM001.14</t>
  </si>
  <si>
    <t>SPSPR150.09</t>
  </si>
  <si>
    <t>VRSYW001.72</t>
  </si>
  <si>
    <t>CGVGR044.58</t>
  </si>
  <si>
    <t>VRWCL005.10</t>
  </si>
  <si>
    <t>BWBRO029.27</t>
  </si>
  <si>
    <t>SRTON053.87</t>
  </si>
  <si>
    <t>BWCTC009.32</t>
  </si>
  <si>
    <t>UGBON006.41</t>
  </si>
  <si>
    <t>SPSPR015.42</t>
  </si>
  <si>
    <t>SPSPR006.75</t>
  </si>
  <si>
    <t>SRPNT008.48</t>
  </si>
  <si>
    <t>MGLSY000.42</t>
  </si>
  <si>
    <t>SPBAS001.64</t>
  </si>
  <si>
    <t>CGRYA000.05</t>
  </si>
  <si>
    <t>SCSAB007.15</t>
  </si>
  <si>
    <t>CGVGR039.41</t>
  </si>
  <si>
    <t>SCSON014.52</t>
  </si>
  <si>
    <t>VRSYM016.44</t>
  </si>
  <si>
    <t>VRVER107.68</t>
  </si>
  <si>
    <t>MGAFR110.01</t>
  </si>
  <si>
    <t>BWBWR025.86</t>
  </si>
  <si>
    <t>VRPIE008.19</t>
  </si>
  <si>
    <t>CGKAN000.26</t>
  </si>
  <si>
    <t>UGBON002.00</t>
  </si>
  <si>
    <t>MGSSW000.38</t>
  </si>
  <si>
    <t>SPARA010.19</t>
  </si>
  <si>
    <t>BWBWR038.52</t>
  </si>
  <si>
    <t>CGVGR052.23</t>
  </si>
  <si>
    <t>SRWPN004.47</t>
  </si>
  <si>
    <t>MGSYD009.51</t>
  </si>
  <si>
    <t>SRCHE013.65</t>
  </si>
  <si>
    <t>SPBHC004.31</t>
  </si>
  <si>
    <t>CGDIA000.06</t>
  </si>
  <si>
    <t>CGNAN000.20</t>
  </si>
  <si>
    <t>MGSYD009.13</t>
  </si>
  <si>
    <t>SRSAL019.52</t>
  </si>
  <si>
    <t>MGHSR048.20</t>
  </si>
  <si>
    <t>BWBSR034.68</t>
  </si>
  <si>
    <t>VREVR023.59</t>
  </si>
  <si>
    <t>SPARA026.35</t>
  </si>
  <si>
    <t>SCSON016.78</t>
  </si>
  <si>
    <t>UGBLR011.55</t>
  </si>
  <si>
    <t>SPSPR014.18</t>
  </si>
  <si>
    <t>BWFRA000.04</t>
  </si>
  <si>
    <t>CGBRA000.44</t>
  </si>
  <si>
    <t>CGHRM001.58</t>
  </si>
  <si>
    <t>UGBLR008.19</t>
  </si>
  <si>
    <t>BWFRA002.33</t>
  </si>
  <si>
    <t>SCCIE002.89</t>
  </si>
  <si>
    <t>SCCIE019.90</t>
  </si>
  <si>
    <t>VROAK031.38</t>
  </si>
  <si>
    <t>SPBHC004.66</t>
  </si>
  <si>
    <t>SCSON015.35</t>
  </si>
  <si>
    <t>SRHAG007.47</t>
  </si>
  <si>
    <t>CGHRM000.08</t>
  </si>
  <si>
    <t>BWTRT002.43</t>
  </si>
  <si>
    <t>VRVER103.73</t>
  </si>
  <si>
    <t>MGLSY000.91</t>
  </si>
  <si>
    <t>SRDEV000.38</t>
  </si>
  <si>
    <t>VREVR000.86</t>
  </si>
  <si>
    <t>SRCHE033.95</t>
  </si>
  <si>
    <t>VRWBV006.54</t>
  </si>
  <si>
    <t>SCSCR168.93</t>
  </si>
  <si>
    <t>SPARA017.25</t>
  </si>
  <si>
    <t>SPRDC012.76</t>
  </si>
  <si>
    <t>CGDIA000.66</t>
  </si>
  <si>
    <t>VROAK017.49</t>
  </si>
  <si>
    <t>VRVER185.21</t>
  </si>
  <si>
    <t>VROAK034.02</t>
  </si>
  <si>
    <t>VRWBV012.56</t>
  </si>
  <si>
    <t>UGEAG040.33</t>
  </si>
  <si>
    <t>UGBON003.68</t>
  </si>
  <si>
    <t>VRVER137.80</t>
  </si>
  <si>
    <t>VRVER127.02</t>
  </si>
  <si>
    <t>VRVER137.53</t>
  </si>
  <si>
    <t>VRSYH000.25</t>
  </si>
  <si>
    <t>SCCIE020.88</t>
  </si>
  <si>
    <t>SRCHE011.90</t>
  </si>
  <si>
    <t>VRVER134.11</t>
  </si>
  <si>
    <t>VRWCL011.16</t>
  </si>
  <si>
    <t>VROAK028.24</t>
  </si>
  <si>
    <t>MGHSR058.80</t>
  </si>
  <si>
    <t>VRVER165.07</t>
  </si>
  <si>
    <t>MGLAS004.52</t>
  </si>
  <si>
    <t>VROAK038.61</t>
  </si>
  <si>
    <t>CGTHS000.04</t>
  </si>
  <si>
    <t>BWBSR037.79</t>
  </si>
  <si>
    <t>MGHSR085.79</t>
  </si>
  <si>
    <t>VROAK016.70</t>
  </si>
  <si>
    <t>CGCRY000.05</t>
  </si>
  <si>
    <t>VRTGL000.52</t>
  </si>
  <si>
    <t>MGHSR082.11</t>
  </si>
  <si>
    <t>BWFRA001.04</t>
  </si>
  <si>
    <t>VRPIE000.29</t>
  </si>
  <si>
    <t>CGSHI000.05</t>
  </si>
  <si>
    <t>VRGAP000.92</t>
  </si>
  <si>
    <t>MGDVC005.49</t>
  </si>
  <si>
    <t>SPARA013.78</t>
  </si>
  <si>
    <t>SPHSC010.67</t>
  </si>
  <si>
    <t>VREVR015.34</t>
  </si>
  <si>
    <t>SPSPR005.28</t>
  </si>
  <si>
    <t>VREVR031.25</t>
  </si>
  <si>
    <t>VRVER164.63</t>
  </si>
  <si>
    <t>VRROU002.93</t>
  </si>
  <si>
    <t>UGDIX000.78</t>
  </si>
  <si>
    <t>SPSPR059.21</t>
  </si>
  <si>
    <t>BWBRO042.16</t>
  </si>
  <si>
    <t>VREVR023.23</t>
  </si>
  <si>
    <t>BWTRT011.97</t>
  </si>
  <si>
    <t>BWSMR026.08</t>
  </si>
  <si>
    <t>VRBEV000.72</t>
  </si>
  <si>
    <t>CGSHI000.06</t>
  </si>
  <si>
    <t>VRSPN002.04</t>
  </si>
  <si>
    <t>MGAFR087.35</t>
  </si>
  <si>
    <t>VRVER053.70</t>
  </si>
  <si>
    <t>VRWBV009.31</t>
  </si>
  <si>
    <t>SRTON019.37</t>
  </si>
  <si>
    <t>BWPEE003.51</t>
  </si>
  <si>
    <t>CGBDW000.10</t>
  </si>
  <si>
    <t>SPDOU000.18</t>
  </si>
  <si>
    <t>VRRED004.17</t>
  </si>
  <si>
    <t>VRFOS011.88</t>
  </si>
  <si>
    <t>VRSPN001.89</t>
  </si>
  <si>
    <t>BWBRO029.91</t>
  </si>
  <si>
    <t>SRCHE004.32</t>
  </si>
  <si>
    <t>CGBDW000.70</t>
  </si>
  <si>
    <t>VROAK042.78</t>
  </si>
  <si>
    <t>VRSYW000.77</t>
  </si>
  <si>
    <t>UGGLR452.43</t>
  </si>
  <si>
    <t>MGNWR054.26</t>
  </si>
  <si>
    <t>SRHNC000.45</t>
  </si>
  <si>
    <t>VRBEV005.46</t>
  </si>
  <si>
    <t>UGGLR451.46</t>
  </si>
  <si>
    <t>UGPIG002.47</t>
  </si>
  <si>
    <t>UGSFR006.42</t>
  </si>
  <si>
    <t>VRVER179.25</t>
  </si>
  <si>
    <t>UGSFR019.04</t>
  </si>
  <si>
    <t>VRWCL010.66</t>
  </si>
  <si>
    <t>MGGLR343.27</t>
  </si>
  <si>
    <t>SRTON032.62</t>
  </si>
  <si>
    <t>VROAK013.95</t>
  </si>
  <si>
    <t>UGEAG011.09</t>
  </si>
  <si>
    <t>SRSLR139.75</t>
  </si>
  <si>
    <t>VRSPN002.64</t>
  </si>
  <si>
    <t>SRTON046.90</t>
  </si>
  <si>
    <t>BWFRA000.46</t>
  </si>
  <si>
    <t>VRSPN000.78</t>
  </si>
  <si>
    <t>UGEAG015.23</t>
  </si>
  <si>
    <t>BWSMR029.44</t>
  </si>
  <si>
    <t>UGSFR019.63</t>
  </si>
  <si>
    <t>UGBON000.17</t>
  </si>
  <si>
    <t>SPARA019.41</t>
  </si>
  <si>
    <t>UGSFR006.08</t>
  </si>
  <si>
    <t>VRVER121.49</t>
  </si>
  <si>
    <t>UGGLR446.02</t>
  </si>
  <si>
    <t>SRCGN009.78</t>
  </si>
  <si>
    <t>VRFOS014.33</t>
  </si>
  <si>
    <t>VRHOU003.48</t>
  </si>
  <si>
    <t>UGGLR448.61</t>
  </si>
  <si>
    <t>UGEAG010.12</t>
  </si>
  <si>
    <t>BWCNG006.59</t>
  </si>
  <si>
    <t>UGEAG013.81</t>
  </si>
  <si>
    <t>VRSPN000.19</t>
  </si>
  <si>
    <t>VRSPN002.92</t>
  </si>
  <si>
    <t>VRWBV012.35</t>
  </si>
  <si>
    <t>UGSFR034.57</t>
  </si>
  <si>
    <t>SRSPI011.63</t>
  </si>
  <si>
    <t>UGBON014.47</t>
  </si>
  <si>
    <t>SCSCR039.63</t>
  </si>
  <si>
    <t>VRBIT003.93</t>
  </si>
  <si>
    <t>SCSCR034.56</t>
  </si>
  <si>
    <t>CGPAR001.62</t>
  </si>
  <si>
    <t>MGSLR000.88</t>
  </si>
  <si>
    <t>SCSCR103.45</t>
  </si>
  <si>
    <t>SPMLG010.37</t>
  </si>
  <si>
    <t>VRBIT003.17</t>
  </si>
  <si>
    <t>SCSCR105.52</t>
  </si>
  <si>
    <t>MGHSR002.67</t>
  </si>
  <si>
    <t>LCLCR000.13</t>
  </si>
  <si>
    <t>SCRED008.94</t>
  </si>
  <si>
    <t>VRCMP019.06</t>
  </si>
  <si>
    <t>SCCIE006.69</t>
  </si>
  <si>
    <t>SRCOO001.92</t>
  </si>
  <si>
    <t>SRPNL005.12</t>
  </si>
  <si>
    <t>CGCLE000.19</t>
  </si>
  <si>
    <t>SCCIE004.25</t>
  </si>
  <si>
    <t>CGHAV000.36</t>
  </si>
  <si>
    <t>SPBAS000.62</t>
  </si>
  <si>
    <t>MGTUL005.21</t>
  </si>
  <si>
    <t>CGBDW006.86</t>
  </si>
  <si>
    <t>SCRED005.58</t>
  </si>
  <si>
    <t>UGGLR401.85</t>
  </si>
  <si>
    <t>MGQEN034.66</t>
  </si>
  <si>
    <t>CGBDW000.99</t>
  </si>
  <si>
    <t>SPPAI008.89</t>
  </si>
  <si>
    <t>2346_1</t>
  </si>
  <si>
    <t>3947_1</t>
  </si>
  <si>
    <t>2507_1</t>
  </si>
  <si>
    <t>3901_1</t>
  </si>
  <si>
    <t>3642_1</t>
  </si>
  <si>
    <t>2347_1</t>
  </si>
  <si>
    <t>2258_1</t>
  </si>
  <si>
    <t>3432_1</t>
  </si>
  <si>
    <t>2616_1</t>
  </si>
  <si>
    <t>3388_1</t>
  </si>
  <si>
    <t>3818_1</t>
  </si>
  <si>
    <t>2725_1</t>
  </si>
  <si>
    <t>3928_1</t>
  </si>
  <si>
    <t>2884_1</t>
  </si>
  <si>
    <t>2684_1</t>
  </si>
  <si>
    <t>3908_1</t>
  </si>
  <si>
    <t>3982_1</t>
  </si>
  <si>
    <t>3918_1</t>
  </si>
  <si>
    <t>2537_1</t>
  </si>
  <si>
    <t>3903_1</t>
  </si>
  <si>
    <t>3011_1</t>
  </si>
  <si>
    <t>3975_2</t>
  </si>
  <si>
    <t>3442_1</t>
  </si>
  <si>
    <t>2279_1</t>
  </si>
  <si>
    <t>2286_1</t>
  </si>
  <si>
    <t>3653_1</t>
  </si>
  <si>
    <t>2547_1</t>
  </si>
  <si>
    <t>3467_1</t>
  </si>
  <si>
    <t>3738_1</t>
  </si>
  <si>
    <t>2263_1</t>
  </si>
  <si>
    <t>2399_1</t>
  </si>
  <si>
    <t>2383_1</t>
  </si>
  <si>
    <t>3728_1</t>
  </si>
  <si>
    <t>3107_1</t>
  </si>
  <si>
    <t>3879_2</t>
  </si>
  <si>
    <t>2550_1</t>
  </si>
  <si>
    <t>2523_1</t>
  </si>
  <si>
    <t>2617_1</t>
  </si>
  <si>
    <t>2289_1</t>
  </si>
  <si>
    <t>3972_1</t>
  </si>
  <si>
    <t>3946_1</t>
  </si>
  <si>
    <t>2415_1</t>
  </si>
  <si>
    <t>3078_1</t>
  </si>
  <si>
    <t>3924_1</t>
  </si>
  <si>
    <t>3731_1</t>
  </si>
  <si>
    <t>2549_1</t>
  </si>
  <si>
    <t>3742_2</t>
  </si>
  <si>
    <t>3047_1</t>
  </si>
  <si>
    <t>2266_1</t>
  </si>
  <si>
    <t>2493_1</t>
  </si>
  <si>
    <t>2706_1</t>
  </si>
  <si>
    <t>2339_1</t>
  </si>
  <si>
    <t>2414_1</t>
  </si>
  <si>
    <t>3816_1</t>
  </si>
  <si>
    <t>2471_1</t>
  </si>
  <si>
    <t>3633_1</t>
  </si>
  <si>
    <t>3367_1</t>
  </si>
  <si>
    <t>3052_1</t>
  </si>
  <si>
    <t>2291_1</t>
  </si>
  <si>
    <t>2330_1</t>
  </si>
  <si>
    <t>2443_1</t>
  </si>
  <si>
    <t>3872_1</t>
  </si>
  <si>
    <t>2548_1</t>
  </si>
  <si>
    <t>2504_1</t>
  </si>
  <si>
    <t>3110_1</t>
  </si>
  <si>
    <t>3868_1</t>
  </si>
  <si>
    <t>3841_1</t>
  </si>
  <si>
    <t>3370_1</t>
  </si>
  <si>
    <t>3526_1</t>
  </si>
  <si>
    <t>3008_1</t>
  </si>
  <si>
    <t>2342_1</t>
  </si>
  <si>
    <t>3854_1</t>
  </si>
  <si>
    <t>3386_1</t>
  </si>
  <si>
    <t>3005_1</t>
  </si>
  <si>
    <t>3879_1</t>
  </si>
  <si>
    <t>2413_1</t>
  </si>
  <si>
    <t>3409_1</t>
  </si>
  <si>
    <t>2396_1</t>
  </si>
  <si>
    <t>3927_1</t>
  </si>
  <si>
    <t>2531_1</t>
  </si>
  <si>
    <t>3876_1</t>
  </si>
  <si>
    <t>3899_1</t>
  </si>
  <si>
    <t>2632_1</t>
  </si>
  <si>
    <t>2624_1</t>
  </si>
  <si>
    <t>2733_1</t>
  </si>
  <si>
    <t>2869_1</t>
  </si>
  <si>
    <t>2567_1</t>
  </si>
  <si>
    <t>3363_1</t>
  </si>
  <si>
    <t>3922_1</t>
  </si>
  <si>
    <t>3605_1</t>
  </si>
  <si>
    <t>3108_1</t>
  </si>
  <si>
    <t>3919_1</t>
  </si>
  <si>
    <t>2377_1</t>
  </si>
  <si>
    <t>2705_1</t>
  </si>
  <si>
    <t>3109_1</t>
  </si>
  <si>
    <t>2288_1</t>
  </si>
  <si>
    <t>2490_1</t>
  </si>
  <si>
    <t>2285_1</t>
  </si>
  <si>
    <t>3787_1</t>
  </si>
  <si>
    <t>3050_1</t>
  </si>
  <si>
    <t>3116_1</t>
  </si>
  <si>
    <t>2878_1</t>
  </si>
  <si>
    <t>2563_1</t>
  </si>
  <si>
    <t>3014_1</t>
  </si>
  <si>
    <t>3950_1</t>
  </si>
  <si>
    <t>2872_1</t>
  </si>
  <si>
    <t>2553_1</t>
  </si>
  <si>
    <t>2596_1</t>
  </si>
  <si>
    <t>2405_1</t>
  </si>
  <si>
    <t>2543_1</t>
  </si>
  <si>
    <t>2338_1</t>
  </si>
  <si>
    <t>3712_1</t>
  </si>
  <si>
    <t>2534_1</t>
  </si>
  <si>
    <t>3778_1</t>
  </si>
  <si>
    <t>2271_1</t>
  </si>
  <si>
    <t>2476_1</t>
  </si>
  <si>
    <t>2709_1</t>
  </si>
  <si>
    <t>2569_1</t>
  </si>
  <si>
    <t>3621_1</t>
  </si>
  <si>
    <t>3051_1</t>
  </si>
  <si>
    <t>3121_1</t>
  </si>
  <si>
    <t>2335_1</t>
  </si>
  <si>
    <t>2452_1</t>
  </si>
  <si>
    <t>2879_1</t>
  </si>
  <si>
    <t>3786_1</t>
  </si>
  <si>
    <t>3624_1</t>
  </si>
  <si>
    <t>3606_1</t>
  </si>
  <si>
    <t>3915_1</t>
  </si>
  <si>
    <t>2381_1</t>
  </si>
  <si>
    <t>2439_1</t>
  </si>
  <si>
    <t>2343_1</t>
  </si>
  <si>
    <t>3971_1</t>
  </si>
  <si>
    <t>2282_1</t>
  </si>
  <si>
    <t>3784_1</t>
  </si>
  <si>
    <t>2418_1</t>
  </si>
  <si>
    <t>2344_1</t>
  </si>
  <si>
    <t>3788_1</t>
  </si>
  <si>
    <t>2538_1</t>
  </si>
  <si>
    <t>2375_1</t>
  </si>
  <si>
    <t>3652_1</t>
  </si>
  <si>
    <t>2640_1</t>
  </si>
  <si>
    <t>2277_1</t>
  </si>
  <si>
    <t>2481_1</t>
  </si>
  <si>
    <t>2480_1</t>
  </si>
  <si>
    <t>2440_1</t>
  </si>
  <si>
    <t>2732_1</t>
  </si>
  <si>
    <t>2390_1</t>
  </si>
  <si>
    <t>3001_1</t>
  </si>
  <si>
    <t>2341_1</t>
  </si>
  <si>
    <t>3612_1</t>
  </si>
  <si>
    <t>3396_1</t>
  </si>
  <si>
    <t>2281_1</t>
  </si>
  <si>
    <t>3106_1</t>
  </si>
  <si>
    <t>2695_1</t>
  </si>
  <si>
    <t>3348_1</t>
  </si>
  <si>
    <t>3499_1</t>
  </si>
  <si>
    <t>3045_1</t>
  </si>
  <si>
    <t>3779_1</t>
  </si>
  <si>
    <t>3735_1</t>
  </si>
  <si>
    <t>2536_1</t>
  </si>
  <si>
    <t>2392_1</t>
  </si>
  <si>
    <t>2508_1</t>
  </si>
  <si>
    <t>3791_1</t>
  </si>
  <si>
    <t>2340_1</t>
  </si>
  <si>
    <t>2619_1</t>
  </si>
  <si>
    <t>3102_1</t>
  </si>
  <si>
    <t>3382_1</t>
  </si>
  <si>
    <t>2720_1</t>
  </si>
  <si>
    <t>3043_1</t>
  </si>
  <si>
    <t>2542_1</t>
  </si>
  <si>
    <t>3737_1</t>
  </si>
  <si>
    <t>2696_1</t>
  </si>
  <si>
    <t>2541_1</t>
  </si>
  <si>
    <t>3384_1</t>
  </si>
  <si>
    <t>3003_1</t>
  </si>
  <si>
    <t>2269_1</t>
  </si>
  <si>
    <t>2434_1</t>
  </si>
  <si>
    <t>3616_1</t>
  </si>
  <si>
    <t>3411_1</t>
  </si>
  <si>
    <t>3822_1</t>
  </si>
  <si>
    <t>2391_1</t>
  </si>
  <si>
    <t>3955_1</t>
  </si>
  <si>
    <t>2374_1</t>
  </si>
  <si>
    <t>2345_1</t>
  </si>
  <si>
    <t>2540_1</t>
  </si>
  <si>
    <t>2485_1</t>
  </si>
  <si>
    <t>2397_1</t>
  </si>
  <si>
    <t>2442_1</t>
  </si>
  <si>
    <t>3912_1</t>
  </si>
  <si>
    <t>3365_1</t>
  </si>
  <si>
    <t>2446_1</t>
  </si>
  <si>
    <t>2713_1</t>
  </si>
  <si>
    <t>3785_1</t>
  </si>
  <si>
    <t>3904_1</t>
  </si>
  <si>
    <t>3926_2</t>
  </si>
  <si>
    <t>2626_1</t>
  </si>
  <si>
    <t>2276_1</t>
  </si>
  <si>
    <t>3782_1</t>
  </si>
  <si>
    <t>2486_1</t>
  </si>
  <si>
    <t>2395_1</t>
  </si>
  <si>
    <t>3012_1</t>
  </si>
  <si>
    <t>2369_1</t>
  </si>
  <si>
    <t>2474_1</t>
  </si>
  <si>
    <t>2489_1</t>
  </si>
  <si>
    <t>3730_1</t>
  </si>
  <si>
    <t>3054_1</t>
  </si>
  <si>
    <t>2712_1</t>
  </si>
  <si>
    <t>2445_1</t>
  </si>
  <si>
    <t>3790_1</t>
  </si>
  <si>
    <t>2387_1</t>
  </si>
  <si>
    <t>2710_2</t>
  </si>
  <si>
    <t>2697_1</t>
  </si>
  <si>
    <t>2438_1</t>
  </si>
  <si>
    <t>3926_1</t>
  </si>
  <si>
    <t>3090_1</t>
  </si>
  <si>
    <t>3459_1</t>
  </si>
  <si>
    <t>2554_1</t>
  </si>
  <si>
    <t>2698_1</t>
  </si>
  <si>
    <t>2584_1</t>
  </si>
  <si>
    <t>2834_1</t>
  </si>
  <si>
    <t>3055_1</t>
  </si>
  <si>
    <t>3046_1</t>
  </si>
  <si>
    <t>2555_1</t>
  </si>
  <si>
    <t>3855_1</t>
  </si>
  <si>
    <t>2388_1</t>
  </si>
  <si>
    <t>3615_1</t>
  </si>
  <si>
    <t>2568_1</t>
  </si>
  <si>
    <t>3412_1</t>
  </si>
  <si>
    <t>2444_1</t>
  </si>
  <si>
    <t>3091_1</t>
  </si>
  <si>
    <t>2715_1</t>
  </si>
  <si>
    <t>2475_1</t>
  </si>
  <si>
    <t>2710_1</t>
  </si>
  <si>
    <t>3420_1</t>
  </si>
  <si>
    <t>2382_1</t>
  </si>
  <si>
    <t>3978_1</t>
  </si>
  <si>
    <t>2556_1</t>
  </si>
  <si>
    <t>2467_1</t>
  </si>
  <si>
    <t>3375_1</t>
  </si>
  <si>
    <t>3403_1</t>
  </si>
  <si>
    <t>3419_1</t>
  </si>
  <si>
    <t>3910_1</t>
  </si>
  <si>
    <t>3113_1</t>
  </si>
  <si>
    <t>3898_1</t>
  </si>
  <si>
    <t>3907_1</t>
  </si>
  <si>
    <t>2562_1</t>
  </si>
  <si>
    <t>2551_1</t>
  </si>
  <si>
    <t>3042_1</t>
  </si>
  <si>
    <t>3042_2</t>
  </si>
  <si>
    <t>3789_1</t>
  </si>
  <si>
    <t>3395_1</t>
  </si>
  <si>
    <t>3376_1</t>
  </si>
  <si>
    <t>3632_1</t>
  </si>
  <si>
    <t>3041_1</t>
  </si>
  <si>
    <t>3404_1</t>
  </si>
  <si>
    <t>2572_1</t>
  </si>
  <si>
    <t>3053_1</t>
  </si>
  <si>
    <t>2620_1</t>
  </si>
  <si>
    <t>3898_2</t>
  </si>
  <si>
    <t>3399_1</t>
  </si>
  <si>
    <t>3802_1</t>
  </si>
  <si>
    <t>2578_1</t>
  </si>
  <si>
    <t>3913_1</t>
  </si>
  <si>
    <t>3456_1</t>
  </si>
  <si>
    <t>3407_1</t>
  </si>
  <si>
    <t>3902_1</t>
  </si>
  <si>
    <t>2594_1</t>
  </si>
  <si>
    <t>3089_1</t>
  </si>
  <si>
    <t>3900_1</t>
  </si>
  <si>
    <t>2593_1</t>
  </si>
  <si>
    <t>3417_1</t>
  </si>
  <si>
    <t>3840_1</t>
  </si>
  <si>
    <t>3843_1</t>
  </si>
  <si>
    <t>3911_1</t>
  </si>
  <si>
    <t>3379_1</t>
  </si>
  <si>
    <t>3777_1</t>
  </si>
  <si>
    <t>2611_1</t>
  </si>
  <si>
    <t>3976_1</t>
  </si>
  <si>
    <t>3048_1</t>
  </si>
  <si>
    <t>3977_1</t>
  </si>
  <si>
    <t>3905_1</t>
  </si>
  <si>
    <t>3380_1</t>
  </si>
  <si>
    <t>3457_1</t>
  </si>
  <si>
    <t>3355_1</t>
  </si>
  <si>
    <t>2693_1</t>
  </si>
  <si>
    <t>3626_1</t>
  </si>
  <si>
    <t>3780_1</t>
  </si>
  <si>
    <t>3425_1</t>
  </si>
  <si>
    <t>3358_1</t>
  </si>
  <si>
    <t>3775_1</t>
  </si>
  <si>
    <t>2488_1</t>
  </si>
  <si>
    <t>3726_1</t>
  </si>
  <si>
    <t>3906_1</t>
  </si>
  <si>
    <t>2833_1</t>
  </si>
  <si>
    <t>2284_1</t>
  </si>
  <si>
    <t>2287_1</t>
  </si>
  <si>
    <t>2650_1</t>
  </si>
  <si>
    <t>3481_1</t>
  </si>
  <si>
    <t>3781_1</t>
  </si>
  <si>
    <t>3929_1</t>
  </si>
  <si>
    <t>2882_1</t>
  </si>
  <si>
    <t>3958_1</t>
  </si>
  <si>
    <t>2583_1</t>
  </si>
  <si>
    <t>2333_1</t>
  </si>
  <si>
    <t>3925_1</t>
  </si>
  <si>
    <t>2337_1</t>
  </si>
  <si>
    <t>2618_1</t>
  </si>
  <si>
    <t>3869_1</t>
  </si>
  <si>
    <t>3717_1</t>
  </si>
  <si>
    <t>3701_1</t>
  </si>
  <si>
    <t>2810_1</t>
  </si>
  <si>
    <t>3931_1</t>
  </si>
  <si>
    <t>3611_1</t>
  </si>
  <si>
    <t>3844_1</t>
  </si>
  <si>
    <t>3921_1</t>
  </si>
  <si>
    <t>2539_1</t>
  </si>
  <si>
    <t>3503_1</t>
  </si>
  <si>
    <t>3393_1</t>
  </si>
  <si>
    <t>3040_1</t>
  </si>
  <si>
    <t>3713_1</t>
  </si>
  <si>
    <t>2331_1</t>
  </si>
  <si>
    <t>2532_1</t>
  </si>
  <si>
    <t>2332_1</t>
  </si>
  <si>
    <t>3013_1</t>
  </si>
  <si>
    <t>2633_1</t>
  </si>
  <si>
    <t>2694_1</t>
  </si>
  <si>
    <t>3469_1</t>
  </si>
  <si>
    <t>3833_1</t>
  </si>
  <si>
    <t>2564_1</t>
  </si>
  <si>
    <t>3049_1</t>
  </si>
  <si>
    <t>3725_1</t>
  </si>
  <si>
    <t>2552_1</t>
  </si>
  <si>
    <t>3991_1</t>
  </si>
  <si>
    <t>3838_1</t>
  </si>
  <si>
    <t>2533_1</t>
  </si>
  <si>
    <t>2435_1</t>
  </si>
  <si>
    <t>2431_1</t>
  </si>
  <si>
    <t>3496_1</t>
  </si>
  <si>
    <t>3948_2</t>
  </si>
  <si>
    <t>2463_1</t>
  </si>
  <si>
    <t>3360_1</t>
  </si>
  <si>
    <t>2394_1</t>
  </si>
  <si>
    <t>3991_2</t>
  </si>
  <si>
    <t>3949_1</t>
  </si>
  <si>
    <t>3985_1</t>
  </si>
  <si>
    <t>3607_1</t>
  </si>
  <si>
    <t>3776_1</t>
  </si>
  <si>
    <t>3716_1</t>
  </si>
  <si>
    <t>2692_1</t>
  </si>
  <si>
    <t>3953_2</t>
  </si>
  <si>
    <t>3401_1</t>
  </si>
  <si>
    <t>3920_1</t>
  </si>
  <si>
    <t>2579_1</t>
  </si>
  <si>
    <t>3736_1</t>
  </si>
  <si>
    <t>3073_1</t>
  </si>
  <si>
    <t>3464_1</t>
  </si>
  <si>
    <t>3623_1</t>
  </si>
  <si>
    <t>3502_1</t>
  </si>
  <si>
    <t>2272_1</t>
  </si>
  <si>
    <t>3983_1</t>
  </si>
  <si>
    <t>2483_1</t>
  </si>
  <si>
    <t>3923_1</t>
  </si>
  <si>
    <t>3992_1</t>
  </si>
  <si>
    <t>3809_1</t>
  </si>
  <si>
    <t>2248_1</t>
  </si>
  <si>
    <t>2714_2</t>
  </si>
  <si>
    <t>2328_1</t>
  </si>
  <si>
    <t>3643_1</t>
  </si>
  <si>
    <t>3909_1</t>
  </si>
  <si>
    <t>3813_1</t>
  </si>
  <si>
    <t>3352_1</t>
  </si>
  <si>
    <t>3714_1</t>
  </si>
  <si>
    <t>2492_1</t>
  </si>
  <si>
    <t>3369_1</t>
  </si>
  <si>
    <t>2436_1</t>
  </si>
  <si>
    <t>2468_1</t>
  </si>
  <si>
    <t>3369_2</t>
  </si>
  <si>
    <t>2505_1</t>
  </si>
  <si>
    <t>2535_1</t>
  </si>
  <si>
    <t>3874_1</t>
  </si>
  <si>
    <t>3727_2</t>
  </si>
  <si>
    <t>3839_1</t>
  </si>
  <si>
    <t>2355_1</t>
  </si>
  <si>
    <t>3015_1</t>
  </si>
  <si>
    <t>2506_1</t>
  </si>
  <si>
    <t>3948_1</t>
  </si>
  <si>
    <t>2714_1</t>
  </si>
  <si>
    <t>3928_2</t>
  </si>
  <si>
    <t>3807_1</t>
  </si>
  <si>
    <t>3846_1</t>
  </si>
  <si>
    <t>2526_1</t>
  </si>
  <si>
    <t>3490_1</t>
  </si>
  <si>
    <t>2334_1</t>
  </si>
  <si>
    <t>2417_1</t>
  </si>
  <si>
    <t>3727_1</t>
  </si>
  <si>
    <t>3979_1</t>
  </si>
  <si>
    <t>3990_1</t>
  </si>
  <si>
    <t>2404_1</t>
  </si>
  <si>
    <t>3734_1</t>
  </si>
  <si>
    <t>2441_1</t>
  </si>
  <si>
    <t>2491_1</t>
  </si>
  <si>
    <t>2721_1</t>
  </si>
  <si>
    <t>3960_1</t>
  </si>
  <si>
    <t>2437_1</t>
  </si>
  <si>
    <t>3742_1</t>
  </si>
  <si>
    <t>3390_1</t>
  </si>
  <si>
    <t>3613_1</t>
  </si>
  <si>
    <t>3953_1</t>
  </si>
  <si>
    <t>3984_1</t>
  </si>
  <si>
    <t>3811_1</t>
  </si>
  <si>
    <t>3783_1</t>
  </si>
  <si>
    <t>2565_1</t>
  </si>
  <si>
    <t>2298_1</t>
  </si>
  <si>
    <t>2871_1</t>
  </si>
  <si>
    <t>3002_1</t>
  </si>
  <si>
    <t>3349_1</t>
  </si>
  <si>
    <t>3986_1</t>
  </si>
  <si>
    <t>2398_1</t>
  </si>
  <si>
    <t>3975_1</t>
  </si>
  <si>
    <t>3044_1</t>
  </si>
  <si>
    <t>3942_1</t>
  </si>
  <si>
    <t>3045_2</t>
  </si>
  <si>
    <t>2566_1</t>
  </si>
  <si>
    <t>3480_1</t>
  </si>
  <si>
    <t>3771_1</t>
  </si>
  <si>
    <t>3429_1</t>
  </si>
  <si>
    <t>3445_1</t>
  </si>
  <si>
    <t>3894_1</t>
  </si>
  <si>
    <t>3057_1</t>
  </si>
  <si>
    <t>2558_1</t>
  </si>
  <si>
    <t>3837_1</t>
  </si>
  <si>
    <t>2544_1</t>
  </si>
  <si>
    <t>2587_1</t>
  </si>
  <si>
    <t>3070_1</t>
  </si>
  <si>
    <t>2500_1</t>
  </si>
  <si>
    <t>2447_1</t>
  </si>
  <si>
    <t>3774_1</t>
  </si>
  <si>
    <t>2615_1</t>
  </si>
  <si>
    <t>3085_1</t>
  </si>
  <si>
    <t>3622_1</t>
  </si>
  <si>
    <t>3519_1</t>
  </si>
  <si>
    <t>2570_1</t>
  </si>
  <si>
    <t>3917_1</t>
  </si>
  <si>
    <t>3835_1</t>
  </si>
  <si>
    <t>3980_1</t>
  </si>
  <si>
    <t>3857_1</t>
  </si>
  <si>
    <t>3864_1</t>
  </si>
  <si>
    <t>3453_1</t>
  </si>
  <si>
    <t>3937_1</t>
  </si>
  <si>
    <t>3772_1</t>
  </si>
  <si>
    <t>3495_1</t>
  </si>
  <si>
    <t>2409_1</t>
  </si>
  <si>
    <t>2606_1</t>
  </si>
  <si>
    <t>3962_1</t>
  </si>
  <si>
    <t>3766_1</t>
  </si>
  <si>
    <t>3697_1</t>
  </si>
  <si>
    <t>3817_1</t>
  </si>
  <si>
    <t>3709_1</t>
  </si>
  <si>
    <t>2464_1</t>
  </si>
  <si>
    <t>3449_1</t>
  </si>
  <si>
    <t>3877_1</t>
  </si>
  <si>
    <t>3486_1</t>
  </si>
  <si>
    <t>3936_1</t>
  </si>
  <si>
    <t>3461_1</t>
  </si>
  <si>
    <t>3767_1</t>
  </si>
  <si>
    <t>3649_1</t>
  </si>
  <si>
    <t>2529_1</t>
  </si>
  <si>
    <t>3812_1</t>
  </si>
  <si>
    <t>3705_2</t>
  </si>
  <si>
    <t>2261_1</t>
  </si>
  <si>
    <t>3865_1</t>
  </si>
  <si>
    <t>3447_1</t>
  </si>
  <si>
    <t>2324_1</t>
  </si>
  <si>
    <t>2451_1</t>
  </si>
  <si>
    <t>2625_1</t>
  </si>
  <si>
    <t>3699_1</t>
  </si>
  <si>
    <t>3764_1</t>
  </si>
  <si>
    <t>2602_1</t>
  </si>
  <si>
    <t>3631_1</t>
  </si>
  <si>
    <t>3863_1</t>
  </si>
  <si>
    <t>3830_1</t>
  </si>
  <si>
    <t>3871_1</t>
  </si>
  <si>
    <t>2482_1</t>
  </si>
  <si>
    <t>3916_1</t>
  </si>
  <si>
    <t>3768_1</t>
  </si>
  <si>
    <t>2423_1</t>
  </si>
  <si>
    <t>2520_1</t>
  </si>
  <si>
    <t>3470_1</t>
  </si>
  <si>
    <t>2421_1</t>
  </si>
  <si>
    <t>3860_1</t>
  </si>
  <si>
    <t>2455_1</t>
  </si>
  <si>
    <t>3472_1</t>
  </si>
  <si>
    <t>3016_1</t>
  </si>
  <si>
    <t>3832_1</t>
  </si>
  <si>
    <t>3862_1</t>
  </si>
  <si>
    <t>2519_1</t>
  </si>
  <si>
    <t>3875_1</t>
  </si>
  <si>
    <t>3448_1</t>
  </si>
  <si>
    <t>3651_1</t>
  </si>
  <si>
    <t>3087_1</t>
  </si>
  <si>
    <t>2605_1</t>
  </si>
  <si>
    <t>3858_1</t>
  </si>
  <si>
    <t>2321_1</t>
  </si>
  <si>
    <t>3973_1</t>
  </si>
  <si>
    <t>3127_1</t>
  </si>
  <si>
    <t>2580_1</t>
  </si>
  <si>
    <t>2466_1</t>
  </si>
  <si>
    <t>2612_1</t>
  </si>
  <si>
    <t>3066_1</t>
  </si>
  <si>
    <t>2365_1</t>
  </si>
  <si>
    <t>2638_1</t>
  </si>
  <si>
    <t>3446_1</t>
  </si>
  <si>
    <t>3482_1</t>
  </si>
  <si>
    <t>2484_1</t>
  </si>
  <si>
    <t>2589_1</t>
  </si>
  <si>
    <t>2730_1</t>
  </si>
  <si>
    <t>3887_1</t>
  </si>
  <si>
    <t>3773_1</t>
  </si>
  <si>
    <t>2502_1</t>
  </si>
  <si>
    <t>2363_1</t>
  </si>
  <si>
    <t>2487_1</t>
  </si>
  <si>
    <t>2843_2</t>
  </si>
  <si>
    <t>3497_1</t>
  </si>
  <si>
    <t>2370_1</t>
  </si>
  <si>
    <t>2608_1</t>
  </si>
  <si>
    <t>2703_1</t>
  </si>
  <si>
    <t>2607_1</t>
  </si>
  <si>
    <t>3892_1</t>
  </si>
  <si>
    <t>2326_1</t>
  </si>
  <si>
    <t>2453_1</t>
  </si>
  <si>
    <t>3436_1</t>
  </si>
  <si>
    <t>2425_1</t>
  </si>
  <si>
    <t>3646_1</t>
  </si>
  <si>
    <t>2528_1</t>
  </si>
  <si>
    <t>3035_1</t>
  </si>
  <si>
    <t>3870_1</t>
  </si>
  <si>
    <t>3140_1</t>
  </si>
  <si>
    <t>2356_1</t>
  </si>
  <si>
    <t>3704_1</t>
  </si>
  <si>
    <t>2843_1</t>
  </si>
  <si>
    <t>3006_1</t>
  </si>
  <si>
    <t>3431_1</t>
  </si>
  <si>
    <t>2384_1</t>
  </si>
  <si>
    <t>2819_1</t>
  </si>
  <si>
    <t>3935_1</t>
  </si>
  <si>
    <t>2472_1</t>
  </si>
  <si>
    <t>2368_1</t>
  </si>
  <si>
    <t>3820_1</t>
  </si>
  <si>
    <t>2701_1</t>
  </si>
  <si>
    <t>2592_1</t>
  </si>
  <si>
    <t>3455_1</t>
  </si>
  <si>
    <t>3849_1</t>
  </si>
  <si>
    <t>3859_2</t>
  </si>
  <si>
    <t>3032_1</t>
  </si>
  <si>
    <t>2588_1</t>
  </si>
  <si>
    <t>2424_1</t>
  </si>
  <si>
    <t>2273_1</t>
  </si>
  <si>
    <t>2477_1</t>
  </si>
  <si>
    <t>3825_1</t>
  </si>
  <si>
    <t>2559_1</t>
  </si>
  <si>
    <t>2603_1</t>
  </si>
  <si>
    <t>2546_1</t>
  </si>
  <si>
    <t>3086_1</t>
  </si>
  <si>
    <t>3895_1</t>
  </si>
  <si>
    <t>3088_1</t>
  </si>
  <si>
    <t>2406_1</t>
  </si>
  <si>
    <t>3487_1</t>
  </si>
  <si>
    <t>3430_1</t>
  </si>
  <si>
    <t>3805_1</t>
  </si>
  <si>
    <t>3896_1</t>
  </si>
  <si>
    <t>2634_1</t>
  </si>
  <si>
    <t>2254_1</t>
  </si>
  <si>
    <t>2278_1</t>
  </si>
  <si>
    <t>3068_1</t>
  </si>
  <si>
    <t>3834_1</t>
  </si>
  <si>
    <t>2581_1</t>
  </si>
  <si>
    <t>2503_1</t>
  </si>
  <si>
    <t>3416_1</t>
  </si>
  <si>
    <t>2518_1</t>
  </si>
  <si>
    <t>2836_1</t>
  </si>
  <si>
    <t>2707_1</t>
  </si>
  <si>
    <t>3831_1</t>
  </si>
  <si>
    <t>2403_1</t>
  </si>
  <si>
    <t>3873_1</t>
  </si>
  <si>
    <t>3473_1</t>
  </si>
  <si>
    <t>3889_1</t>
  </si>
  <si>
    <t>3641_1</t>
  </si>
  <si>
    <t>3500_2</t>
  </si>
  <si>
    <t>2860_1</t>
  </si>
  <si>
    <t>3715_1</t>
  </si>
  <si>
    <t>2890_1</t>
  </si>
  <si>
    <t>2582_1</t>
  </si>
  <si>
    <t>3863_2</t>
  </si>
  <si>
    <t>3069_1</t>
  </si>
  <si>
    <t>2590_1</t>
  </si>
  <si>
    <t>2313_1</t>
  </si>
  <si>
    <t>3719_1</t>
  </si>
  <si>
    <t>3128_1</t>
  </si>
  <si>
    <t>2601_1</t>
  </si>
  <si>
    <t>2585_1</t>
  </si>
  <si>
    <t>3708_1</t>
  </si>
  <si>
    <t>3987_1</t>
  </si>
  <si>
    <t>2864_1</t>
  </si>
  <si>
    <t>2389_1</t>
  </si>
  <si>
    <t>2318_1</t>
  </si>
  <si>
    <t>2591_1</t>
  </si>
  <si>
    <t>3650_1</t>
  </si>
  <si>
    <t>2840_2</t>
  </si>
  <si>
    <t>3823_1</t>
  </si>
  <si>
    <t>2426_1</t>
  </si>
  <si>
    <t>2828_1</t>
  </si>
  <si>
    <t>2639_1</t>
  </si>
  <si>
    <t>3488_1</t>
  </si>
  <si>
    <t>2256_1</t>
  </si>
  <si>
    <t>2429_1</t>
  </si>
  <si>
    <t>2319_1</t>
  </si>
  <si>
    <t>3435_1</t>
  </si>
  <si>
    <t>3500_1</t>
  </si>
  <si>
    <t>2465_1</t>
  </si>
  <si>
    <t>2840_1</t>
  </si>
  <si>
    <t>2560_1</t>
  </si>
  <si>
    <t>2348_1</t>
  </si>
  <si>
    <t>2887_1</t>
  </si>
  <si>
    <t>3824_1</t>
  </si>
  <si>
    <t>2604_1</t>
  </si>
  <si>
    <t>2820_1</t>
  </si>
  <si>
    <t>2450_1</t>
  </si>
  <si>
    <t>3891_1</t>
  </si>
  <si>
    <t>3129_1</t>
  </si>
  <si>
    <t>3096_1</t>
  </si>
  <si>
    <t>2545_1</t>
  </si>
  <si>
    <t>3849_2</t>
  </si>
  <si>
    <t>3072_1</t>
  </si>
  <si>
    <t>2814_1</t>
  </si>
  <si>
    <t>3850_1</t>
  </si>
  <si>
    <t>2818_1</t>
  </si>
  <si>
    <t>2514_1</t>
  </si>
  <si>
    <t>2854_1</t>
  </si>
  <si>
    <t>3433_1</t>
  </si>
  <si>
    <t>2845_1</t>
  </si>
  <si>
    <t>3710_1</t>
  </si>
  <si>
    <t>3705_1</t>
  </si>
  <si>
    <t>2837_1</t>
  </si>
  <si>
    <t>2855_1</t>
  </si>
  <si>
    <t>2372_1</t>
  </si>
  <si>
    <t>2322_1</t>
  </si>
  <si>
    <t>3944_1</t>
  </si>
  <si>
    <t>2521_1</t>
  </si>
  <si>
    <t>2280_1</t>
  </si>
  <si>
    <t>2359_1</t>
  </si>
  <si>
    <t>3886_1</t>
  </si>
  <si>
    <t>3431_2</t>
  </si>
  <si>
    <t>2613_1</t>
  </si>
  <si>
    <t>2373_1</t>
  </si>
  <si>
    <t>3071_1</t>
  </si>
  <si>
    <t>2811_1</t>
  </si>
  <si>
    <t>3826_1</t>
  </si>
  <si>
    <t>3851_1</t>
  </si>
  <si>
    <t>3648_1</t>
  </si>
  <si>
    <t>2687_1</t>
  </si>
  <si>
    <t>3074_1</t>
  </si>
  <si>
    <t>3968_1</t>
  </si>
  <si>
    <t>2366_1</t>
  </si>
  <si>
    <t>2595_1</t>
  </si>
  <si>
    <t>3848_1</t>
  </si>
  <si>
    <t>3703_1</t>
  </si>
  <si>
    <t>3438_1</t>
  </si>
  <si>
    <t>2631_1</t>
  </si>
  <si>
    <t>3038_1</t>
  </si>
  <si>
    <t>3103_1</t>
  </si>
  <si>
    <t>3885_1</t>
  </si>
  <si>
    <t>2813_1</t>
  </si>
  <si>
    <t>2497_1</t>
  </si>
  <si>
    <t>2515_1</t>
  </si>
  <si>
    <t>2614_1</t>
  </si>
  <si>
    <t>2262_1</t>
  </si>
  <si>
    <t>2296_1</t>
  </si>
  <si>
    <t>2888_1</t>
  </si>
  <si>
    <t>3094_1</t>
  </si>
  <si>
    <t>3988_1</t>
  </si>
  <si>
    <t>3842_1</t>
  </si>
  <si>
    <t>3434_1</t>
  </si>
  <si>
    <t>2689_1</t>
  </si>
  <si>
    <t>3415_1</t>
  </si>
  <si>
    <t>3943_1</t>
  </si>
  <si>
    <t>2729_1</t>
  </si>
  <si>
    <t>2702_1</t>
  </si>
  <si>
    <t>3808_1</t>
  </si>
  <si>
    <t>3426_1</t>
  </si>
  <si>
    <t>2458_1</t>
  </si>
  <si>
    <t>2867_1</t>
  </si>
  <si>
    <t>2509_1</t>
  </si>
  <si>
    <t>2816_1</t>
  </si>
  <si>
    <t>3414_1</t>
  </si>
  <si>
    <t>2494_1</t>
  </si>
  <si>
    <t>2250_1</t>
  </si>
  <si>
    <t>2259_1</t>
  </si>
  <si>
    <t>2852_1</t>
  </si>
  <si>
    <t>3956_1</t>
  </si>
  <si>
    <t>3969_1</t>
  </si>
  <si>
    <t>2367_1</t>
  </si>
  <si>
    <t>2257_1</t>
  </si>
  <si>
    <t>3126_1</t>
  </si>
  <si>
    <t>3634_1</t>
  </si>
  <si>
    <t>3827_1</t>
  </si>
  <si>
    <t>2690_1</t>
  </si>
  <si>
    <t>2609_1</t>
  </si>
  <si>
    <t>2600_1</t>
  </si>
  <si>
    <t>2244_1</t>
  </si>
  <si>
    <t>3439_1</t>
  </si>
  <si>
    <t>2728_1</t>
  </si>
  <si>
    <t>3506_1</t>
  </si>
  <si>
    <t>3932_1</t>
  </si>
  <si>
    <t>3004_1</t>
  </si>
  <si>
    <t>2866_1</t>
  </si>
  <si>
    <t>2501_1</t>
  </si>
  <si>
    <t>3093_1</t>
  </si>
  <si>
    <t>2881_1</t>
  </si>
  <si>
    <t>3039_1</t>
  </si>
  <si>
    <t>3123_1</t>
  </si>
  <si>
    <t>3845_1</t>
  </si>
  <si>
    <t>2408_1</t>
  </si>
  <si>
    <t>2827_1</t>
  </si>
  <si>
    <t>2386_1</t>
  </si>
  <si>
    <t>2707_2</t>
  </si>
  <si>
    <t>3814_1</t>
  </si>
  <si>
    <t>3769_1</t>
  </si>
  <si>
    <t>2498_1</t>
  </si>
  <si>
    <t>3880_1</t>
  </si>
  <si>
    <t>3118_1</t>
  </si>
  <si>
    <t>2283_1</t>
  </si>
  <si>
    <t>3810_1</t>
  </si>
  <si>
    <t>2517_1</t>
  </si>
  <si>
    <t>2637_1</t>
  </si>
  <si>
    <t>3465_1</t>
  </si>
  <si>
    <t>2688_1</t>
  </si>
  <si>
    <t>3099_1</t>
  </si>
  <si>
    <t>3878_1</t>
  </si>
  <si>
    <t>3101_1</t>
  </si>
  <si>
    <t>2407_1</t>
  </si>
  <si>
    <t>2643_1</t>
  </si>
  <si>
    <t>2351_1</t>
  </si>
  <si>
    <t>2315_1</t>
  </si>
  <si>
    <t>3505_1</t>
  </si>
  <si>
    <t>3945_1</t>
  </si>
  <si>
    <t>2817_1</t>
  </si>
  <si>
    <t>2470_1</t>
  </si>
  <si>
    <t>2293_1</t>
  </si>
  <si>
    <t>2686_1</t>
  </si>
  <si>
    <t>3866_1</t>
  </si>
  <si>
    <t>3729_1</t>
  </si>
  <si>
    <t>2598_1</t>
  </si>
  <si>
    <t>2297_1</t>
  </si>
  <si>
    <t>3733_1</t>
  </si>
  <si>
    <t>2317_1</t>
  </si>
  <si>
    <t>3009_1</t>
  </si>
  <si>
    <t>2255_1</t>
  </si>
  <si>
    <t>3441_1</t>
  </si>
  <si>
    <t>2727_1</t>
  </si>
  <si>
    <t>2401_1</t>
  </si>
  <si>
    <t>3010_1</t>
  </si>
  <si>
    <t>2253_1</t>
  </si>
  <si>
    <t>3119_1</t>
  </si>
  <si>
    <t>3821_1</t>
  </si>
  <si>
    <t>2364_1</t>
  </si>
  <si>
    <t>3806_1</t>
  </si>
  <si>
    <t>2412_1</t>
  </si>
  <si>
    <t>3941_1</t>
  </si>
  <si>
    <t>2393_1</t>
  </si>
  <si>
    <t>2850_1</t>
  </si>
  <si>
    <t>2731_1</t>
  </si>
  <si>
    <t>3501_1</t>
  </si>
  <si>
    <t>2599_1</t>
  </si>
  <si>
    <t>2846_1</t>
  </si>
  <si>
    <t>2851_1</t>
  </si>
  <si>
    <t>2856_1</t>
  </si>
  <si>
    <t>2859_1</t>
  </si>
  <si>
    <t>2411_1</t>
  </si>
  <si>
    <t>2636_1</t>
  </si>
  <si>
    <t>2726_1</t>
  </si>
  <si>
    <t>2247_1</t>
  </si>
  <si>
    <t>3424_1</t>
  </si>
  <si>
    <t>3821_2</t>
  </si>
  <si>
    <t>3111_1</t>
  </si>
  <si>
    <t>2627_1</t>
  </si>
  <si>
    <t>2812_1</t>
  </si>
  <si>
    <t>2499_1</t>
  </si>
  <si>
    <t>2861_1</t>
  </si>
  <si>
    <t>3739_1</t>
  </si>
  <si>
    <t>2410_1</t>
  </si>
  <si>
    <t>3732_1</t>
  </si>
  <si>
    <t>2275_1</t>
  </si>
  <si>
    <t>3437_1</t>
  </si>
  <si>
    <t>3083_1</t>
  </si>
  <si>
    <t>3893_1</t>
  </si>
  <si>
    <t>3075_1</t>
  </si>
  <si>
    <t>2292_1</t>
  </si>
  <si>
    <t>2683_1</t>
  </si>
  <si>
    <t>2829_1</t>
  </si>
  <si>
    <t>3881_1</t>
  </si>
  <si>
    <t>2621_1</t>
  </si>
  <si>
    <t>3635_1</t>
  </si>
  <si>
    <t>3711_1</t>
  </si>
  <si>
    <t>2623_1</t>
  </si>
  <si>
    <t>2630_1</t>
  </si>
  <si>
    <t>3724_1</t>
  </si>
  <si>
    <t>3427_1</t>
  </si>
  <si>
    <t>2586_1</t>
  </si>
  <si>
    <t>2268_1</t>
  </si>
  <si>
    <t>3413_1</t>
  </si>
  <si>
    <t>3740_1</t>
  </si>
  <si>
    <t>3122_1</t>
  </si>
  <si>
    <t>3940_1</t>
  </si>
  <si>
    <t>2260_1</t>
  </si>
  <si>
    <t>2885_1</t>
  </si>
  <si>
    <t>3940_2</t>
  </si>
  <si>
    <t>2294_1</t>
  </si>
  <si>
    <t>2316_1</t>
  </si>
  <si>
    <t>3715_2</t>
  </si>
  <si>
    <t>2815_1</t>
  </si>
  <si>
    <t>2832_1</t>
  </si>
  <si>
    <t>2512_1</t>
  </si>
  <si>
    <t>3647_1</t>
  </si>
  <si>
    <t>2371_1</t>
  </si>
  <si>
    <t>2314_1</t>
  </si>
  <si>
    <t>3081_1</t>
  </si>
  <si>
    <t>2420_1</t>
  </si>
  <si>
    <t>2880_1</t>
  </si>
  <si>
    <t>3084_1</t>
  </si>
  <si>
    <t>3951_1</t>
  </si>
  <si>
    <t>2295_1</t>
  </si>
  <si>
    <t>3428_1</t>
  </si>
  <si>
    <t>2685_1</t>
  </si>
  <si>
    <t>3989_1</t>
  </si>
  <si>
    <t>3440_1</t>
  </si>
  <si>
    <t>3883_1</t>
  </si>
  <si>
    <t>3007_1</t>
  </si>
  <si>
    <t>3765_1</t>
  </si>
  <si>
    <t>2513_1</t>
  </si>
  <si>
    <t>2841_2</t>
  </si>
  <si>
    <t>2478_1</t>
  </si>
  <si>
    <t>2265_1</t>
  </si>
  <si>
    <t>2841_1</t>
  </si>
  <si>
    <t>2511_1</t>
  </si>
  <si>
    <t>3508_1</t>
  </si>
  <si>
    <t>3117_1</t>
  </si>
  <si>
    <t>2838_1</t>
  </si>
  <si>
    <t>2379_1</t>
  </si>
  <si>
    <t>2354_1</t>
  </si>
  <si>
    <t>3080_1</t>
  </si>
  <si>
    <t>3815_1</t>
  </si>
  <si>
    <t>2874_1</t>
  </si>
  <si>
    <t>2479_1</t>
  </si>
  <si>
    <t>2629_1</t>
  </si>
  <si>
    <t>3741_1</t>
  </si>
  <si>
    <t>2635_1</t>
  </si>
  <si>
    <t>3882_1</t>
  </si>
  <si>
    <t>2838_2</t>
  </si>
  <si>
    <t>2842_1</t>
  </si>
  <si>
    <t>2849_1</t>
  </si>
  <si>
    <t>2628_1</t>
  </si>
  <si>
    <t>2847_1</t>
  </si>
  <si>
    <t>2870_1</t>
  </si>
  <si>
    <t>2842_2</t>
  </si>
  <si>
    <t>2385_1</t>
  </si>
  <si>
    <t>3847_1</t>
  </si>
  <si>
    <t>3507_1</t>
  </si>
  <si>
    <t>2274_1</t>
  </si>
  <si>
    <t>3829_1</t>
  </si>
  <si>
    <t>3479_1</t>
  </si>
  <si>
    <t>2575_1</t>
  </si>
  <si>
    <t>3707_1</t>
  </si>
  <si>
    <t>2325_1</t>
  </si>
  <si>
    <t>2246_1</t>
  </si>
  <si>
    <t>3452_1</t>
  </si>
  <si>
    <t>3828_1</t>
  </si>
  <si>
    <t>3803_1</t>
  </si>
  <si>
    <t>3097_1</t>
  </si>
  <si>
    <t>3696_1</t>
  </si>
  <si>
    <t>2682_1</t>
  </si>
  <si>
    <t>3861_1</t>
  </si>
  <si>
    <t>2252_1</t>
  </si>
  <si>
    <t>3967_1</t>
  </si>
  <si>
    <t>3966_1</t>
  </si>
  <si>
    <t>3856_1</t>
  </si>
  <si>
    <t>2527_1</t>
  </si>
  <si>
    <t>3939_1</t>
  </si>
  <si>
    <t>3852_2</t>
  </si>
  <si>
    <t>3852_1</t>
  </si>
  <si>
    <t>3836_1</t>
  </si>
  <si>
    <t>3463_1</t>
  </si>
  <si>
    <t>2336_1</t>
  </si>
  <si>
    <t>3460_1</t>
  </si>
  <si>
    <t>3938_1</t>
  </si>
  <si>
    <t>3619_1</t>
  </si>
  <si>
    <t>2610_1</t>
  </si>
  <si>
    <t>3125_1</t>
  </si>
  <si>
    <t>3853_1</t>
  </si>
  <si>
    <t>3523_1</t>
  </si>
  <si>
    <t>2449_1</t>
  </si>
  <si>
    <t>3914_1</t>
  </si>
  <si>
    <t>3082_1</t>
  </si>
  <si>
    <t>3625_1</t>
  </si>
  <si>
    <t>2642_1</t>
  </si>
  <si>
    <t>2622_1</t>
  </si>
  <si>
    <t>3484_1</t>
  </si>
  <si>
    <t>3700_1</t>
  </si>
  <si>
    <t>3609_1</t>
  </si>
  <si>
    <t>3444_1</t>
  </si>
  <si>
    <t>3933_1</t>
  </si>
  <si>
    <t>2422_1</t>
  </si>
  <si>
    <t>2349_1</t>
  </si>
  <si>
    <t>2427_1</t>
  </si>
  <si>
    <t>2724_1</t>
  </si>
  <si>
    <t>3608_1</t>
  </si>
  <si>
    <t>2461_1</t>
  </si>
  <si>
    <t>2460_1</t>
  </si>
  <si>
    <t>2699_1</t>
  </si>
  <si>
    <t>3034_1</t>
  </si>
  <si>
    <t>2524_1</t>
  </si>
  <si>
    <t>3610_1</t>
  </si>
  <si>
    <t>3867_1</t>
  </si>
  <si>
    <t>3618_1</t>
  </si>
  <si>
    <t>3067_1</t>
  </si>
  <si>
    <t>2700_1</t>
  </si>
  <si>
    <t>2510_1</t>
  </si>
  <si>
    <t>3443_1</t>
  </si>
  <si>
    <t>3888_1</t>
  </si>
  <si>
    <t>3645_1</t>
  </si>
  <si>
    <t>2448_1</t>
  </si>
  <si>
    <t>3033_1</t>
  </si>
  <si>
    <t>3804_1</t>
  </si>
  <si>
    <t>2320_1</t>
  </si>
  <si>
    <t>3620_1</t>
  </si>
  <si>
    <t>3462_1</t>
  </si>
  <si>
    <t>3522_1</t>
  </si>
  <si>
    <t>3859_1</t>
  </si>
  <si>
    <t>2462_1</t>
  </si>
  <si>
    <t>2419_1</t>
  </si>
  <si>
    <t>3763_1</t>
  </si>
  <si>
    <t>3112_1</t>
  </si>
  <si>
    <t>3466_1</t>
  </si>
  <si>
    <t>2516_1</t>
  </si>
  <si>
    <t>3063_1</t>
  </si>
  <si>
    <t>2459_1</t>
  </si>
  <si>
    <t>3934_1</t>
  </si>
  <si>
    <t>2597_1</t>
  </si>
  <si>
    <t>3644_1</t>
  </si>
  <si>
    <t>2557_1</t>
  </si>
  <si>
    <t>3471_1</t>
  </si>
  <si>
    <t>3100_1</t>
  </si>
  <si>
    <t>3954_1</t>
  </si>
  <si>
    <t>3124_1</t>
  </si>
  <si>
    <t>2245_1</t>
  </si>
  <si>
    <t>2432_1</t>
  </si>
  <si>
    <t>3770_1</t>
  </si>
  <si>
    <t>3017_1</t>
  </si>
  <si>
    <t>CollDate</t>
  </si>
  <si>
    <t>StationID_Master</t>
  </si>
  <si>
    <t>ChemSampleID</t>
  </si>
  <si>
    <t>PhabSampID</t>
  </si>
  <si>
    <t>BMI.Metrics.SampID</t>
  </si>
  <si>
    <t>Algae.Metrics.SampID</t>
  </si>
  <si>
    <t>SampID</t>
  </si>
  <si>
    <t>888_1</t>
  </si>
  <si>
    <t>609_1</t>
  </si>
  <si>
    <t>1262_1</t>
  </si>
  <si>
    <t>880_1</t>
  </si>
  <si>
    <t>917_1</t>
  </si>
  <si>
    <t>1324_1</t>
  </si>
  <si>
    <t>1352_1</t>
  </si>
  <si>
    <t>793_1</t>
  </si>
  <si>
    <t>1002_1</t>
  </si>
  <si>
    <t>1340_1</t>
  </si>
  <si>
    <t>570_1</t>
  </si>
  <si>
    <t>701_1</t>
  </si>
  <si>
    <t>893_1</t>
  </si>
  <si>
    <t>777_1</t>
  </si>
  <si>
    <t>870_1</t>
  </si>
  <si>
    <t>SPSPR102.01</t>
  </si>
  <si>
    <t>787_1</t>
  </si>
  <si>
    <t>1025_1</t>
  </si>
  <si>
    <t>926_1</t>
  </si>
  <si>
    <t>1289_1</t>
  </si>
  <si>
    <t>826_1</t>
  </si>
  <si>
    <t>1173_1</t>
  </si>
  <si>
    <t>924_1</t>
  </si>
  <si>
    <t>772_1</t>
  </si>
  <si>
    <t>SCMAD012.71</t>
  </si>
  <si>
    <t>591_1</t>
  </si>
  <si>
    <t>782_1</t>
  </si>
  <si>
    <t>501_1</t>
  </si>
  <si>
    <t>1402_1</t>
  </si>
  <si>
    <t>911_1</t>
  </si>
  <si>
    <t>1248_1</t>
  </si>
  <si>
    <t>544_1</t>
  </si>
  <si>
    <t>1170_1</t>
  </si>
  <si>
    <t>714_1</t>
  </si>
  <si>
    <t>1414_1</t>
  </si>
  <si>
    <t>1250_1</t>
  </si>
  <si>
    <t>SRFSH006.38</t>
  </si>
  <si>
    <t>1122_1</t>
  </si>
  <si>
    <t>512_1</t>
  </si>
  <si>
    <t>1047_1</t>
  </si>
  <si>
    <t>1012_1</t>
  </si>
  <si>
    <t>607_1</t>
  </si>
  <si>
    <t>961_1</t>
  </si>
  <si>
    <t>1301_1</t>
  </si>
  <si>
    <t>1029_1</t>
  </si>
  <si>
    <t>1401_1</t>
  </si>
  <si>
    <t>1302_1</t>
  </si>
  <si>
    <t>CGNAT000.48</t>
  </si>
  <si>
    <t>896_1</t>
  </si>
  <si>
    <t>1247_1</t>
  </si>
  <si>
    <t>584_1</t>
  </si>
  <si>
    <t>SRSAL008.74</t>
  </si>
  <si>
    <t>1444_1</t>
  </si>
  <si>
    <t>863_1</t>
  </si>
  <si>
    <t>1251_1</t>
  </si>
  <si>
    <t>565_1</t>
  </si>
  <si>
    <t>SRCRS002.97</t>
  </si>
  <si>
    <t>716_1</t>
  </si>
  <si>
    <t>796_1</t>
  </si>
  <si>
    <t>928_1</t>
  </si>
  <si>
    <t>VRBTT005.70</t>
  </si>
  <si>
    <t>1077_1</t>
  </si>
  <si>
    <t>MGQEN037.17</t>
  </si>
  <si>
    <t>846_1</t>
  </si>
  <si>
    <t>1121_1</t>
  </si>
  <si>
    <t>536_1</t>
  </si>
  <si>
    <t>1030_1</t>
  </si>
  <si>
    <t>615_1</t>
  </si>
  <si>
    <t>1056_1</t>
  </si>
  <si>
    <t>1058_1</t>
  </si>
  <si>
    <t>618_1</t>
  </si>
  <si>
    <t>600_1</t>
  </si>
  <si>
    <t>705_1</t>
  </si>
  <si>
    <t>804_1</t>
  </si>
  <si>
    <t>1078_1</t>
  </si>
  <si>
    <t>781_1</t>
  </si>
  <si>
    <t>533_1</t>
  </si>
  <si>
    <t>1439_1</t>
  </si>
  <si>
    <t>625_1</t>
  </si>
  <si>
    <t>1018_1</t>
  </si>
  <si>
    <t>1016_1</t>
  </si>
  <si>
    <t>1407_1</t>
  </si>
  <si>
    <t>1392_1</t>
  </si>
  <si>
    <t>614_1</t>
  </si>
  <si>
    <t>636_1</t>
  </si>
  <si>
    <t>1358_1</t>
  </si>
  <si>
    <t>1171_1</t>
  </si>
  <si>
    <t>577_1</t>
  </si>
  <si>
    <t>520_1</t>
  </si>
  <si>
    <t>SRR2K007.10</t>
  </si>
  <si>
    <t>1123_1</t>
  </si>
  <si>
    <t>849_1</t>
  </si>
  <si>
    <t>613_1</t>
  </si>
  <si>
    <t>867_1</t>
  </si>
  <si>
    <t>567_1</t>
  </si>
  <si>
    <t>1312_1</t>
  </si>
  <si>
    <t>1438_1</t>
  </si>
  <si>
    <t>785_1</t>
  </si>
  <si>
    <t>930_1</t>
  </si>
  <si>
    <t>1313_1</t>
  </si>
  <si>
    <t>1245_1</t>
  </si>
  <si>
    <t>1205_1</t>
  </si>
  <si>
    <t>1422_1</t>
  </si>
  <si>
    <t>CGMAT000.03</t>
  </si>
  <si>
    <t>859_1</t>
  </si>
  <si>
    <t>1108_1</t>
  </si>
  <si>
    <t>1169_1</t>
  </si>
  <si>
    <t>SRCOT005.74</t>
  </si>
  <si>
    <t>1124_1</t>
  </si>
  <si>
    <t>VRWCL009.24</t>
  </si>
  <si>
    <t>110_1</t>
  </si>
  <si>
    <t>634_1</t>
  </si>
  <si>
    <t>892_1</t>
  </si>
  <si>
    <t>1200_1</t>
  </si>
  <si>
    <t>1403_1</t>
  </si>
  <si>
    <t>1384_1</t>
  </si>
  <si>
    <t>964_1</t>
  </si>
  <si>
    <t>1116_1</t>
  </si>
  <si>
    <t>1206_1</t>
  </si>
  <si>
    <t>1350_1</t>
  </si>
  <si>
    <t>825_1</t>
  </si>
  <si>
    <t>507_1</t>
  </si>
  <si>
    <t>1216_1</t>
  </si>
  <si>
    <t>932_1</t>
  </si>
  <si>
    <t>801_1</t>
  </si>
  <si>
    <t>VRWCL001.16</t>
  </si>
  <si>
    <t>107_1</t>
  </si>
  <si>
    <t>1031_1</t>
  </si>
  <si>
    <t>1244_1</t>
  </si>
  <si>
    <t>SRTON058.93</t>
  </si>
  <si>
    <t>719_1</t>
  </si>
  <si>
    <t>1125_1</t>
  </si>
  <si>
    <t>1363_1</t>
  </si>
  <si>
    <t>528_1</t>
  </si>
  <si>
    <t>1315_1</t>
  </si>
  <si>
    <t>1028_1</t>
  </si>
  <si>
    <t>595_1</t>
  </si>
  <si>
    <t>707_1</t>
  </si>
  <si>
    <t>962_1</t>
  </si>
  <si>
    <t>522_1</t>
  </si>
  <si>
    <t>851_1</t>
  </si>
  <si>
    <t>MGFRG008.09</t>
  </si>
  <si>
    <t>822_1</t>
  </si>
  <si>
    <t>616_1</t>
  </si>
  <si>
    <t>CGHRM000.27</t>
  </si>
  <si>
    <t>101_1</t>
  </si>
  <si>
    <t>887_1</t>
  </si>
  <si>
    <t>651_1</t>
  </si>
  <si>
    <t>1421_1</t>
  </si>
  <si>
    <t>1215_1</t>
  </si>
  <si>
    <t>MGLOG000.56</t>
  </si>
  <si>
    <t>1429_1</t>
  </si>
  <si>
    <t>1320_1</t>
  </si>
  <si>
    <t>511_1</t>
  </si>
  <si>
    <t>1131_1</t>
  </si>
  <si>
    <t>498_1</t>
  </si>
  <si>
    <t>882_1</t>
  </si>
  <si>
    <t>1415_1</t>
  </si>
  <si>
    <t>CGBRA001.36</t>
  </si>
  <si>
    <t>97_1</t>
  </si>
  <si>
    <t>569_1</t>
  </si>
  <si>
    <t>861_1</t>
  </si>
  <si>
    <t>SPSPR117.97</t>
  </si>
  <si>
    <t>1017_1</t>
  </si>
  <si>
    <t>1218_1</t>
  </si>
  <si>
    <t>1027_1</t>
  </si>
  <si>
    <t>703_1</t>
  </si>
  <si>
    <t>1303_1</t>
  </si>
  <si>
    <t>LCBRB000.27</t>
  </si>
  <si>
    <t>915_1</t>
  </si>
  <si>
    <t>535_1</t>
  </si>
  <si>
    <t>103_1</t>
  </si>
  <si>
    <t>559_1</t>
  </si>
  <si>
    <t>718_1</t>
  </si>
  <si>
    <t>1263_1</t>
  </si>
  <si>
    <t>1249_1</t>
  </si>
  <si>
    <t>602_1</t>
  </si>
  <si>
    <t>1323_1</t>
  </si>
  <si>
    <t>549_1</t>
  </si>
  <si>
    <t>UGCAV014.44</t>
  </si>
  <si>
    <t>592_1</t>
  </si>
  <si>
    <t>1368_1</t>
  </si>
  <si>
    <t>1096_1</t>
  </si>
  <si>
    <t>1304_1</t>
  </si>
  <si>
    <t>960_1</t>
  </si>
  <si>
    <t>1112_1</t>
  </si>
  <si>
    <t>635_1</t>
  </si>
  <si>
    <t>820_1</t>
  </si>
  <si>
    <t>VRUBT000.31</t>
  </si>
  <si>
    <t>527_1</t>
  </si>
  <si>
    <t>916_1</t>
  </si>
  <si>
    <t>773_1</t>
  </si>
  <si>
    <t>UGSCV002.80</t>
  </si>
  <si>
    <t>553_1</t>
  </si>
  <si>
    <t>894_1</t>
  </si>
  <si>
    <t>554_1</t>
  </si>
  <si>
    <t>581_1</t>
  </si>
  <si>
    <t>1288_1</t>
  </si>
  <si>
    <t>564_1</t>
  </si>
  <si>
    <t>1381_1</t>
  </si>
  <si>
    <t>1391_1</t>
  </si>
  <si>
    <t>1408_1</t>
  </si>
  <si>
    <t>1043_1</t>
  </si>
  <si>
    <t>1393_1</t>
  </si>
  <si>
    <t>963_1</t>
  </si>
  <si>
    <t>973_1</t>
  </si>
  <si>
    <t>1266_1</t>
  </si>
  <si>
    <t>526_1</t>
  </si>
  <si>
    <t>1405_1</t>
  </si>
  <si>
    <t>545_1</t>
  </si>
  <si>
    <t>519_1</t>
  </si>
  <si>
    <t>531_1</t>
  </si>
  <si>
    <t>623_1</t>
  </si>
  <si>
    <t>868_1</t>
  </si>
  <si>
    <t>1252_1</t>
  </si>
  <si>
    <t>681_1</t>
  </si>
  <si>
    <t>1296_1</t>
  </si>
  <si>
    <t>CGMON000.19</t>
  </si>
  <si>
    <t>853_1</t>
  </si>
  <si>
    <t>1390_1</t>
  </si>
  <si>
    <t>VRMIL006.07</t>
  </si>
  <si>
    <t>1079_1</t>
  </si>
  <si>
    <t>CGSPG000.17</t>
  </si>
  <si>
    <t>879_1</t>
  </si>
  <si>
    <t>SRGVL011.66</t>
  </si>
  <si>
    <t>1430_1</t>
  </si>
  <si>
    <t>UGSCV002.56</t>
  </si>
  <si>
    <t>593_1</t>
  </si>
  <si>
    <t>898_1</t>
  </si>
  <si>
    <t>CGSPG000.43</t>
  </si>
  <si>
    <t>104_1</t>
  </si>
  <si>
    <t>829_1</t>
  </si>
  <si>
    <t>1111_1</t>
  </si>
  <si>
    <t>1026_1</t>
  </si>
  <si>
    <t>1332_1</t>
  </si>
  <si>
    <t>904_1</t>
  </si>
  <si>
    <t>827_1</t>
  </si>
  <si>
    <t>1373_1</t>
  </si>
  <si>
    <t>1080_1</t>
  </si>
  <si>
    <t>708_1</t>
  </si>
  <si>
    <t>1367_1</t>
  </si>
  <si>
    <t>1309_1</t>
  </si>
  <si>
    <t>590_1</t>
  </si>
  <si>
    <t>702_1</t>
  </si>
  <si>
    <t>622_1</t>
  </si>
  <si>
    <t>1107_1</t>
  </si>
  <si>
    <t>606_1</t>
  </si>
  <si>
    <t>1371_1</t>
  </si>
  <si>
    <t>1120_1</t>
  </si>
  <si>
    <t>SRREY001.45</t>
  </si>
  <si>
    <t>1446_1</t>
  </si>
  <si>
    <t>1257_1</t>
  </si>
  <si>
    <t>899_1</t>
  </si>
  <si>
    <t>873_1</t>
  </si>
  <si>
    <t>1139_1</t>
  </si>
  <si>
    <t>816_1</t>
  </si>
  <si>
    <t>1326_1</t>
  </si>
  <si>
    <t>821_1</t>
  </si>
  <si>
    <t>1295_1</t>
  </si>
  <si>
    <t>1346_1</t>
  </si>
  <si>
    <t>1341_1</t>
  </si>
  <si>
    <t>978_1</t>
  </si>
  <si>
    <t>MGQEN037.47</t>
  </si>
  <si>
    <t>843_1</t>
  </si>
  <si>
    <t>1330_1</t>
  </si>
  <si>
    <t>790_1</t>
  </si>
  <si>
    <t>1428_1</t>
  </si>
  <si>
    <t>VRGRA033.51</t>
  </si>
  <si>
    <t>1084_1</t>
  </si>
  <si>
    <t>558_1</t>
  </si>
  <si>
    <t>856_1</t>
  </si>
  <si>
    <t>891_1</t>
  </si>
  <si>
    <t>1423_1</t>
  </si>
  <si>
    <t>1383_1</t>
  </si>
  <si>
    <t>1362_1</t>
  </si>
  <si>
    <t>1048_1</t>
  </si>
  <si>
    <t>1046_1</t>
  </si>
  <si>
    <t>929_1</t>
  </si>
  <si>
    <t>1141_1</t>
  </si>
  <si>
    <t>SPWRC000.09</t>
  </si>
  <si>
    <t>869_1</t>
  </si>
  <si>
    <t>1164_1</t>
  </si>
  <si>
    <t>1319_1</t>
  </si>
  <si>
    <t>UGEAG049.82</t>
  </si>
  <si>
    <t>1374_1</t>
  </si>
  <si>
    <t>865_1</t>
  </si>
  <si>
    <t>VRAPA002.31</t>
  </si>
  <si>
    <t>1432_1</t>
  </si>
  <si>
    <t>776_1</t>
  </si>
  <si>
    <t>819_1</t>
  </si>
  <si>
    <t>1344_1</t>
  </si>
  <si>
    <t>530_1</t>
  </si>
  <si>
    <t>1203_1</t>
  </si>
  <si>
    <t>803_1</t>
  </si>
  <si>
    <t>1412_1</t>
  </si>
  <si>
    <t>1066_1</t>
  </si>
  <si>
    <t>1311_1</t>
  </si>
  <si>
    <t>SCSAB004.49</t>
  </si>
  <si>
    <t>813_1</t>
  </si>
  <si>
    <t>VRAPA007.76</t>
  </si>
  <si>
    <t>517_1</t>
  </si>
  <si>
    <t>BWBRO037.65</t>
  </si>
  <si>
    <t>1426_1</t>
  </si>
  <si>
    <t>972_1</t>
  </si>
  <si>
    <t>1255_1</t>
  </si>
  <si>
    <t>672_1</t>
  </si>
  <si>
    <t>513_1</t>
  </si>
  <si>
    <t>706_1</t>
  </si>
  <si>
    <t>VRMIL000.22</t>
  </si>
  <si>
    <t>1194_1</t>
  </si>
  <si>
    <t>1256_1</t>
  </si>
  <si>
    <t>875_1</t>
  </si>
  <si>
    <t>SCSCR169.35</t>
  </si>
  <si>
    <t>578_1</t>
  </si>
  <si>
    <t>1072_1</t>
  </si>
  <si>
    <t>VRSYM021.25</t>
  </si>
  <si>
    <t>1196_1</t>
  </si>
  <si>
    <t>633_1</t>
  </si>
  <si>
    <t>1385_1</t>
  </si>
  <si>
    <t>1265_1</t>
  </si>
  <si>
    <t>VRBAN000.06</t>
  </si>
  <si>
    <t>1188_1</t>
  </si>
  <si>
    <t>774_1</t>
  </si>
  <si>
    <t>1217_1</t>
  </si>
  <si>
    <t>VRPIN001.31</t>
  </si>
  <si>
    <t>1175_1</t>
  </si>
  <si>
    <t>1325_1</t>
  </si>
  <si>
    <t>1267_1</t>
  </si>
  <si>
    <t>914_1</t>
  </si>
  <si>
    <t>1168_1</t>
  </si>
  <si>
    <t>1351_1</t>
  </si>
  <si>
    <t>1054_1</t>
  </si>
  <si>
    <t>1207_1</t>
  </si>
  <si>
    <t>1148_1</t>
  </si>
  <si>
    <t>VRAPA000.03</t>
  </si>
  <si>
    <t>516_1</t>
  </si>
  <si>
    <t>1145_1</t>
  </si>
  <si>
    <t>1212_1</t>
  </si>
  <si>
    <t>548_1</t>
  </si>
  <si>
    <t>874_1</t>
  </si>
  <si>
    <t>1106_1</t>
  </si>
  <si>
    <t>1086_1</t>
  </si>
  <si>
    <t>923_1</t>
  </si>
  <si>
    <t>1380_1</t>
  </si>
  <si>
    <t>1201_1</t>
  </si>
  <si>
    <t>1388_1</t>
  </si>
  <si>
    <t>1104_1</t>
  </si>
  <si>
    <t>VRGRA029.97</t>
  </si>
  <si>
    <t>1192_1</t>
  </si>
  <si>
    <t>1293_1</t>
  </si>
  <si>
    <t>1128_1</t>
  </si>
  <si>
    <t>1034_1</t>
  </si>
  <si>
    <t>767_1</t>
  </si>
  <si>
    <t>1036_1</t>
  </si>
  <si>
    <t>1199_1</t>
  </si>
  <si>
    <t>566_1</t>
  </si>
  <si>
    <t>1417_1</t>
  </si>
  <si>
    <t>889_1</t>
  </si>
  <si>
    <t>1264_1</t>
  </si>
  <si>
    <t>1292_1</t>
  </si>
  <si>
    <t>MGIDN002.66</t>
  </si>
  <si>
    <t>1185_1</t>
  </si>
  <si>
    <t>1316_1</t>
  </si>
  <si>
    <t>712_1</t>
  </si>
  <si>
    <t>612_1</t>
  </si>
  <si>
    <t>909_1</t>
  </si>
  <si>
    <t>SPCOP011.39</t>
  </si>
  <si>
    <t>542_1</t>
  </si>
  <si>
    <t>621_1</t>
  </si>
  <si>
    <t>MGWCC000.25</t>
  </si>
  <si>
    <t>1442_1</t>
  </si>
  <si>
    <t>809_1</t>
  </si>
  <si>
    <t>1214_1</t>
  </si>
  <si>
    <t>769_1</t>
  </si>
  <si>
    <t>1387_1</t>
  </si>
  <si>
    <t>SCSAB005.40</t>
  </si>
  <si>
    <t>583_1</t>
  </si>
  <si>
    <t>885_1</t>
  </si>
  <si>
    <t>532_1</t>
  </si>
  <si>
    <t>VRALD007.86</t>
  </si>
  <si>
    <t>1041_1</t>
  </si>
  <si>
    <t>SRCRS005.68</t>
  </si>
  <si>
    <t>717_1</t>
  </si>
  <si>
    <t>1136_1</t>
  </si>
  <si>
    <t>800_1</t>
  </si>
  <si>
    <t>VRUWV001.55</t>
  </si>
  <si>
    <t>1431_1</t>
  </si>
  <si>
    <t>927_1</t>
  </si>
  <si>
    <t>663_1</t>
  </si>
  <si>
    <t>500_1</t>
  </si>
  <si>
    <t>792_1</t>
  </si>
  <si>
    <t>1259_1</t>
  </si>
  <si>
    <t>1355_1</t>
  </si>
  <si>
    <t>857_1</t>
  </si>
  <si>
    <t>1202_1</t>
  </si>
  <si>
    <t>925_1</t>
  </si>
  <si>
    <t>529_1</t>
  </si>
  <si>
    <t>791_1</t>
  </si>
  <si>
    <t>933_1</t>
  </si>
  <si>
    <t>814_1</t>
  </si>
  <si>
    <t>1369_1</t>
  </si>
  <si>
    <t>561_1</t>
  </si>
  <si>
    <t>828_1</t>
  </si>
  <si>
    <t>99_1</t>
  </si>
  <si>
    <t>LCWIL018.74</t>
  </si>
  <si>
    <t>1427_1</t>
  </si>
  <si>
    <t>1057_1</t>
  </si>
  <si>
    <t>1178_1</t>
  </si>
  <si>
    <t>598_1</t>
  </si>
  <si>
    <t>605_1</t>
  </si>
  <si>
    <t>547_1</t>
  </si>
  <si>
    <t>1191_1</t>
  </si>
  <si>
    <t>CGCRY000.41</t>
  </si>
  <si>
    <t>98_1</t>
  </si>
  <si>
    <t>VRWCL004.72</t>
  </si>
  <si>
    <t>108_1</t>
  </si>
  <si>
    <t>1287_1</t>
  </si>
  <si>
    <t>VRROK002.80</t>
  </si>
  <si>
    <t>1097_1</t>
  </si>
  <si>
    <t>1434_1</t>
  </si>
  <si>
    <t>552_1</t>
  </si>
  <si>
    <t>BWBSR015.60</t>
  </si>
  <si>
    <t>1142_1</t>
  </si>
  <si>
    <t>1286_1</t>
  </si>
  <si>
    <t>525_1</t>
  </si>
  <si>
    <t>786_1</t>
  </si>
  <si>
    <t>508_1</t>
  </si>
  <si>
    <t>1411_1</t>
  </si>
  <si>
    <t>617_1</t>
  </si>
  <si>
    <t>1133_1</t>
  </si>
  <si>
    <t>1157_1</t>
  </si>
  <si>
    <t>1088_1</t>
  </si>
  <si>
    <t>1329_1</t>
  </si>
  <si>
    <t>1365_1</t>
  </si>
  <si>
    <t>1418_1</t>
  </si>
  <si>
    <t>1009_1</t>
  </si>
  <si>
    <t>1298_1</t>
  </si>
  <si>
    <t>833_1</t>
  </si>
  <si>
    <t>VRWCL005.53</t>
  </si>
  <si>
    <t>109_1</t>
  </si>
  <si>
    <t>842_1</t>
  </si>
  <si>
    <t>920_1</t>
  </si>
  <si>
    <t>835_1</t>
  </si>
  <si>
    <t>854_1</t>
  </si>
  <si>
    <t>969_1</t>
  </si>
  <si>
    <t>628_1</t>
  </si>
  <si>
    <t>830_1</t>
  </si>
  <si>
    <t>555_1</t>
  </si>
  <si>
    <t>1101_1</t>
  </si>
  <si>
    <t>837_1</t>
  </si>
  <si>
    <t>1211_1</t>
  </si>
  <si>
    <t>797_1</t>
  </si>
  <si>
    <t>1219_1</t>
  </si>
  <si>
    <t>1347_1</t>
  </si>
  <si>
    <t>788_1</t>
  </si>
  <si>
    <t>1099_1</t>
  </si>
  <si>
    <t>534_1</t>
  </si>
  <si>
    <t>965_1</t>
  </si>
  <si>
    <t>505_1</t>
  </si>
  <si>
    <t>1253_1</t>
  </si>
  <si>
    <t>SRHAN000.06</t>
  </si>
  <si>
    <t>1020_1</t>
  </si>
  <si>
    <t>1389_1</t>
  </si>
  <si>
    <t>1379_1</t>
  </si>
  <si>
    <t>817_1</t>
  </si>
  <si>
    <t>841_1</t>
  </si>
  <si>
    <t>MGCVE037.68</t>
  </si>
  <si>
    <t>624_1</t>
  </si>
  <si>
    <t>588_1</t>
  </si>
  <si>
    <t>1413_1</t>
  </si>
  <si>
    <t>1360_1</t>
  </si>
  <si>
    <t>784_1</t>
  </si>
  <si>
    <t>1117_1</t>
  </si>
  <si>
    <t>1162_1</t>
  </si>
  <si>
    <t>862_1</t>
  </si>
  <si>
    <t>540_1</t>
  </si>
  <si>
    <t>1258_1</t>
  </si>
  <si>
    <t>SCSAB005.09</t>
  </si>
  <si>
    <t>1130_1</t>
  </si>
  <si>
    <t>1053_1</t>
  </si>
  <si>
    <t>506_1</t>
  </si>
  <si>
    <t>850_1</t>
  </si>
  <si>
    <t>543_1</t>
  </si>
  <si>
    <t>789_1</t>
  </si>
  <si>
    <t>1089_1</t>
  </si>
  <si>
    <t>1317_1</t>
  </si>
  <si>
    <t>1334_1</t>
  </si>
  <si>
    <t>1254_1</t>
  </si>
  <si>
    <t>539_1</t>
  </si>
  <si>
    <t>596_1</t>
  </si>
  <si>
    <t>1092_1</t>
  </si>
  <si>
    <t>1179_1</t>
  </si>
  <si>
    <t>VRGRA027.35</t>
  </si>
  <si>
    <t>1193_1</t>
  </si>
  <si>
    <t>770_1</t>
  </si>
  <si>
    <t>1195_1</t>
  </si>
  <si>
    <t>523_1</t>
  </si>
  <si>
    <t>1011_1</t>
  </si>
  <si>
    <t>510_1</t>
  </si>
  <si>
    <t>680_1</t>
  </si>
  <si>
    <t>1342_1</t>
  </si>
  <si>
    <t>CGTAP000.57</t>
  </si>
  <si>
    <t>105_1</t>
  </si>
  <si>
    <t>1322_1</t>
  </si>
  <si>
    <t>VRASP005.07</t>
  </si>
  <si>
    <t>1076_1</t>
  </si>
  <si>
    <t>799_1</t>
  </si>
  <si>
    <t>1172_1</t>
  </si>
  <si>
    <t>CGGDN001.09</t>
  </si>
  <si>
    <t>100_1</t>
  </si>
  <si>
    <t>1409_1</t>
  </si>
  <si>
    <t>1040_1</t>
  </si>
  <si>
    <t>112_1</t>
  </si>
  <si>
    <t>106_1</t>
  </si>
  <si>
    <t>977_1</t>
  </si>
  <si>
    <t>848_1</t>
  </si>
  <si>
    <t>MGFRG007.28</t>
  </si>
  <si>
    <t>824_1</t>
  </si>
  <si>
    <t>855_1</t>
  </si>
  <si>
    <t>831_1</t>
  </si>
  <si>
    <t>546_1</t>
  </si>
  <si>
    <t>1299_1</t>
  </si>
  <si>
    <t>597_1</t>
  </si>
  <si>
    <t>1398_1</t>
  </si>
  <si>
    <t>UGBON010.37</t>
  </si>
  <si>
    <t>96_1</t>
  </si>
  <si>
    <t>1359_1</t>
  </si>
  <si>
    <t>1129_1</t>
  </si>
  <si>
    <t>1105_1</t>
  </si>
  <si>
    <t>910_1</t>
  </si>
  <si>
    <t>1149_1</t>
  </si>
  <si>
    <t>568_1</t>
  </si>
  <si>
    <t>1410_1</t>
  </si>
  <si>
    <t>986_1</t>
  </si>
  <si>
    <t>883_1</t>
  </si>
  <si>
    <t>802_1</t>
  </si>
  <si>
    <t>1310_1</t>
  </si>
  <si>
    <t>1416_1</t>
  </si>
  <si>
    <t>1395_1</t>
  </si>
  <si>
    <t>783_1</t>
  </si>
  <si>
    <t>1147_1</t>
  </si>
  <si>
    <t>1328_1</t>
  </si>
  <si>
    <t>1033_1</t>
  </si>
  <si>
    <t>SRFIN000.78</t>
  </si>
  <si>
    <t>1440_1</t>
  </si>
  <si>
    <t>620_1</t>
  </si>
  <si>
    <t>709_1</t>
  </si>
  <si>
    <t>630_1</t>
  </si>
  <si>
    <t>1353_1</t>
  </si>
  <si>
    <t>656_1</t>
  </si>
  <si>
    <t>1059_1</t>
  </si>
  <si>
    <t>913_1</t>
  </si>
  <si>
    <t>518_1</t>
  </si>
  <si>
    <t>601_1</t>
  </si>
  <si>
    <t>1063_1</t>
  </si>
  <si>
    <t>1318_1</t>
  </si>
  <si>
    <t>556_1</t>
  </si>
  <si>
    <t>981_1</t>
  </si>
  <si>
    <t>711_1</t>
  </si>
  <si>
    <t>VRCAM000.79</t>
  </si>
  <si>
    <t>1061_1</t>
  </si>
  <si>
    <t>579_1</t>
  </si>
  <si>
    <t>1167_1</t>
  </si>
  <si>
    <t>1321_1</t>
  </si>
  <si>
    <t>551_1</t>
  </si>
  <si>
    <t>1083_1</t>
  </si>
  <si>
    <t>715_1</t>
  </si>
  <si>
    <t>812_1</t>
  </si>
  <si>
    <t>1014_1</t>
  </si>
  <si>
    <t>537_1</t>
  </si>
  <si>
    <t>860_1</t>
  </si>
  <si>
    <t>599_1</t>
  </si>
  <si>
    <t>1399_1</t>
  </si>
  <si>
    <t>SRR2K004.34</t>
  </si>
  <si>
    <t>1098_1</t>
  </si>
  <si>
    <t>538_1</t>
  </si>
  <si>
    <t>SRHNC000.14</t>
  </si>
  <si>
    <t>1019_1</t>
  </si>
  <si>
    <t>778_1</t>
  </si>
  <si>
    <t>1100_1</t>
  </si>
  <si>
    <t>1045_1</t>
  </si>
  <si>
    <t>967_1</t>
  </si>
  <si>
    <t>795_1</t>
  </si>
  <si>
    <t>1182_1</t>
  </si>
  <si>
    <t>1132_1</t>
  </si>
  <si>
    <t>918_1</t>
  </si>
  <si>
    <t>864_1</t>
  </si>
  <si>
    <t>1032_1</t>
  </si>
  <si>
    <t>679_1</t>
  </si>
  <si>
    <t>1110_1</t>
  </si>
  <si>
    <t>1186_1</t>
  </si>
  <si>
    <t>1331_1</t>
  </si>
  <si>
    <t>1160_1</t>
  </si>
  <si>
    <t>1394_1</t>
  </si>
  <si>
    <t>1356_1</t>
  </si>
  <si>
    <t>808_1</t>
  </si>
  <si>
    <t>629_1</t>
  </si>
  <si>
    <t>1349_1</t>
  </si>
  <si>
    <t>934_1</t>
  </si>
  <si>
    <t>1370_1</t>
  </si>
  <si>
    <t>SRCYN046.07</t>
  </si>
  <si>
    <t>644_1</t>
  </si>
  <si>
    <t>971_1</t>
  </si>
  <si>
    <t>95_1</t>
  </si>
  <si>
    <t>832_1</t>
  </si>
  <si>
    <t>1156_1</t>
  </si>
  <si>
    <t>1158_1</t>
  </si>
  <si>
    <t>1366_1</t>
  </si>
  <si>
    <t>990_1</t>
  </si>
  <si>
    <t>1051_1</t>
  </si>
  <si>
    <t>1085_1</t>
  </si>
  <si>
    <t>1060_1</t>
  </si>
  <si>
    <t>1134_1</t>
  </si>
  <si>
    <t>704_1</t>
  </si>
  <si>
    <t>968_1</t>
  </si>
  <si>
    <t>1095_1</t>
  </si>
  <si>
    <t>LCCLE063.52</t>
  </si>
  <si>
    <t>908_1</t>
  </si>
  <si>
    <t>604_1</t>
  </si>
  <si>
    <t>1001_1</t>
  </si>
  <si>
    <t>1208_1</t>
  </si>
  <si>
    <t>1376_1</t>
  </si>
  <si>
    <t>587_1</t>
  </si>
  <si>
    <t>794_1</t>
  </si>
  <si>
    <t>988_1</t>
  </si>
  <si>
    <t>1087_1</t>
  </si>
  <si>
    <t>654_1</t>
  </si>
  <si>
    <t>1037_1</t>
  </si>
  <si>
    <t>603_1</t>
  </si>
  <si>
    <t>900_1</t>
  </si>
  <si>
    <t>1146_1</t>
  </si>
  <si>
    <t>1176_1</t>
  </si>
  <si>
    <t>1021_1</t>
  </si>
  <si>
    <t>1174_1</t>
  </si>
  <si>
    <t>901_1</t>
  </si>
  <si>
    <t>903_1</t>
  </si>
  <si>
    <t>1291_1</t>
  </si>
  <si>
    <t>771_1</t>
  </si>
  <si>
    <t>768_1</t>
  </si>
  <si>
    <t>897_1</t>
  </si>
  <si>
    <t>1335_1</t>
  </si>
  <si>
    <t>806_1</t>
  </si>
  <si>
    <t>713_1</t>
  </si>
  <si>
    <t>1246_1</t>
  </si>
  <si>
    <t>1013_1</t>
  </si>
  <si>
    <t>515_1</t>
  </si>
  <si>
    <t>982_1</t>
  </si>
  <si>
    <t>1420_1</t>
  </si>
  <si>
    <t>1073_1</t>
  </si>
  <si>
    <t>1364_1</t>
  </si>
  <si>
    <t>840_1</t>
  </si>
  <si>
    <t>957_1</t>
  </si>
  <si>
    <t>1294_1</t>
  </si>
  <si>
    <t>111_1</t>
  </si>
  <si>
    <t>976_1</t>
  </si>
  <si>
    <t>1143_1</t>
  </si>
  <si>
    <t>1103_1</t>
  </si>
  <si>
    <t>997_1</t>
  </si>
  <si>
    <t>872_1</t>
  </si>
  <si>
    <t>1065_1</t>
  </si>
  <si>
    <t>514_1</t>
  </si>
  <si>
    <t>844_1</t>
  </si>
  <si>
    <t>798_1</t>
  </si>
  <si>
    <t>839_1</t>
  </si>
  <si>
    <t>SPSPR003.85</t>
  </si>
  <si>
    <t>632_1</t>
  </si>
  <si>
    <t>1109_1</t>
  </si>
  <si>
    <t>1144_1</t>
  </si>
  <si>
    <t>1260_1</t>
  </si>
  <si>
    <t>1354_1</t>
  </si>
  <si>
    <t>1339_1</t>
  </si>
  <si>
    <t>983_1</t>
  </si>
  <si>
    <t>1102_1</t>
  </si>
  <si>
    <t>895_1</t>
  </si>
  <si>
    <t>959_1</t>
  </si>
  <si>
    <t>1274_1</t>
  </si>
  <si>
    <t>MGBGB023.15</t>
  </si>
  <si>
    <t>1424_1</t>
  </si>
  <si>
    <t>1140_1</t>
  </si>
  <si>
    <t>1400_1</t>
  </si>
  <si>
    <t>1361_1</t>
  </si>
  <si>
    <t>1213_1</t>
  </si>
  <si>
    <t>631_1</t>
  </si>
  <si>
    <t>502_1</t>
  </si>
  <si>
    <t>970_1</t>
  </si>
  <si>
    <t>1209_1</t>
  </si>
  <si>
    <t>1064_1</t>
  </si>
  <si>
    <t>557_1</t>
  </si>
  <si>
    <t>509_1</t>
  </si>
  <si>
    <t>1118_1</t>
  </si>
  <si>
    <t>922_1</t>
  </si>
  <si>
    <t>UGEEG001.57</t>
  </si>
  <si>
    <t>1386_1</t>
  </si>
  <si>
    <t>1435_1</t>
  </si>
  <si>
    <t>907_1</t>
  </si>
  <si>
    <t>1397_1</t>
  </si>
  <si>
    <t>1062_1</t>
  </si>
  <si>
    <t>1135_1</t>
  </si>
  <si>
    <t>94_1</t>
  </si>
  <si>
    <t>1345_1</t>
  </si>
  <si>
    <t>823_1</t>
  </si>
  <si>
    <t>611_1</t>
  </si>
  <si>
    <t>1378_1</t>
  </si>
  <si>
    <t>563_1</t>
  </si>
  <si>
    <t>838_1</t>
  </si>
  <si>
    <t>SCCIE003.26</t>
  </si>
  <si>
    <t>580_1</t>
  </si>
  <si>
    <t>890_1</t>
  </si>
  <si>
    <t>608_1</t>
  </si>
  <si>
    <t>1181_1</t>
  </si>
  <si>
    <t>499_1</t>
  </si>
  <si>
    <t>710_1</t>
  </si>
  <si>
    <t>1305_1</t>
  </si>
  <si>
    <t>1067_1</t>
  </si>
  <si>
    <t>1023_1</t>
  </si>
  <si>
    <t>1396_1</t>
  </si>
  <si>
    <t>999_1</t>
  </si>
  <si>
    <t>SCSAB009.77</t>
  </si>
  <si>
    <t>589_1</t>
  </si>
  <si>
    <t>834_1</t>
  </si>
  <si>
    <t>1308_1</t>
  </si>
  <si>
    <t>521_1</t>
  </si>
  <si>
    <t>866_1</t>
  </si>
  <si>
    <t>1119_1</t>
  </si>
  <si>
    <t>1127_1</t>
  </si>
  <si>
    <t>1372_1</t>
  </si>
  <si>
    <t>562_1</t>
  </si>
  <si>
    <t>1049_1</t>
  </si>
  <si>
    <t>UGCAV011.45</t>
  </si>
  <si>
    <t>594_1</t>
  </si>
  <si>
    <t>1074_1</t>
  </si>
  <si>
    <t>998_1</t>
  </si>
  <si>
    <t>931_1</t>
  </si>
  <si>
    <t>1307_1</t>
  </si>
  <si>
    <t>818_1</t>
  </si>
  <si>
    <t>1137_1</t>
  </si>
  <si>
    <t>886_1</t>
  </si>
  <si>
    <t>1094_1</t>
  </si>
  <si>
    <t>775_1</t>
  </si>
  <si>
    <t>1113_1</t>
  </si>
  <si>
    <t>1306_1</t>
  </si>
  <si>
    <t>586_1</t>
  </si>
  <si>
    <t>504_1</t>
  </si>
  <si>
    <t>905_1</t>
  </si>
  <si>
    <t>SRBEV001.40</t>
  </si>
  <si>
    <t>984_1</t>
  </si>
  <si>
    <t>1044_1</t>
  </si>
  <si>
    <t>102_1</t>
  </si>
  <si>
    <t>1010_1</t>
  </si>
  <si>
    <t>985_1</t>
  </si>
  <si>
    <t>847_1</t>
  </si>
  <si>
    <t>1343_1</t>
  </si>
  <si>
    <t>1177_1</t>
  </si>
  <si>
    <t>524_1</t>
  </si>
  <si>
    <t>627_1</t>
  </si>
  <si>
    <t>912_1</t>
  </si>
  <si>
    <t>1155_1</t>
  </si>
  <si>
    <t>UGSFR151.22</t>
  </si>
  <si>
    <t>1382_1</t>
  </si>
  <si>
    <t>919_1</t>
  </si>
  <si>
    <t>1348_1</t>
  </si>
  <si>
    <t>810_1</t>
  </si>
  <si>
    <t>SPMLG015.59</t>
  </si>
  <si>
    <t>652_1</t>
  </si>
  <si>
    <t>UGGLR471.49</t>
  </si>
  <si>
    <t>805_1</t>
  </si>
  <si>
    <t>1300_1</t>
  </si>
  <si>
    <t>815_1</t>
  </si>
  <si>
    <t>1187_1</t>
  </si>
  <si>
    <t>852_1</t>
  </si>
  <si>
    <t>921_1</t>
  </si>
  <si>
    <t>1159_1</t>
  </si>
  <si>
    <t>1285_1</t>
  </si>
  <si>
    <t>1022_1</t>
  </si>
  <si>
    <t>1075_1</t>
  </si>
  <si>
    <t>807_1</t>
  </si>
  <si>
    <t>1243_1</t>
  </si>
  <si>
    <t>MGQEN039.75</t>
  </si>
  <si>
    <t>845_1</t>
  </si>
  <si>
    <t>610_1</t>
  </si>
  <si>
    <t>1007_1</t>
  </si>
  <si>
    <t>619_1</t>
  </si>
  <si>
    <t>1437_1</t>
  </si>
  <si>
    <t>1377_1</t>
  </si>
  <si>
    <t>1154_1</t>
  </si>
  <si>
    <t>SPSPR108.03</t>
  </si>
  <si>
    <t>1441_1</t>
  </si>
  <si>
    <t>1165_1</t>
  </si>
  <si>
    <t>1024_1</t>
  </si>
  <si>
    <t>881_1</t>
  </si>
  <si>
    <t>974_1</t>
  </si>
  <si>
    <t>1093_1</t>
  </si>
  <si>
    <t>626_1</t>
  </si>
  <si>
    <t>906_1</t>
  </si>
  <si>
    <t>1138_1</t>
  </si>
  <si>
    <t>SCCIE026.68</t>
  </si>
  <si>
    <t>585_1</t>
  </si>
  <si>
    <t>1204_1</t>
  </si>
  <si>
    <t>1114_1</t>
  </si>
  <si>
    <t>1015_1</t>
  </si>
  <si>
    <t>550_1</t>
  </si>
  <si>
    <t>1055_1</t>
  </si>
  <si>
    <t>1115_1</t>
  </si>
  <si>
    <t>1404_1</t>
  </si>
  <si>
    <t>871_1</t>
  </si>
  <si>
    <t>902_1</t>
  </si>
  <si>
    <t>1161_1</t>
  </si>
  <si>
    <t>1436_1</t>
  </si>
  <si>
    <t>1406_1</t>
  </si>
  <si>
    <t>VRUBS001.35</t>
  </si>
  <si>
    <t>1445_1</t>
  </si>
  <si>
    <t>1282_1</t>
  </si>
  <si>
    <t>1183_1</t>
  </si>
  <si>
    <t>582_1</t>
  </si>
  <si>
    <t>SCBCN002.27</t>
  </si>
  <si>
    <t>1443_1</t>
  </si>
  <si>
    <t>541_1</t>
  </si>
  <si>
    <t>SRGVL007.70</t>
  </si>
  <si>
    <t>1448_1</t>
  </si>
  <si>
    <t>LCNUT020.23</t>
  </si>
  <si>
    <t>836_1</t>
  </si>
  <si>
    <t>LCJCC045.76</t>
  </si>
  <si>
    <t>1433_1</t>
  </si>
  <si>
    <t>503_1</t>
  </si>
  <si>
    <t>1091_1</t>
  </si>
  <si>
    <t>979_1</t>
  </si>
  <si>
    <t>858_1</t>
  </si>
  <si>
    <t>1006_1</t>
  </si>
  <si>
    <t>1190_1</t>
  </si>
  <si>
    <t>1333_1</t>
  </si>
  <si>
    <t>980_1</t>
  </si>
  <si>
    <t>1008_1</t>
  </si>
  <si>
    <t>1004_1</t>
  </si>
  <si>
    <t>958_1</t>
  </si>
  <si>
    <t>670_1</t>
  </si>
  <si>
    <t>VROAK002.96</t>
  </si>
  <si>
    <t>1005_1</t>
  </si>
  <si>
    <t>996_1</t>
  </si>
  <si>
    <t>992_1</t>
  </si>
  <si>
    <t>1003_1</t>
  </si>
  <si>
    <t>993_1</t>
  </si>
  <si>
    <t>989_1</t>
  </si>
  <si>
    <t>994_1</t>
  </si>
  <si>
    <t>995_1</t>
  </si>
  <si>
    <t>991_1</t>
  </si>
  <si>
    <t>435_1</t>
  </si>
  <si>
    <t>167_1</t>
  </si>
  <si>
    <t>417_1</t>
  </si>
  <si>
    <t>477_1</t>
  </si>
  <si>
    <t>352_1</t>
  </si>
  <si>
    <t>348_1</t>
  </si>
  <si>
    <t>450_1</t>
  </si>
  <si>
    <t>SRTON062.89</t>
  </si>
  <si>
    <t>26_1</t>
  </si>
  <si>
    <t>317_1</t>
  </si>
  <si>
    <t>39_1</t>
  </si>
  <si>
    <t>315_1</t>
  </si>
  <si>
    <t>81_1</t>
  </si>
  <si>
    <t>330_1</t>
  </si>
  <si>
    <t>237_1</t>
  </si>
  <si>
    <t>349_1</t>
  </si>
  <si>
    <t>220_1</t>
  </si>
  <si>
    <t>351_1</t>
  </si>
  <si>
    <t>186_1</t>
  </si>
  <si>
    <t>223_1</t>
  </si>
  <si>
    <t>182_1</t>
  </si>
  <si>
    <t>MGHSR102.66</t>
  </si>
  <si>
    <t>249_1</t>
  </si>
  <si>
    <t>359_1</t>
  </si>
  <si>
    <t>269_1</t>
  </si>
  <si>
    <t>436_1</t>
  </si>
  <si>
    <t>392_1</t>
  </si>
  <si>
    <t>318_1</t>
  </si>
  <si>
    <t>233_1</t>
  </si>
  <si>
    <t>265_1</t>
  </si>
  <si>
    <t>284_1</t>
  </si>
  <si>
    <t>MGTRK001.53</t>
  </si>
  <si>
    <t>416_1</t>
  </si>
  <si>
    <t>471_1</t>
  </si>
  <si>
    <t>274_1</t>
  </si>
  <si>
    <t>VRTGL001.67</t>
  </si>
  <si>
    <t>77_1</t>
  </si>
  <si>
    <t>191_1</t>
  </si>
  <si>
    <t>189_1</t>
  </si>
  <si>
    <t>229_1</t>
  </si>
  <si>
    <t>226_1</t>
  </si>
  <si>
    <t>285_1</t>
  </si>
  <si>
    <t>394_1</t>
  </si>
  <si>
    <t>80_1</t>
  </si>
  <si>
    <t>306_1</t>
  </si>
  <si>
    <t>SRD4E005.86</t>
  </si>
  <si>
    <t>272_1</t>
  </si>
  <si>
    <t>389_1</t>
  </si>
  <si>
    <t>472_1</t>
  </si>
  <si>
    <t>143_1</t>
  </si>
  <si>
    <t>164_1</t>
  </si>
  <si>
    <t>93_1</t>
  </si>
  <si>
    <t>201_1</t>
  </si>
  <si>
    <t>241_1</t>
  </si>
  <si>
    <t>VRSYM017.71</t>
  </si>
  <si>
    <t>33_1</t>
  </si>
  <si>
    <t>357_1</t>
  </si>
  <si>
    <t>115_1</t>
  </si>
  <si>
    <t>198_1</t>
  </si>
  <si>
    <t>387_1</t>
  </si>
  <si>
    <t>178_1</t>
  </si>
  <si>
    <t>138_1</t>
  </si>
  <si>
    <t>38_1</t>
  </si>
  <si>
    <t>427_1</t>
  </si>
  <si>
    <t>407_1</t>
  </si>
  <si>
    <t>367_1</t>
  </si>
  <si>
    <t>246_1</t>
  </si>
  <si>
    <t>309_1</t>
  </si>
  <si>
    <t>358_1</t>
  </si>
  <si>
    <t>304_1</t>
  </si>
  <si>
    <t>119_1</t>
  </si>
  <si>
    <t>280_1</t>
  </si>
  <si>
    <t>440_1</t>
  </si>
  <si>
    <t>VRBLA010.11</t>
  </si>
  <si>
    <t>6_1</t>
  </si>
  <si>
    <t>474_1</t>
  </si>
  <si>
    <t>431_1</t>
  </si>
  <si>
    <t>139_1</t>
  </si>
  <si>
    <t>333_1</t>
  </si>
  <si>
    <t>404_1</t>
  </si>
  <si>
    <t>68_1</t>
  </si>
  <si>
    <t>210_1</t>
  </si>
  <si>
    <t>311_1</t>
  </si>
  <si>
    <t>41_1</t>
  </si>
  <si>
    <t>369_1</t>
  </si>
  <si>
    <t>312_1</t>
  </si>
  <si>
    <t>321_1</t>
  </si>
  <si>
    <t>441_1</t>
  </si>
  <si>
    <t>287_1</t>
  </si>
  <si>
    <t>53_1</t>
  </si>
  <si>
    <t>281_1</t>
  </si>
  <si>
    <t>140_1</t>
  </si>
  <si>
    <t>334_1</t>
  </si>
  <si>
    <t>324_1</t>
  </si>
  <si>
    <t>SPGCW005.27</t>
  </si>
  <si>
    <t>314_1</t>
  </si>
  <si>
    <t>379_1</t>
  </si>
  <si>
    <t>155_1</t>
  </si>
  <si>
    <t>447_1</t>
  </si>
  <si>
    <t>51_1</t>
  </si>
  <si>
    <t>85_1</t>
  </si>
  <si>
    <t>242_1</t>
  </si>
  <si>
    <t>307_1</t>
  </si>
  <si>
    <t>390_1</t>
  </si>
  <si>
    <t>187_1</t>
  </si>
  <si>
    <t>264_1</t>
  </si>
  <si>
    <t>141_1</t>
  </si>
  <si>
    <t>252_1</t>
  </si>
  <si>
    <t>247_1</t>
  </si>
  <si>
    <t>89_1</t>
  </si>
  <si>
    <t>126_1</t>
  </si>
  <si>
    <t>368_1</t>
  </si>
  <si>
    <t>400_1</t>
  </si>
  <si>
    <t>145_1</t>
  </si>
  <si>
    <t>61_1</t>
  </si>
  <si>
    <t>483_1</t>
  </si>
  <si>
    <t>449_1</t>
  </si>
  <si>
    <t>338_1</t>
  </si>
  <si>
    <t>283_1</t>
  </si>
  <si>
    <t>268_1</t>
  </si>
  <si>
    <t>296_1</t>
  </si>
  <si>
    <t>12_1</t>
  </si>
  <si>
    <t>SCCAV005.54</t>
  </si>
  <si>
    <t>158_1</t>
  </si>
  <si>
    <t>376_1</t>
  </si>
  <si>
    <t>163_1</t>
  </si>
  <si>
    <t>484_1</t>
  </si>
  <si>
    <t>1_1</t>
  </si>
  <si>
    <t>216_1</t>
  </si>
  <si>
    <t>299_1</t>
  </si>
  <si>
    <t>235_1</t>
  </si>
  <si>
    <t>478_1</t>
  </si>
  <si>
    <t>7_1</t>
  </si>
  <si>
    <t>SRCRS006.19</t>
  </si>
  <si>
    <t>47_1</t>
  </si>
  <si>
    <t>278_1</t>
  </si>
  <si>
    <t>339_1</t>
  </si>
  <si>
    <t>VRBEV005.74</t>
  </si>
  <si>
    <t>5_1</t>
  </si>
  <si>
    <t>230_1</t>
  </si>
  <si>
    <t>130_1</t>
  </si>
  <si>
    <t>451_1</t>
  </si>
  <si>
    <t>377_1</t>
  </si>
  <si>
    <t>205_1</t>
  </si>
  <si>
    <t>144_1</t>
  </si>
  <si>
    <t>227_1</t>
  </si>
  <si>
    <t>442_1</t>
  </si>
  <si>
    <t>470_1</t>
  </si>
  <si>
    <t>221_1</t>
  </si>
  <si>
    <t>276_1</t>
  </si>
  <si>
    <t>350_1</t>
  </si>
  <si>
    <t>320_1</t>
  </si>
  <si>
    <t>MGPOL002.72</t>
  </si>
  <si>
    <t>154_1</t>
  </si>
  <si>
    <t>486_1</t>
  </si>
  <si>
    <t>231_1</t>
  </si>
  <si>
    <t>573_1</t>
  </si>
  <si>
    <t>58_1</t>
  </si>
  <si>
    <t>117_1</t>
  </si>
  <si>
    <t>3_1</t>
  </si>
  <si>
    <t>295_1</t>
  </si>
  <si>
    <t>29_1</t>
  </si>
  <si>
    <t>176_1</t>
  </si>
  <si>
    <t>425_1</t>
  </si>
  <si>
    <t>185_1</t>
  </si>
  <si>
    <t>250_1</t>
  </si>
  <si>
    <t>253_1</t>
  </si>
  <si>
    <t>16_1</t>
  </si>
  <si>
    <t>422_1</t>
  </si>
  <si>
    <t>118_1</t>
  </si>
  <si>
    <t>127_1</t>
  </si>
  <si>
    <t>395_1</t>
  </si>
  <si>
    <t>238_1</t>
  </si>
  <si>
    <t>4_1</t>
  </si>
  <si>
    <t>50_1</t>
  </si>
  <si>
    <t>438_1</t>
  </si>
  <si>
    <t>361_1</t>
  </si>
  <si>
    <t>444_1</t>
  </si>
  <si>
    <t>168_1</t>
  </si>
  <si>
    <t>69_1</t>
  </si>
  <si>
    <t>202_1</t>
  </si>
  <si>
    <t>57_1</t>
  </si>
  <si>
    <t>288_1</t>
  </si>
  <si>
    <t>MGA2S030.40</t>
  </si>
  <si>
    <t>150_1</t>
  </si>
  <si>
    <t>575_1</t>
  </si>
  <si>
    <t>479_1</t>
  </si>
  <si>
    <t>28_1</t>
  </si>
  <si>
    <t>316_1</t>
  </si>
  <si>
    <t>445_1</t>
  </si>
  <si>
    <t>362_1</t>
  </si>
  <si>
    <t>270_1</t>
  </si>
  <si>
    <t>27_1</t>
  </si>
  <si>
    <t>409_1</t>
  </si>
  <si>
    <t>415_1</t>
  </si>
  <si>
    <t>86_1</t>
  </si>
  <si>
    <t>329_1</t>
  </si>
  <si>
    <t>286_1</t>
  </si>
  <si>
    <t>123_1</t>
  </si>
  <si>
    <t>354_1</t>
  </si>
  <si>
    <t>197_1</t>
  </si>
  <si>
    <t>363_1</t>
  </si>
  <si>
    <t>114_1</t>
  </si>
  <si>
    <t>345_1</t>
  </si>
  <si>
    <t>234_1</t>
  </si>
  <si>
    <t>170_1</t>
  </si>
  <si>
    <t>388_1</t>
  </si>
  <si>
    <t>293_1</t>
  </si>
  <si>
    <t>71_1</t>
  </si>
  <si>
    <t>462_1</t>
  </si>
  <si>
    <t>SCCDO032.20</t>
  </si>
  <si>
    <t>256_1</t>
  </si>
  <si>
    <t>364_1</t>
  </si>
  <si>
    <t>62_1</t>
  </si>
  <si>
    <t>152_1</t>
  </si>
  <si>
    <t>149_1</t>
  </si>
  <si>
    <t>146_1</t>
  </si>
  <si>
    <t>192_1</t>
  </si>
  <si>
    <t>355_1</t>
  </si>
  <si>
    <t>346_1</t>
  </si>
  <si>
    <t>423_1</t>
  </si>
  <si>
    <t>380_1</t>
  </si>
  <si>
    <t>239_1</t>
  </si>
  <si>
    <t>156_1</t>
  </si>
  <si>
    <t>322_1</t>
  </si>
  <si>
    <t>411_1</t>
  </si>
  <si>
    <t>8_1</t>
  </si>
  <si>
    <t>40_1</t>
  </si>
  <si>
    <t>482_1</t>
  </si>
  <si>
    <t>393_1</t>
  </si>
  <si>
    <t>365_1</t>
  </si>
  <si>
    <t>282_1</t>
  </si>
  <si>
    <t>439_1</t>
  </si>
  <si>
    <t>301_1</t>
  </si>
  <si>
    <t>335_1</t>
  </si>
  <si>
    <t>SCACW006.74</t>
  </si>
  <si>
    <t>418_1</t>
  </si>
  <si>
    <t>326_1</t>
  </si>
  <si>
    <t>480_1</t>
  </si>
  <si>
    <t>458_1</t>
  </si>
  <si>
    <t>209_1</t>
  </si>
  <si>
    <t>412_1</t>
  </si>
  <si>
    <t>64_1</t>
  </si>
  <si>
    <t>228_1</t>
  </si>
  <si>
    <t>366_1</t>
  </si>
  <si>
    <t>SRHRT002.34</t>
  </si>
  <si>
    <t>277_1</t>
  </si>
  <si>
    <t>55_1</t>
  </si>
  <si>
    <t>222_1</t>
  </si>
  <si>
    <t>SRCRS002.25</t>
  </si>
  <si>
    <t>43_1</t>
  </si>
  <si>
    <t>VRAPA001.11</t>
  </si>
  <si>
    <t>49_1</t>
  </si>
  <si>
    <t>136_1</t>
  </si>
  <si>
    <t>74_1</t>
  </si>
  <si>
    <t>468_1</t>
  </si>
  <si>
    <t>459_1</t>
  </si>
  <si>
    <t>124_1</t>
  </si>
  <si>
    <t>30_1</t>
  </si>
  <si>
    <t>262_1</t>
  </si>
  <si>
    <t>232_1</t>
  </si>
  <si>
    <t>370_1</t>
  </si>
  <si>
    <t>204_1</t>
  </si>
  <si>
    <t>SRGOD006.23</t>
  </si>
  <si>
    <t>275_1</t>
  </si>
  <si>
    <t>VRAPA003.46</t>
  </si>
  <si>
    <t>429_1</t>
  </si>
  <si>
    <t>177_1</t>
  </si>
  <si>
    <t>408_1</t>
  </si>
  <si>
    <t>14_1</t>
  </si>
  <si>
    <t>325_1</t>
  </si>
  <si>
    <t>414_1</t>
  </si>
  <si>
    <t>37_1</t>
  </si>
  <si>
    <t>460_1</t>
  </si>
  <si>
    <t>310_1</t>
  </si>
  <si>
    <t>147_1</t>
  </si>
  <si>
    <t>313_1</t>
  </si>
  <si>
    <t>396_1</t>
  </si>
  <si>
    <t>184_1</t>
  </si>
  <si>
    <t>224_1</t>
  </si>
  <si>
    <t>353_1</t>
  </si>
  <si>
    <t>166_1</t>
  </si>
  <si>
    <t>92_1</t>
  </si>
  <si>
    <t>403_1</t>
  </si>
  <si>
    <t>323_1</t>
  </si>
  <si>
    <t>240_1</t>
  </si>
  <si>
    <t>489_1</t>
  </si>
  <si>
    <t>452_1</t>
  </si>
  <si>
    <t>120_1</t>
  </si>
  <si>
    <t>289_1</t>
  </si>
  <si>
    <t>206_1</t>
  </si>
  <si>
    <t>194_1</t>
  </si>
  <si>
    <t>434_1</t>
  </si>
  <si>
    <t>302_1</t>
  </si>
  <si>
    <t>428_1</t>
  </si>
  <si>
    <t>SRTON057.55</t>
  </si>
  <si>
    <t>25_1</t>
  </si>
  <si>
    <t>490_1</t>
  </si>
  <si>
    <t>342_1</t>
  </si>
  <si>
    <t>475_1</t>
  </si>
  <si>
    <t>401_1</t>
  </si>
  <si>
    <t>10_1</t>
  </si>
  <si>
    <t>487_1</t>
  </si>
  <si>
    <t>UGEMC012.71</t>
  </si>
  <si>
    <t>426_1</t>
  </si>
  <si>
    <t>84_1</t>
  </si>
  <si>
    <t>481_1</t>
  </si>
  <si>
    <t>453_1</t>
  </si>
  <si>
    <t>LCCHC060.43</t>
  </si>
  <si>
    <t>2_1</t>
  </si>
  <si>
    <t>183_1</t>
  </si>
  <si>
    <t>260_1</t>
  </si>
  <si>
    <t>245_1</t>
  </si>
  <si>
    <t>300_1</t>
  </si>
  <si>
    <t>491_1</t>
  </si>
  <si>
    <t>159_1</t>
  </si>
  <si>
    <t>454_1</t>
  </si>
  <si>
    <t>23_1</t>
  </si>
  <si>
    <t>153_1</t>
  </si>
  <si>
    <t>60_1</t>
  </si>
  <si>
    <t>31_1</t>
  </si>
  <si>
    <t>196_1</t>
  </si>
  <si>
    <t>SRGRE009.81</t>
  </si>
  <si>
    <t>179_1</t>
  </si>
  <si>
    <t>54_1</t>
  </si>
  <si>
    <t>356_1</t>
  </si>
  <si>
    <t>24_1</t>
  </si>
  <si>
    <t>332_1</t>
  </si>
  <si>
    <t>160_1</t>
  </si>
  <si>
    <t>32_1</t>
  </si>
  <si>
    <t>215_1</t>
  </si>
  <si>
    <t>464_1</t>
  </si>
  <si>
    <t>151_1</t>
  </si>
  <si>
    <t>255_1</t>
  </si>
  <si>
    <t>200_1</t>
  </si>
  <si>
    <t>9_1</t>
  </si>
  <si>
    <t>398_1</t>
  </si>
  <si>
    <t>360_1</t>
  </si>
  <si>
    <t>443_1</t>
  </si>
  <si>
    <t>419_1</t>
  </si>
  <si>
    <t>188_1</t>
  </si>
  <si>
    <t>SRCRS005.42</t>
  </si>
  <si>
    <t>46_1</t>
  </si>
  <si>
    <t>213_1</t>
  </si>
  <si>
    <t>173_1</t>
  </si>
  <si>
    <t>373_1</t>
  </si>
  <si>
    <t>90_1</t>
  </si>
  <si>
    <t>456_1</t>
  </si>
  <si>
    <t>195_1</t>
  </si>
  <si>
    <t>13_1</t>
  </si>
  <si>
    <t>476_1</t>
  </si>
  <si>
    <t>193_1</t>
  </si>
  <si>
    <t>137_1</t>
  </si>
  <si>
    <t>386_1</t>
  </si>
  <si>
    <t>MGLIO000.19</t>
  </si>
  <si>
    <t>251_1</t>
  </si>
  <si>
    <t>488_1</t>
  </si>
  <si>
    <t>72_1</t>
  </si>
  <si>
    <t>494_1</t>
  </si>
  <si>
    <t>572_1</t>
  </si>
  <si>
    <t>122_1</t>
  </si>
  <si>
    <t>371_1</t>
  </si>
  <si>
    <t>485_1</t>
  </si>
  <si>
    <t>11_1</t>
  </si>
  <si>
    <t>203_1</t>
  </si>
  <si>
    <t>212_1</t>
  </si>
  <si>
    <t>473_1</t>
  </si>
  <si>
    <t>279_1</t>
  </si>
  <si>
    <t>169_1</t>
  </si>
  <si>
    <t>298_1</t>
  </si>
  <si>
    <t>375_1</t>
  </si>
  <si>
    <t>292_1</t>
  </si>
  <si>
    <t>218_1</t>
  </si>
  <si>
    <t>76_1</t>
  </si>
  <si>
    <t>172_1</t>
  </si>
  <si>
    <t>129_1</t>
  </si>
  <si>
    <t>446_1</t>
  </si>
  <si>
    <t>259_1</t>
  </si>
  <si>
    <t>121_1</t>
  </si>
  <si>
    <t>83_1</t>
  </si>
  <si>
    <t>52_1</t>
  </si>
  <si>
    <t>65_1</t>
  </si>
  <si>
    <t>574_1</t>
  </si>
  <si>
    <t>308_1</t>
  </si>
  <si>
    <t>SRCRS001.54</t>
  </si>
  <si>
    <t>42_1</t>
  </si>
  <si>
    <t>496_1</t>
  </si>
  <si>
    <t>SCGDN018.24</t>
  </si>
  <si>
    <t>161_1</t>
  </si>
  <si>
    <t>59_1</t>
  </si>
  <si>
    <t>336_1</t>
  </si>
  <si>
    <t>87_1</t>
  </si>
  <si>
    <t>82_1</t>
  </si>
  <si>
    <t>88_1</t>
  </si>
  <si>
    <t>236_1</t>
  </si>
  <si>
    <t>347_1</t>
  </si>
  <si>
    <t>181_1</t>
  </si>
  <si>
    <t>297_1</t>
  </si>
  <si>
    <t>131_1</t>
  </si>
  <si>
    <t>66_1</t>
  </si>
  <si>
    <t>257_1</t>
  </si>
  <si>
    <t>294_1</t>
  </si>
  <si>
    <t>128_1</t>
  </si>
  <si>
    <t>208_1</t>
  </si>
  <si>
    <t>402_1</t>
  </si>
  <si>
    <t>576_1</t>
  </si>
  <si>
    <t>372_1</t>
  </si>
  <si>
    <t>157_1</t>
  </si>
  <si>
    <t>305_1</t>
  </si>
  <si>
    <t>291_1</t>
  </si>
  <si>
    <t>433_1</t>
  </si>
  <si>
    <t>SRCRS003.48</t>
  </si>
  <si>
    <t>45_1</t>
  </si>
  <si>
    <t>258_1</t>
  </si>
  <si>
    <t>67_1</t>
  </si>
  <si>
    <t>378_1</t>
  </si>
  <si>
    <t>455_1</t>
  </si>
  <si>
    <t>461_1</t>
  </si>
  <si>
    <t>15_1</t>
  </si>
  <si>
    <t>19_1</t>
  </si>
  <si>
    <t>290_1</t>
  </si>
  <si>
    <t>133_1</t>
  </si>
  <si>
    <t>319_1</t>
  </si>
  <si>
    <t>391_1</t>
  </si>
  <si>
    <t>271_1</t>
  </si>
  <si>
    <t>225_1</t>
  </si>
  <si>
    <t>36_1</t>
  </si>
  <si>
    <t>219_1</t>
  </si>
  <si>
    <t>463_1</t>
  </si>
  <si>
    <t>22_1</t>
  </si>
  <si>
    <t>244_1</t>
  </si>
  <si>
    <t>571_1</t>
  </si>
  <si>
    <t>SRCRS002.82</t>
  </si>
  <si>
    <t>44_1</t>
  </si>
  <si>
    <t>337_1</t>
  </si>
  <si>
    <t>448_1</t>
  </si>
  <si>
    <t>493_1</t>
  </si>
  <si>
    <t>374_1</t>
  </si>
  <si>
    <t>190_1</t>
  </si>
  <si>
    <t>469_1</t>
  </si>
  <si>
    <t>405_1</t>
  </si>
  <si>
    <t>214_1</t>
  </si>
  <si>
    <t>243_1</t>
  </si>
  <si>
    <t>17_1</t>
  </si>
  <si>
    <t>399_1</t>
  </si>
  <si>
    <t>497_1</t>
  </si>
  <si>
    <t>134_1</t>
  </si>
  <si>
    <t>148_1</t>
  </si>
  <si>
    <t>406_1</t>
  </si>
  <si>
    <t>199_1</t>
  </si>
  <si>
    <t>125_1</t>
  </si>
  <si>
    <t>116_1</t>
  </si>
  <si>
    <t>273_1</t>
  </si>
  <si>
    <t>175_1</t>
  </si>
  <si>
    <t>70_1</t>
  </si>
  <si>
    <t>385_1</t>
  </si>
  <si>
    <t>492_1</t>
  </si>
  <si>
    <t>421_1</t>
  </si>
  <si>
    <t>344_1</t>
  </si>
  <si>
    <t>424_1</t>
  </si>
  <si>
    <t>207_1</t>
  </si>
  <si>
    <t>382_1</t>
  </si>
  <si>
    <t>171_1</t>
  </si>
  <si>
    <t>383_1</t>
  </si>
  <si>
    <t>457_1</t>
  </si>
  <si>
    <t>437_1</t>
  </si>
  <si>
    <t>413_1</t>
  </si>
  <si>
    <t>266_1</t>
  </si>
  <si>
    <t>63_1</t>
  </si>
  <si>
    <t>91_1</t>
  </si>
  <si>
    <t>217_1</t>
  </si>
  <si>
    <t>410_1</t>
  </si>
  <si>
    <t>465_1</t>
  </si>
  <si>
    <t>466_1</t>
  </si>
  <si>
    <t>327_1</t>
  </si>
  <si>
    <t>384_1</t>
  </si>
  <si>
    <t>79_1</t>
  </si>
  <si>
    <t>340_1</t>
  </si>
  <si>
    <t>328_1</t>
  </si>
  <si>
    <t>113_1</t>
  </si>
  <si>
    <t>254_1</t>
  </si>
  <si>
    <t>135_1</t>
  </si>
  <si>
    <t>35_1</t>
  </si>
  <si>
    <t>21_1</t>
  </si>
  <si>
    <t>174_1</t>
  </si>
  <si>
    <t>303_1</t>
  </si>
  <si>
    <t>261_1</t>
  </si>
  <si>
    <t>211_1</t>
  </si>
  <si>
    <t>248_1</t>
  </si>
  <si>
    <t>142_1</t>
  </si>
  <si>
    <t>267_1</t>
  </si>
  <si>
    <t>75_1</t>
  </si>
  <si>
    <t>381_1</t>
  </si>
  <si>
    <t>397_1</t>
  </si>
  <si>
    <t>18_1</t>
  </si>
  <si>
    <t>78_1</t>
  </si>
  <si>
    <t>430_1</t>
  </si>
  <si>
    <t>495_1</t>
  </si>
  <si>
    <t>331_1</t>
  </si>
  <si>
    <t>263_1</t>
  </si>
  <si>
    <t>73_1</t>
  </si>
  <si>
    <t>162_1</t>
  </si>
  <si>
    <t>SRTON055.09</t>
  </si>
  <si>
    <t>48_1</t>
  </si>
  <si>
    <t>341_1</t>
  </si>
  <si>
    <t>132_1</t>
  </si>
  <si>
    <t>420_1</t>
  </si>
  <si>
    <t>467_1</t>
  </si>
  <si>
    <t>34_1</t>
  </si>
  <si>
    <t>343_1</t>
  </si>
  <si>
    <t>165_1</t>
  </si>
  <si>
    <t>VRDBV013.99</t>
  </si>
  <si>
    <t>432_1</t>
  </si>
  <si>
    <t>180_1</t>
  </si>
  <si>
    <t>20_1</t>
  </si>
  <si>
    <t>56_1</t>
  </si>
  <si>
    <t>1336_1</t>
  </si>
  <si>
    <t>1276_1</t>
  </si>
  <si>
    <t>1284_1</t>
  </si>
  <si>
    <t>1337_1</t>
  </si>
  <si>
    <t>1338_1</t>
  </si>
  <si>
    <t>UGCAV012.55</t>
  </si>
  <si>
    <t>733_1</t>
  </si>
  <si>
    <t>UGCAV012.95</t>
  </si>
  <si>
    <t>739_1</t>
  </si>
  <si>
    <t>1272_1</t>
  </si>
  <si>
    <t>755_1</t>
  </si>
  <si>
    <t>762_1</t>
  </si>
  <si>
    <t>760_1</t>
  </si>
  <si>
    <t>731_1</t>
  </si>
  <si>
    <t>UGCAV014.87</t>
  </si>
  <si>
    <t>740_1</t>
  </si>
  <si>
    <t>756_1</t>
  </si>
  <si>
    <t>1271_1</t>
  </si>
  <si>
    <t>736_1</t>
  </si>
  <si>
    <t>746_1</t>
  </si>
  <si>
    <t>759_1</t>
  </si>
  <si>
    <t>744_1</t>
  </si>
  <si>
    <t>723_1</t>
  </si>
  <si>
    <t>SCCIE000.43</t>
  </si>
  <si>
    <t>722_1</t>
  </si>
  <si>
    <t>734_1</t>
  </si>
  <si>
    <t>764_1</t>
  </si>
  <si>
    <t>735_1</t>
  </si>
  <si>
    <t>732_1</t>
  </si>
  <si>
    <t>763_1</t>
  </si>
  <si>
    <t>738_1</t>
  </si>
  <si>
    <t>745_1</t>
  </si>
  <si>
    <t>724_1</t>
  </si>
  <si>
    <t>UGCAV015.55</t>
  </si>
  <si>
    <t>743_1</t>
  </si>
  <si>
    <t>UGSCV000.11</t>
  </si>
  <si>
    <t>752_1</t>
  </si>
  <si>
    <t>728_1</t>
  </si>
  <si>
    <t>751_1</t>
  </si>
  <si>
    <t>737_1</t>
  </si>
  <si>
    <t>730_1</t>
  </si>
  <si>
    <t>741_1</t>
  </si>
  <si>
    <t>754_1</t>
  </si>
  <si>
    <t>742_1</t>
  </si>
  <si>
    <t>753_1</t>
  </si>
  <si>
    <t>SCCIE022.12</t>
  </si>
  <si>
    <t>726_1</t>
  </si>
  <si>
    <t>SCCIE022.98</t>
  </si>
  <si>
    <t>727_1</t>
  </si>
  <si>
    <t>SCCIE007.32</t>
  </si>
  <si>
    <t>725_1</t>
  </si>
  <si>
    <t>1278_1</t>
  </si>
  <si>
    <t>1279_1</t>
  </si>
  <si>
    <t>1273_1</t>
  </si>
  <si>
    <t>1270_1</t>
  </si>
  <si>
    <t>1280_1</t>
  </si>
  <si>
    <t>1269_1</t>
  </si>
  <si>
    <t>560_1</t>
  </si>
  <si>
    <t>SCSCR045.13</t>
  </si>
  <si>
    <t>877_1</t>
  </si>
  <si>
    <t>876_1</t>
  </si>
  <si>
    <t>SCSCR111.66</t>
  </si>
  <si>
    <t>884_1</t>
  </si>
  <si>
    <t>SCSON018.31</t>
  </si>
  <si>
    <t>1281_1</t>
  </si>
  <si>
    <t>1071_1</t>
  </si>
  <si>
    <t>878_1</t>
  </si>
  <si>
    <t>1070_1</t>
  </si>
  <si>
    <t>1184_1</t>
  </si>
  <si>
    <t>1126_1</t>
  </si>
  <si>
    <t>1238_1</t>
  </si>
  <si>
    <t>1231_1</t>
  </si>
  <si>
    <t>1235_1</t>
  </si>
  <si>
    <t>1237_1</t>
  </si>
  <si>
    <t>1221_1</t>
  </si>
  <si>
    <t>1225_1</t>
  </si>
  <si>
    <t>1241_1</t>
  </si>
  <si>
    <t>SPBHC007.37</t>
  </si>
  <si>
    <t>1224_1</t>
  </si>
  <si>
    <t>1226_1</t>
  </si>
  <si>
    <t>1227_1</t>
  </si>
  <si>
    <t>SPBBR004.55</t>
  </si>
  <si>
    <t>1222_1</t>
  </si>
  <si>
    <t>1220_1</t>
  </si>
  <si>
    <t>1233_1</t>
  </si>
  <si>
    <t>1229_1</t>
  </si>
  <si>
    <t>1234_1</t>
  </si>
  <si>
    <t>1232_1</t>
  </si>
  <si>
    <t>1228_1</t>
  </si>
  <si>
    <t>1239_1</t>
  </si>
  <si>
    <t>1236_1</t>
  </si>
  <si>
    <t>1240_1</t>
  </si>
  <si>
    <t>1223_1</t>
  </si>
  <si>
    <t>1230_1</t>
  </si>
  <si>
    <t>MatchMaster</t>
  </si>
  <si>
    <t>Station_Date</t>
  </si>
  <si>
    <t>SITE_ID</t>
  </si>
  <si>
    <t>SampDate</t>
  </si>
  <si>
    <t>LCSIL006.13</t>
  </si>
  <si>
    <t>LCLCR216.67</t>
  </si>
  <si>
    <t>LCLCR226.31</t>
  </si>
  <si>
    <t>LCWAN002.19</t>
  </si>
  <si>
    <t>LCSIL000.06</t>
  </si>
  <si>
    <t>LCLCR212.96</t>
  </si>
  <si>
    <t>LCLCR324.92</t>
  </si>
  <si>
    <t>LCLCR346.01</t>
  </si>
  <si>
    <t>UGGLR505.96</t>
  </si>
  <si>
    <t>UGKPK000.12</t>
  </si>
  <si>
    <t>UGNCV000.04</t>
  </si>
  <si>
    <t>SCSAB016.28</t>
  </si>
  <si>
    <t>SCPOT001.62</t>
  </si>
  <si>
    <t>SCNGW004.87</t>
  </si>
  <si>
    <t>SCSCR099.40</t>
  </si>
  <si>
    <t>SCPRK010.26</t>
  </si>
  <si>
    <t>SCCIE022.42</t>
  </si>
  <si>
    <t>VREVR027.67</t>
  </si>
  <si>
    <t>LCLCR301.17</t>
  </si>
  <si>
    <t>UGA1H011.08</t>
  </si>
  <si>
    <t>LCLCR200.23</t>
  </si>
  <si>
    <t>SCSON018.17</t>
  </si>
  <si>
    <t>LCCHC060.61</t>
  </si>
  <si>
    <t>LCCLE000.69</t>
  </si>
  <si>
    <t>LCSIL013.53</t>
  </si>
  <si>
    <t>LCRDF015.45</t>
  </si>
  <si>
    <t>CLGLR010.53</t>
  </si>
  <si>
    <t>LCNUT012.99</t>
  </si>
  <si>
    <t>LCSIL024.83</t>
  </si>
  <si>
    <t>CLGLR011.17</t>
  </si>
  <si>
    <t>UGEAG011.51</t>
  </si>
  <si>
    <t>LCLCR206.75</t>
  </si>
  <si>
    <t>UGGLR485.91</t>
  </si>
  <si>
    <t>UGGLR515.55</t>
  </si>
  <si>
    <t>UGGLR501.45</t>
  </si>
  <si>
    <t>VRAMG003.62</t>
  </si>
  <si>
    <t>VRVER139.99</t>
  </si>
  <si>
    <t>VRVER107.53</t>
  </si>
  <si>
    <t>SCNGW004.31</t>
  </si>
  <si>
    <t>SCSCR096.72</t>
  </si>
  <si>
    <t>LCSIL042.58</t>
  </si>
  <si>
    <t>SPSPR013.29</t>
  </si>
  <si>
    <t>SRSNK001.33</t>
  </si>
  <si>
    <t>VREVR046.18</t>
  </si>
  <si>
    <t>SPMLC012.68</t>
  </si>
  <si>
    <t>LCLCR317.67</t>
  </si>
  <si>
    <t>VRMAI000.78</t>
  </si>
  <si>
    <t>MGHSR000.77</t>
  </si>
  <si>
    <t>VREVR023.39</t>
  </si>
  <si>
    <t>VREVR043.98</t>
  </si>
  <si>
    <t>VREVR016.28</t>
  </si>
  <si>
    <t>SPSPR101.25</t>
  </si>
  <si>
    <t>UGCIM000.10</t>
  </si>
  <si>
    <t>LCWLR005.05</t>
  </si>
  <si>
    <t>CLGLR007.11</t>
  </si>
  <si>
    <t>UGNCV000.16</t>
  </si>
  <si>
    <t>VRWLK000.99</t>
  </si>
  <si>
    <t>LCSIL043.30</t>
  </si>
  <si>
    <t>LCLCR352.03</t>
  </si>
  <si>
    <t>LCLCR350.73</t>
  </si>
  <si>
    <t>SRPNT027.51</t>
  </si>
  <si>
    <t>LCNUT017.83</t>
  </si>
  <si>
    <t>MGSLR003.96</t>
  </si>
  <si>
    <t>SRGIB000.11</t>
  </si>
  <si>
    <t>SPSPR109.75</t>
  </si>
  <si>
    <t>SPSPR113.49</t>
  </si>
  <si>
    <t>SPSPR120.47</t>
  </si>
  <si>
    <t>LCLCR347.91</t>
  </si>
  <si>
    <t>VRFOS010.48</t>
  </si>
  <si>
    <t>SRD2E000.12</t>
  </si>
  <si>
    <t>MGHSR112.91</t>
  </si>
  <si>
    <t>LCLCR326.41</t>
  </si>
  <si>
    <t>LCLCR349.82</t>
  </si>
  <si>
    <t>VRVER129.75</t>
  </si>
  <si>
    <t>SPSPR144.76</t>
  </si>
  <si>
    <t>SCSON015.51</t>
  </si>
  <si>
    <t>LCNUT013.33</t>
  </si>
  <si>
    <t>LCLCR325.37</t>
  </si>
  <si>
    <t>LCLCR328.04</t>
  </si>
  <si>
    <t>LCLCR343.85</t>
  </si>
  <si>
    <t>LCSLR000.25</t>
  </si>
  <si>
    <t>UGSFR018.37</t>
  </si>
  <si>
    <t>MGHSR113.09</t>
  </si>
  <si>
    <t>SRWLD000.86</t>
  </si>
  <si>
    <t>LCLCR335.06</t>
  </si>
  <si>
    <t>LCLCR336.89</t>
  </si>
  <si>
    <t>LCNUT015.01</t>
  </si>
  <si>
    <t>CLGLR013.33</t>
  </si>
  <si>
    <t>UGSFR012.54</t>
  </si>
  <si>
    <t>UGSFR011.68</t>
  </si>
  <si>
    <t>SPSPR134.35</t>
  </si>
  <si>
    <t>LCLCR340.65</t>
  </si>
  <si>
    <t>LCSTS000.01</t>
  </si>
  <si>
    <t>UGUCA000.02</t>
  </si>
  <si>
    <t>SPSPR127.50</t>
  </si>
  <si>
    <t>SPSPR105.49</t>
  </si>
  <si>
    <t>LCLCR222.38</t>
  </si>
  <si>
    <t>SPRMC010.62</t>
  </si>
  <si>
    <t>LCECL040.69</t>
  </si>
  <si>
    <t>BWCBW009.00</t>
  </si>
  <si>
    <t>SRPNT028.85</t>
  </si>
  <si>
    <t>UGGLR467.02</t>
  </si>
  <si>
    <t>UGGLR466.91</t>
  </si>
  <si>
    <t>BWCBW009.38</t>
  </si>
  <si>
    <t>MGGLR313.73</t>
  </si>
  <si>
    <t>BWBWR009.92</t>
  </si>
  <si>
    <t>BWCBW009.10</t>
  </si>
  <si>
    <t>SPCOP010.29</t>
  </si>
  <si>
    <t>SPCOP009.81</t>
  </si>
  <si>
    <t>VREVR002.62</t>
  </si>
  <si>
    <t>CLGLR008.81</t>
  </si>
  <si>
    <t>UGLIT002.62</t>
  </si>
  <si>
    <t>UGSFR012.85</t>
  </si>
  <si>
    <t>CGCLR714.16</t>
  </si>
  <si>
    <t>BWBOU007.83</t>
  </si>
  <si>
    <t>CGCLR698.93</t>
  </si>
  <si>
    <t>LCLCR336.76</t>
  </si>
  <si>
    <t>SRTON056.59</t>
  </si>
  <si>
    <t>SRCRS006.20</t>
  </si>
  <si>
    <t>SRCRS000.08</t>
  </si>
  <si>
    <t>VRGRA023.85</t>
  </si>
  <si>
    <t>SCXAL000.01</t>
  </si>
  <si>
    <t>LCWAN002.60</t>
  </si>
  <si>
    <t>LCBIL005.75</t>
  </si>
  <si>
    <t>LCWAN004.71</t>
  </si>
  <si>
    <t>LCWAN000.58</t>
  </si>
  <si>
    <t>LCWAN000.54</t>
  </si>
  <si>
    <t>VROAK043.88</t>
  </si>
  <si>
    <t>VROAK043.83</t>
  </si>
  <si>
    <t>VROAK043.81</t>
  </si>
  <si>
    <t>VROAK043.79</t>
  </si>
  <si>
    <t>VROAK050.30</t>
  </si>
  <si>
    <t>VROAK043.86</t>
  </si>
  <si>
    <t>VROAK041.69</t>
  </si>
  <si>
    <t>VROAK039.92</t>
  </si>
  <si>
    <t>VROAK038.52</t>
  </si>
  <si>
    <t>VROAK035.79</t>
  </si>
  <si>
    <t>VROAK046.10</t>
  </si>
  <si>
    <t>VROAK044.98</t>
  </si>
  <si>
    <t>VROAK044.46</t>
  </si>
  <si>
    <t>SRCRS001.74</t>
  </si>
  <si>
    <t>LCNUT015.61</t>
  </si>
  <si>
    <t>MGGLR337.14</t>
  </si>
  <si>
    <t>SRCRS001.24</t>
  </si>
  <si>
    <t>SRTON057.70</t>
  </si>
  <si>
    <t>SRTON060.50</t>
  </si>
  <si>
    <t>VROAK040.78</t>
  </si>
  <si>
    <t>VROAK040.62</t>
  </si>
  <si>
    <t>SRTON060.28</t>
  </si>
  <si>
    <t>VRSYM022.45</t>
  </si>
  <si>
    <t>LCNUT026.83</t>
  </si>
  <si>
    <t>LCNUT000.01</t>
  </si>
  <si>
    <t>VROAK050.55</t>
  </si>
  <si>
    <t>VRWOK000.10</t>
  </si>
  <si>
    <t>LCCHC060.09</t>
  </si>
  <si>
    <t>VROAK049.20</t>
  </si>
  <si>
    <t>VROAK038.67</t>
  </si>
  <si>
    <t>VROAK017.30</t>
  </si>
  <si>
    <t>SRTON031.72</t>
  </si>
  <si>
    <t>LCLCR335.52</t>
  </si>
  <si>
    <t>LCLCR323.69</t>
  </si>
  <si>
    <t>LCSLR000.91</t>
  </si>
  <si>
    <t>LCLCR344.58</t>
  </si>
  <si>
    <t>LCNUT000.95</t>
  </si>
  <si>
    <t>LCNUT002.22</t>
  </si>
  <si>
    <t>LCWAN000.56</t>
  </si>
  <si>
    <t>LCWCY005.01</t>
  </si>
  <si>
    <t>LCLCR336.15</t>
  </si>
  <si>
    <t>SRGOD012.05</t>
  </si>
  <si>
    <t>LCCHC001.75</t>
  </si>
  <si>
    <t>LCNUT023.45</t>
  </si>
  <si>
    <t>VROAK031.52</t>
  </si>
  <si>
    <t>SRUT2000.01</t>
  </si>
  <si>
    <t>VROAK049.31</t>
  </si>
  <si>
    <t>SRTON032.38</t>
  </si>
  <si>
    <t>VRVER101.15</t>
  </si>
  <si>
    <t>ChemSamp</t>
  </si>
  <si>
    <t>count</t>
  </si>
  <si>
    <t>SRTON062.28_42131</t>
  </si>
  <si>
    <t>LCCOL003.03_41780</t>
  </si>
  <si>
    <t>LCMLK001.18_39224</t>
  </si>
  <si>
    <t>VRPIE016.49_40708</t>
  </si>
  <si>
    <t>UGBLR030.24_41828</t>
  </si>
  <si>
    <t>SRUDC000.02_42543</t>
  </si>
  <si>
    <t>SRBGY002.86_41801</t>
  </si>
  <si>
    <t>LCELR005.67_41758</t>
  </si>
  <si>
    <t>SRFIS010.92_42541</t>
  </si>
  <si>
    <t>VRWOK000.82_39609</t>
  </si>
  <si>
    <t>UGLAN000.60_40023</t>
  </si>
  <si>
    <t>UGBLR046.35_40023</t>
  </si>
  <si>
    <t>UGCMB004.23_41443</t>
  </si>
  <si>
    <t>SRDCN001.90_42543</t>
  </si>
  <si>
    <t>SRTON061.37_42131</t>
  </si>
  <si>
    <t>SRTON059.43_41793</t>
  </si>
  <si>
    <t>UGCOL003.48_39980</t>
  </si>
  <si>
    <t>UGTRY001.56_39981</t>
  </si>
  <si>
    <t>VROAK045.64_40680</t>
  </si>
  <si>
    <t>VREVR051.15_39623</t>
  </si>
  <si>
    <t>LCHAL004.59_39237</t>
  </si>
  <si>
    <t>SRCKN001.61_41436</t>
  </si>
  <si>
    <t>SRBLR102.24_41444</t>
  </si>
  <si>
    <t>SREFB008.27_41078</t>
  </si>
  <si>
    <t>LCHAL010.20_39240</t>
  </si>
  <si>
    <t>LCSLR001.42_41435</t>
  </si>
  <si>
    <t>LCMIN018.05_39259</t>
  </si>
  <si>
    <t>LCSLR001.42_39226</t>
  </si>
  <si>
    <t>SRWRK007.97_41774</t>
  </si>
  <si>
    <t>SRWFB003.45_41437</t>
  </si>
  <si>
    <t>LCBRB006.74_41780</t>
  </si>
  <si>
    <t>LCELR000.13_39245</t>
  </si>
  <si>
    <t>SRSTI000.38_41788</t>
  </si>
  <si>
    <t>SRBEV007.28_39617</t>
  </si>
  <si>
    <t>SRCYN045.73_41745</t>
  </si>
  <si>
    <t>LCRUD007.23_40352</t>
  </si>
  <si>
    <t>UGCOL003.48_42158</t>
  </si>
  <si>
    <t>SPCRC013.37_40004</t>
  </si>
  <si>
    <t>LCELR008.70_40353</t>
  </si>
  <si>
    <t>SRSTI000.38_39617</t>
  </si>
  <si>
    <t>LCPAD001.30_40351</t>
  </si>
  <si>
    <t>SRWFB005.34_39616</t>
  </si>
  <si>
    <t>SRBLR102.24_39639</t>
  </si>
  <si>
    <t>SPBIG007.41_41793</t>
  </si>
  <si>
    <t>SRCDY002.95_42542</t>
  </si>
  <si>
    <t>LCMAM002.05_40353</t>
  </si>
  <si>
    <t>LCRUD008.43_40360</t>
  </si>
  <si>
    <t>VRWCL036.37_39638</t>
  </si>
  <si>
    <t>SRFIS004.49_39623</t>
  </si>
  <si>
    <t>LCRUD007.23_39260</t>
  </si>
  <si>
    <t>LCBEN002.57_39211</t>
  </si>
  <si>
    <t>UGCMB004.23_38888</t>
  </si>
  <si>
    <t>LCFIS003.86_40358</t>
  </si>
  <si>
    <t>LCWLR004.09_40352</t>
  </si>
  <si>
    <t>LCLCR360.06_39238</t>
  </si>
  <si>
    <t>UGKPK011.18_40024</t>
  </si>
  <si>
    <t>LCLVL001.32_39246</t>
  </si>
  <si>
    <t>SRHAY000.04_39616</t>
  </si>
  <si>
    <t>LCSLR003.72_39254</t>
  </si>
  <si>
    <t>LCWLR000.92_41080</t>
  </si>
  <si>
    <t>UGKPK011.18_42144</t>
  </si>
  <si>
    <t>LCWLR007.37_41759</t>
  </si>
  <si>
    <t>LCELR007.19_39246</t>
  </si>
  <si>
    <t>LCELR008.70_41758</t>
  </si>
  <si>
    <t>SRWFB003.45_41800</t>
  </si>
  <si>
    <t>LCLIL002.16_40353</t>
  </si>
  <si>
    <t>UGCAV016.84_39982</t>
  </si>
  <si>
    <t>LCSLR003.72_40359</t>
  </si>
  <si>
    <t>LCWLR000.92_41435</t>
  </si>
  <si>
    <t>LCWLR000.92_39245</t>
  </si>
  <si>
    <t>SRNBE000.86_42542</t>
  </si>
  <si>
    <t>LCLCR211.73_39217</t>
  </si>
  <si>
    <t>LCSHL031.05_39189</t>
  </si>
  <si>
    <t>LCSHL031.05_41771</t>
  </si>
  <si>
    <t>LCBIL000.15_41772</t>
  </si>
  <si>
    <t>LCRUD003.45_39225</t>
  </si>
  <si>
    <t>LCLCR311.31_39181</t>
  </si>
  <si>
    <t>VREVR045.50_39569</t>
  </si>
  <si>
    <t>LCSIL041.04_39196</t>
  </si>
  <si>
    <t>LCSHL026.50_39188</t>
  </si>
  <si>
    <t>LCSIL043.84_40672</t>
  </si>
  <si>
    <t>LCSIL043.84_39261</t>
  </si>
  <si>
    <t>LCECL009.39_41779</t>
  </si>
  <si>
    <t>LCCHC073.26_41778</t>
  </si>
  <si>
    <t>SRCKN001.61_41079</t>
  </si>
  <si>
    <t>UGCAV016.84_41044</t>
  </si>
  <si>
    <t>LCSIL027.05_41771</t>
  </si>
  <si>
    <t>LCLCR340.02_39190</t>
  </si>
  <si>
    <t>LCECL009.39_40322</t>
  </si>
  <si>
    <t>SRHAY003.25_42542</t>
  </si>
  <si>
    <t>LCLCR323.60_41779</t>
  </si>
  <si>
    <t>LCLCR342.03_39183</t>
  </si>
  <si>
    <t>LCCOY000.71_39182</t>
  </si>
  <si>
    <t>SRWRK007.97_39615</t>
  </si>
  <si>
    <t>LCLCR323.60_40332</t>
  </si>
  <si>
    <t>LCECL018.17_39204</t>
  </si>
  <si>
    <t>LCLCR336.72_41780</t>
  </si>
  <si>
    <t>LCLCR336.72_40359</t>
  </si>
  <si>
    <t>UGBTH001.03_41801</t>
  </si>
  <si>
    <t>UGSTO003.44_42157</t>
  </si>
  <si>
    <t>SRUNF002.31_41778</t>
  </si>
  <si>
    <t>SRBWL005.79_41436</t>
  </si>
  <si>
    <t>SPRMC011.11_39931</t>
  </si>
  <si>
    <t>MGHSR110.58_39910</t>
  </si>
  <si>
    <t>VREVR051.15_41746</t>
  </si>
  <si>
    <t>SRCYN045.73_39581</t>
  </si>
  <si>
    <t>UGCMB004.23_41079</t>
  </si>
  <si>
    <t>SRHAG013.09_41745</t>
  </si>
  <si>
    <t>UGFRY009.52_38833</t>
  </si>
  <si>
    <t>LCRIG004.87_39212</t>
  </si>
  <si>
    <t>SPGDN007.55_39933</t>
  </si>
  <si>
    <t>UGBLR030.24_39981</t>
  </si>
  <si>
    <t>VRWEB010.36_42493</t>
  </si>
  <si>
    <t>SPTUR028.53_41043</t>
  </si>
  <si>
    <t>UGBLR028.99_38889</t>
  </si>
  <si>
    <t>UGBLR028.77_42156</t>
  </si>
  <si>
    <t>UGCAV016.84_42171</t>
  </si>
  <si>
    <t>SRWRK002.83_42537</t>
  </si>
  <si>
    <t>SRBON001.69_39615</t>
  </si>
  <si>
    <t>LCCHC073.26_40323</t>
  </si>
  <si>
    <t>SPMLC013.56_39932</t>
  </si>
  <si>
    <t>UGFRY009.52_42136</t>
  </si>
  <si>
    <t>LCSHL029.75_39260</t>
  </si>
  <si>
    <t>SREFB008.27_41799</t>
  </si>
  <si>
    <t>UGFRY009.52_39930</t>
  </si>
  <si>
    <t>SRTON059.43_39582</t>
  </si>
  <si>
    <t>UGEAG056.85_38854</t>
  </si>
  <si>
    <t>SRUEF000.87_42534</t>
  </si>
  <si>
    <t>SRTON058.63_41752</t>
  </si>
  <si>
    <t>VRWOK000.82_42500</t>
  </si>
  <si>
    <t>SRREY001.14_40702</t>
  </si>
  <si>
    <t>VROAK048.92_39608</t>
  </si>
  <si>
    <t>LCROS000.25_41757</t>
  </si>
  <si>
    <t>VRELL009.02_40709</t>
  </si>
  <si>
    <t>LCCHC081.26_39252</t>
  </si>
  <si>
    <t>SPGRA007.71_39989</t>
  </si>
  <si>
    <t>LCHAL008.83_39238</t>
  </si>
  <si>
    <t>SREFB008.27_41444</t>
  </si>
  <si>
    <t>UGBLR036.37_40031</t>
  </si>
  <si>
    <t>SRBLR070.45_41086</t>
  </si>
  <si>
    <t>SRCYN048.21_40673</t>
  </si>
  <si>
    <t>UGKPK011.18_41079</t>
  </si>
  <si>
    <t>SRNFB012.35_42535</t>
  </si>
  <si>
    <t>VRWCL036.37_42537</t>
  </si>
  <si>
    <t>UGEAG056.85_39979</t>
  </si>
  <si>
    <t>LCECL021.13_42492</t>
  </si>
  <si>
    <t>LCMRS043.17_39225</t>
  </si>
  <si>
    <t>SRHAG013.09_39582</t>
  </si>
  <si>
    <t>SRUUE000.03_42534</t>
  </si>
  <si>
    <t>LCLVL001.32_40353</t>
  </si>
  <si>
    <t>LCBRB006.74_39251</t>
  </si>
  <si>
    <t>VRBON002.71_42493</t>
  </si>
  <si>
    <t>SPRMC011.11_42172</t>
  </si>
  <si>
    <t>VRWBV002.97_41394</t>
  </si>
  <si>
    <t>SPSPR126.35_41015</t>
  </si>
  <si>
    <t>CGVGR044.58_40345</t>
  </si>
  <si>
    <t>SRTON053.87_39583</t>
  </si>
  <si>
    <t>SPSPR015.42_41744</t>
  </si>
  <si>
    <t>SPSPR006.75_41002</t>
  </si>
  <si>
    <t>MGLSY000.42_41389</t>
  </si>
  <si>
    <t>SPBAS001.64_41366</t>
  </si>
  <si>
    <t>CGVGR039.41_40344</t>
  </si>
  <si>
    <t>SCSON014.52_38819</t>
  </si>
  <si>
    <t>MGAFR110.01_42464</t>
  </si>
  <si>
    <t>BWBWR025.86_40339</t>
  </si>
  <si>
    <t>MGAFR110.01_39909</t>
  </si>
  <si>
    <t>VRPIE008.19_40717</t>
  </si>
  <si>
    <t>SCSYR004.21_39931</t>
  </si>
  <si>
    <t>UGBON002.00_41428</t>
  </si>
  <si>
    <t>MGSSW000.38_42116</t>
  </si>
  <si>
    <t>BWBWR038.52_40339</t>
  </si>
  <si>
    <t>VRWBV002.97_39566</t>
  </si>
  <si>
    <t>SRWPN004.47_40696</t>
  </si>
  <si>
    <t>MGSYD009.51_39924</t>
  </si>
  <si>
    <t>SPBHC004.31_41380</t>
  </si>
  <si>
    <t>MGHSR048.20_39968</t>
  </si>
  <si>
    <t>VREVR023.59_39624</t>
  </si>
  <si>
    <t>SPARA026.35_41368</t>
  </si>
  <si>
    <t>SCSON016.78_41016</t>
  </si>
  <si>
    <t>SRCHE013.65_41402</t>
  </si>
  <si>
    <t>SPSPR014.18_41744</t>
  </si>
  <si>
    <t>BWFRA000.04_40287</t>
  </si>
  <si>
    <t>SCCIE002.89_41382</t>
  </si>
  <si>
    <t>SPBAS001.64_41003</t>
  </si>
  <si>
    <t>SCSON015.35_41382</t>
  </si>
  <si>
    <t>SRHAG007.47_41442</t>
  </si>
  <si>
    <t>VRWCL005.10_39567</t>
  </si>
  <si>
    <t>MGLSY000.91_41389</t>
  </si>
  <si>
    <t>SRDEV000.38_42507</t>
  </si>
  <si>
    <t>VROAK034.02_41387</t>
  </si>
  <si>
    <t>CGVGR052.23_40344</t>
  </si>
  <si>
    <t>UGBON003.68_38832</t>
  </si>
  <si>
    <t>VRVER137.53_41386</t>
  </si>
  <si>
    <t>VRSYW001.72_39610</t>
  </si>
  <si>
    <t>SRCHE011.90_41402</t>
  </si>
  <si>
    <t>MGLSY000.42_39911</t>
  </si>
  <si>
    <t>MGHSR058.80_42109</t>
  </si>
  <si>
    <t>VRVER165.07_40659</t>
  </si>
  <si>
    <t>BWBSR037.79_41410</t>
  </si>
  <si>
    <t>MGSSW000.38_41393</t>
  </si>
  <si>
    <t>MGHSR048.20_41066</t>
  </si>
  <si>
    <t>VRWBV006.54_41387</t>
  </si>
  <si>
    <t>SCSON016.78_40674</t>
  </si>
  <si>
    <t>VRWBV012.56_41386</t>
  </si>
  <si>
    <t>SPHSC010.67_41003</t>
  </si>
  <si>
    <t>SPARA013.78_41001</t>
  </si>
  <si>
    <t>SRDEV000.38_41400</t>
  </si>
  <si>
    <t>VRROU002.93_41388</t>
  </si>
  <si>
    <t>VROAK031.38_39603</t>
  </si>
  <si>
    <t>SPHSC010.67_39944</t>
  </si>
  <si>
    <t>SPSPR126.35_39961</t>
  </si>
  <si>
    <t>SCSON014.52_39930</t>
  </si>
  <si>
    <t>VREVR023.23_42493</t>
  </si>
  <si>
    <t>VRWBV012.56_39568</t>
  </si>
  <si>
    <t>MGAFR087.06_41052</t>
  </si>
  <si>
    <t>MGAFR087.35_41052</t>
  </si>
  <si>
    <t>VRSYW001.72_41386</t>
  </si>
  <si>
    <t>BWPEE003.51_41366</t>
  </si>
  <si>
    <t>SPARA013.78_39988</t>
  </si>
  <si>
    <t>SPSPR015.42_42100</t>
  </si>
  <si>
    <t>VRFOS011.88_41395</t>
  </si>
  <si>
    <t>MGLAS004.52_41072</t>
  </si>
  <si>
    <t>BWTRT002.43_41410</t>
  </si>
  <si>
    <t>VRVER165.07_39604</t>
  </si>
  <si>
    <t>SPSPR014.18_42465</t>
  </si>
  <si>
    <t>BWBRO029.91_41393</t>
  </si>
  <si>
    <t>MGLAS004.52_39911</t>
  </si>
  <si>
    <t>VREVR023.59_41414</t>
  </si>
  <si>
    <t>VROAK042.78_42499</t>
  </si>
  <si>
    <t>UGBLR008.19_41044</t>
  </si>
  <si>
    <t>SPSPR014.18_42100</t>
  </si>
  <si>
    <t>SRDEV000.38_40695</t>
  </si>
  <si>
    <t>UGSFR006.42_42142</t>
  </si>
  <si>
    <t>SPSPR015.42_42465</t>
  </si>
  <si>
    <t>VRFOS011.88_39611</t>
  </si>
  <si>
    <t>MGSYD009.13_41072</t>
  </si>
  <si>
    <t>UGSFR019.04_38825</t>
  </si>
  <si>
    <t>VRWCL010.66_41751</t>
  </si>
  <si>
    <t>UGEAG040.33_41045</t>
  </si>
  <si>
    <t>VROAK013.95_40660</t>
  </si>
  <si>
    <t>BWTRT002.43_40340</t>
  </si>
  <si>
    <t>UGEAG011.09_41429</t>
  </si>
  <si>
    <t>SRSLR139.75_40688</t>
  </si>
  <si>
    <t>UGBON006.41_41401</t>
  </si>
  <si>
    <t>UGSFR006.42_38825</t>
  </si>
  <si>
    <t>SPSPR150.09_42170</t>
  </si>
  <si>
    <t>SPSPR014.18_41367</t>
  </si>
  <si>
    <t>UGBON006.41_39946</t>
  </si>
  <si>
    <t>VRWCL010.66_40703</t>
  </si>
  <si>
    <t>SRCHE013.65_40686</t>
  </si>
  <si>
    <t>SPARA019.41_42166</t>
  </si>
  <si>
    <t>UGEAG040.33_38854</t>
  </si>
  <si>
    <t>UGSFR006.08_39932</t>
  </si>
  <si>
    <t>UGEAG011.09_39931</t>
  </si>
  <si>
    <t>VRVER165.07_41387</t>
  </si>
  <si>
    <t>UGGLR446.02_41401</t>
  </si>
  <si>
    <t>VRFOS014.33_39612</t>
  </si>
  <si>
    <t>SPARA026.35_39947</t>
  </si>
  <si>
    <t>UGBLR008.19_39980</t>
  </si>
  <si>
    <t>SPARA010.19_42115</t>
  </si>
  <si>
    <t>UGEAG013.81_42143</t>
  </si>
  <si>
    <t>VRSPN002.92_42500</t>
  </si>
  <si>
    <t>UGSFR034.57_41416</t>
  </si>
  <si>
    <t>VROAK042.78_40658</t>
  </si>
  <si>
    <t>UGSFR034.57_39945</t>
  </si>
  <si>
    <t>UGSFR006.42_41429</t>
  </si>
  <si>
    <t>UGSFR019.04_41044</t>
  </si>
  <si>
    <t>UGSFR034.57_38855</t>
  </si>
  <si>
    <t>SCSCR039.63_41017</t>
  </si>
  <si>
    <t>SCSCR034.56_39974</t>
  </si>
  <si>
    <t>SCSCR103.45_41015</t>
  </si>
  <si>
    <t>SCSCR039.63_40675</t>
  </si>
  <si>
    <t>MGAFR087.06_39909</t>
  </si>
  <si>
    <t>SCSCR039.63_41381</t>
  </si>
  <si>
    <t>SCSCR103.45_42466</t>
  </si>
  <si>
    <t>SCSCR039.63_42466</t>
  </si>
  <si>
    <t>MGHSR002.67_41410</t>
  </si>
  <si>
    <t>SCSCR103.45_42101</t>
  </si>
  <si>
    <t>SPSPR015.42_41002</t>
  </si>
  <si>
    <t>SCSCR039.63_42123</t>
  </si>
  <si>
    <t>CGVGR044.58_41388</t>
  </si>
  <si>
    <t>SCSCR039.63_41743</t>
  </si>
  <si>
    <t>SRWPN004.47_39553</t>
  </si>
  <si>
    <t>MGHSR058.80_39910</t>
  </si>
  <si>
    <t>SRCHE013.65_39569</t>
  </si>
  <si>
    <t>MGAFR110.01_42108</t>
  </si>
  <si>
    <t>SRCGN009.78_39570</t>
  </si>
  <si>
    <t>SRCOO001.92_39558</t>
  </si>
  <si>
    <t>SPSPR015.42_41367</t>
  </si>
  <si>
    <t>SRPNL005.12_39561</t>
  </si>
  <si>
    <t>VRPIE008.19_41396</t>
  </si>
  <si>
    <t>VRSYH000.25_39584</t>
  </si>
  <si>
    <t>SCSCR103.45_40674</t>
  </si>
  <si>
    <t>SRSPI011.63_39580</t>
  </si>
  <si>
    <t>BWBRO029.91_40288</t>
  </si>
  <si>
    <t>MGHSR048.20_42109</t>
  </si>
  <si>
    <t>VRROU002.93_39568</t>
  </si>
  <si>
    <t>CGBDW000.99_40295</t>
  </si>
  <si>
    <t>SRFSH006.38_39884</t>
  </si>
  <si>
    <t>SRPNL005.12_39721</t>
  </si>
  <si>
    <t>SPSPR126.35_39800</t>
  </si>
  <si>
    <t>SRWPN004.47_39721</t>
  </si>
  <si>
    <t>SRWFB005.34_39743</t>
  </si>
  <si>
    <t>VRVER165.07_39755</t>
  </si>
  <si>
    <t>SRREY001.14_42550</t>
  </si>
  <si>
    <t>SPGRA007.71_39798</t>
  </si>
  <si>
    <t>UGEAG015.23_39932</t>
  </si>
  <si>
    <t>LCBRB000.27_39218</t>
  </si>
  <si>
    <t>CGHAV000.36_40107</t>
  </si>
  <si>
    <t>LCSHL029.75_39742</t>
  </si>
  <si>
    <t>CGKAN000.26_40106</t>
  </si>
  <si>
    <t>SPARA013.78_39797</t>
  </si>
  <si>
    <t>BWBSR034.68_40316</t>
  </si>
  <si>
    <t>LCLCR342.03_39755</t>
  </si>
  <si>
    <t>LCSHL031.05_39744</t>
  </si>
  <si>
    <t>UGEAG049.82_41827</t>
  </si>
  <si>
    <t>UGSFR019.04_39945</t>
  </si>
  <si>
    <t>VRFOS011.88_40708</t>
  </si>
  <si>
    <t>SRTON053.87_39756</t>
  </si>
  <si>
    <t>SRCGN009.78_39770</t>
  </si>
  <si>
    <t>CGSHI000.05_40104</t>
  </si>
  <si>
    <t>SRBEV007.28_39743</t>
  </si>
  <si>
    <t>BWBSR015.60_40316</t>
  </si>
  <si>
    <t>CGBRA000.44_40102</t>
  </si>
  <si>
    <t>SPWRC000.09_39762</t>
  </si>
  <si>
    <t>SRSPI011.63_39757</t>
  </si>
  <si>
    <t>MGCVE037.68_39926</t>
  </si>
  <si>
    <t>VRWOK000.82_39757</t>
  </si>
  <si>
    <t>LCWLR007.37_40351</t>
  </si>
  <si>
    <t>MGSYD009.51_39771</t>
  </si>
  <si>
    <t>SCSCR034.56_39799</t>
  </si>
  <si>
    <t>VRWBV012.56_39758</t>
  </si>
  <si>
    <t>SRBON001.69_39743</t>
  </si>
  <si>
    <t>CGBRA001.36_40102</t>
  </si>
  <si>
    <t>CGDEE000.07_40106</t>
  </si>
  <si>
    <t>VREVR023.59_39758</t>
  </si>
  <si>
    <t>CGHRM000.08_40103</t>
  </si>
  <si>
    <t>LCCLE063.52_39209</t>
  </si>
  <si>
    <t>UGCAV016.84_39763</t>
  </si>
  <si>
    <t>SPCRC013.37_39799</t>
  </si>
  <si>
    <t>UGETK011.80_39980</t>
  </si>
  <si>
    <t>BWTRT002.43_40317</t>
  </si>
  <si>
    <t>SPARA026.35_39797</t>
  </si>
  <si>
    <t>CGTAP000.08_40106</t>
  </si>
  <si>
    <t>BWBSR037.79_40289</t>
  </si>
  <si>
    <t>LCBIL000.01_40304</t>
  </si>
  <si>
    <t>UGEEG001.57_42143</t>
  </si>
  <si>
    <t>CGCRY000.05_40104</t>
  </si>
  <si>
    <t>MGAFR110.01_39741</t>
  </si>
  <si>
    <t>SRHAG013.09_39742</t>
  </si>
  <si>
    <t>CGRYA000.05_40105</t>
  </si>
  <si>
    <t>CGNAT000.48_40108</t>
  </si>
  <si>
    <t>LCLCR211.73_39196</t>
  </si>
  <si>
    <t>SRBEV001.40_39617</t>
  </si>
  <si>
    <t>LCSIL043.84_39742</t>
  </si>
  <si>
    <t>VROAK048.92_39757</t>
  </si>
  <si>
    <t>UGEAG056.85_39770</t>
  </si>
  <si>
    <t>UGSFR151.22_42157</t>
  </si>
  <si>
    <t>MGLAS004.52_39742</t>
  </si>
  <si>
    <t>MGHSR002.67_42102</t>
  </si>
  <si>
    <t>SRTON062.28_40686</t>
  </si>
  <si>
    <t>CGSPG000.17_40111</t>
  </si>
  <si>
    <t>SRCYN048.21_40415</t>
  </si>
  <si>
    <t>SRWRK007.97_39770</t>
  </si>
  <si>
    <t>VRSPN000.78_39608</t>
  </si>
  <si>
    <t>MGHSR048.20_39743</t>
  </si>
  <si>
    <t>UGETK011.80_39763</t>
  </si>
  <si>
    <t>SCSCR034.56_38840</t>
  </si>
  <si>
    <t>SCSCR111.66_38881</t>
  </si>
  <si>
    <t>UGSCV002.56_38845</t>
  </si>
  <si>
    <t>UGSFR151.22_39982</t>
  </si>
  <si>
    <t>LCSIL006.13_39036</t>
  </si>
  <si>
    <t>LCSLR001.42_39037</t>
  </si>
  <si>
    <t>LCLCR216.67_39049</t>
  </si>
  <si>
    <t>LCLCR226.31_39049</t>
  </si>
  <si>
    <t>LCLCR211.73_39049</t>
  </si>
  <si>
    <t>LCLCR311.31_39049</t>
  </si>
  <si>
    <t>LCCOY000.71_39049</t>
  </si>
  <si>
    <t>LCSIL006.13_39147</t>
  </si>
  <si>
    <t>LCLCR226.31_39147</t>
  </si>
  <si>
    <t>LCLCR216.67_39147</t>
  </si>
  <si>
    <t>LCLCR211.73_39147</t>
  </si>
  <si>
    <t>LCCOY000.71_39148</t>
  </si>
  <si>
    <t>LCSLR001.42_39148</t>
  </si>
  <si>
    <t>SRWRK007.97_41723</t>
  </si>
  <si>
    <t>SRWRK007.97_41603</t>
  </si>
  <si>
    <t>LCWAN002.19_39175</t>
  </si>
  <si>
    <t>LCLCR226.31_39139</t>
  </si>
  <si>
    <t>LCSIL000.06_39139</t>
  </si>
  <si>
    <t>LCLCR212.96_39139</t>
  </si>
  <si>
    <t>SCSON015.35_39042</t>
  </si>
  <si>
    <t>LCLCR324.92_39581</t>
  </si>
  <si>
    <t>LCLCR346.01_39581</t>
  </si>
  <si>
    <t>UGGLR505.96_38567</t>
  </si>
  <si>
    <t>VRWOK000.82_39307</t>
  </si>
  <si>
    <t>UGGLR471.49_38568</t>
  </si>
  <si>
    <t>UGSFR019.04_38568</t>
  </si>
  <si>
    <t>UGSFR006.42_38568</t>
  </si>
  <si>
    <t>UGBLR008.19_38573</t>
  </si>
  <si>
    <t>UGEAG040.33_38573</t>
  </si>
  <si>
    <t>UGEAG056.85_38573</t>
  </si>
  <si>
    <t>UGSFR151.22_38579</t>
  </si>
  <si>
    <t>UGCMB004.23_38580</t>
  </si>
  <si>
    <t>UGBLR028.99_38581</t>
  </si>
  <si>
    <t>UGKPK000.12_38581</t>
  </si>
  <si>
    <t>UGBLR046.35_38581</t>
  </si>
  <si>
    <t>UGSCV002.56_38593</t>
  </si>
  <si>
    <t>UGCAV014.44_38594</t>
  </si>
  <si>
    <t>UGETK011.80_38594</t>
  </si>
  <si>
    <t>UGNCV000.04_38594</t>
  </si>
  <si>
    <t>SCSCR034.56_38607</t>
  </si>
  <si>
    <t>SCSAB016.28_38608</t>
  </si>
  <si>
    <t>SCPOT001.62_38615</t>
  </si>
  <si>
    <t>SCNGW004.87_38615</t>
  </si>
  <si>
    <t>SCSCR099.40_38616</t>
  </si>
  <si>
    <t>SCSCR111.66_38616</t>
  </si>
  <si>
    <t>SCCIE004.25_38621</t>
  </si>
  <si>
    <t>SCPRK010.26_38622</t>
  </si>
  <si>
    <t>SCCIE022.42_38622</t>
  </si>
  <si>
    <t>SCSON014.52_38623</t>
  </si>
  <si>
    <t>UGGLR452.43_38623</t>
  </si>
  <si>
    <t>VREVR027.67_40974</t>
  </si>
  <si>
    <t>UGFRY009.52_38624</t>
  </si>
  <si>
    <t>SRTON019.37_38629</t>
  </si>
  <si>
    <t>UGKPK000.12_38650</t>
  </si>
  <si>
    <t>UGBLR028.99_38650</t>
  </si>
  <si>
    <t>UGBLR046.35_38651</t>
  </si>
  <si>
    <t>UGSFR151.22_38651</t>
  </si>
  <si>
    <t>UGCMB004.23_38651</t>
  </si>
  <si>
    <t>UGEAG040.33_38657</t>
  </si>
  <si>
    <t>UGEAG056.85_38657</t>
  </si>
  <si>
    <t>UGSFR034.57_38658</t>
  </si>
  <si>
    <t>UGETK011.80_38664</t>
  </si>
  <si>
    <t>UGNCV000.04_38665</t>
  </si>
  <si>
    <t>UGCAV014.44_38665</t>
  </si>
  <si>
    <t>UGSCV002.56_38665</t>
  </si>
  <si>
    <t>SCSCR111.66_38671</t>
  </si>
  <si>
    <t>SCSCR034.56_38671</t>
  </si>
  <si>
    <t>SCPOT001.62_38672</t>
  </si>
  <si>
    <t>UGGLR471.49_38685</t>
  </si>
  <si>
    <t>LCLCR301.17_39952</t>
  </si>
  <si>
    <t>UGSFR019.04_38686</t>
  </si>
  <si>
    <t>UGSFR006.42_38686</t>
  </si>
  <si>
    <t>UGGLR505.96_38686</t>
  </si>
  <si>
    <t>SRTON019.37_38687</t>
  </si>
  <si>
    <t>SCCIE004.25_38692</t>
  </si>
  <si>
    <t>SCCIE022.42_38693</t>
  </si>
  <si>
    <t>SCPRK010.26_38693</t>
  </si>
  <si>
    <t>SCSON014.52_38694</t>
  </si>
  <si>
    <t>UGBON000.17_38699</t>
  </si>
  <si>
    <t>UGGLR452.43_38699</t>
  </si>
  <si>
    <t>UGFRY009.52_38700</t>
  </si>
  <si>
    <t>UGA1H011.08_38700</t>
  </si>
  <si>
    <t>SCNGW004.87_38727</t>
  </si>
  <si>
    <t>SCSCR111.66_38727</t>
  </si>
  <si>
    <t>SCPOT001.62_38728</t>
  </si>
  <si>
    <t>SCSCR034.56_38740</t>
  </si>
  <si>
    <t>SCCIE004.25_38762</t>
  </si>
  <si>
    <t>SCPRK010.26_38762</t>
  </si>
  <si>
    <t>UGGLR471.49_38762</t>
  </si>
  <si>
    <t>UGSFR019.04_38763</t>
  </si>
  <si>
    <t>UGSFR006.42_38763</t>
  </si>
  <si>
    <t>SCSON018.31_38763</t>
  </si>
  <si>
    <t>UGGLR505.96_38763</t>
  </si>
  <si>
    <t>SCSON014.52_38763</t>
  </si>
  <si>
    <t>SCCIE022.42_38764</t>
  </si>
  <si>
    <t>SRTON019.37_38770</t>
  </si>
  <si>
    <t>UGSFR034.57_38776</t>
  </si>
  <si>
    <t>UGEAG056.85_38777</t>
  </si>
  <si>
    <t>UGEAG040.33_38777</t>
  </si>
  <si>
    <t>UGBLR008.19_38778</t>
  </si>
  <si>
    <t>UGETK011.80_38790</t>
  </si>
  <si>
    <t>UGBLR046.35_39904</t>
  </si>
  <si>
    <t>UGSFR151.22_39903</t>
  </si>
  <si>
    <t>UGNCV000.04_38791</t>
  </si>
  <si>
    <t>UGSCV002.56_38791</t>
  </si>
  <si>
    <t>UGCAV014.44_38791</t>
  </si>
  <si>
    <t>UGGLR452.43_38797</t>
  </si>
  <si>
    <t>UGA1H011.08_38798</t>
  </si>
  <si>
    <t>UGFRY009.52_38798</t>
  </si>
  <si>
    <t>UGBLR028.99_38811</t>
  </si>
  <si>
    <t>UGKPK000.12_38811</t>
  </si>
  <si>
    <t>UGSFR151.22_38812</t>
  </si>
  <si>
    <t>UGBLR046.35_38812</t>
  </si>
  <si>
    <t>UGCMB004.23_38812</t>
  </si>
  <si>
    <t>UGEAG015.23_39890</t>
  </si>
  <si>
    <t>UGEAG056.85_39889</t>
  </si>
  <si>
    <t>SCCIE004.25_38817</t>
  </si>
  <si>
    <t>SCPRK010.26_38818</t>
  </si>
  <si>
    <t>SPGRA007.71_39884</t>
  </si>
  <si>
    <t>SCCIE022.42_38819</t>
  </si>
  <si>
    <t>UGGLR505.96_38824</t>
  </si>
  <si>
    <t>UGGLR471.49_38826</t>
  </si>
  <si>
    <t>UGA1H011.08_38833</t>
  </si>
  <si>
    <t>LCLCR200.23_39874</t>
  </si>
  <si>
    <t>UGCAV014.44_38846</t>
  </si>
  <si>
    <t>SPSPR006.75_39855</t>
  </si>
  <si>
    <t>SCPOT001.62_38881</t>
  </si>
  <si>
    <t>SCNGW004.87_38881</t>
  </si>
  <si>
    <t>SRDCN001.90_42457</t>
  </si>
  <si>
    <t>BWBWR025.86_41165</t>
  </si>
  <si>
    <t>SCSCR111.66_39825</t>
  </si>
  <si>
    <t>SRBLR102.24_41200</t>
  </si>
  <si>
    <t>LCECL018.17_39034</t>
  </si>
  <si>
    <t>SCSON018.17_39034</t>
  </si>
  <si>
    <t>LCWLR000.92_39034</t>
  </si>
  <si>
    <t>LCSHL031.05_39035</t>
  </si>
  <si>
    <t>LCECL021.13_39035</t>
  </si>
  <si>
    <t>LCBRB000.27_39035</t>
  </si>
  <si>
    <t>UGEAG015.23_39771</t>
  </si>
  <si>
    <t>UGEAG011.09_39771</t>
  </si>
  <si>
    <t>LCELR000.13_39036</t>
  </si>
  <si>
    <t>LCLCR360.06_39036</t>
  </si>
  <si>
    <t>LCCHC060.61_39036</t>
  </si>
  <si>
    <t>LCCHC081.26_39036</t>
  </si>
  <si>
    <t>LCSIL041.04_39036</t>
  </si>
  <si>
    <t>LCLCR340.02_39036</t>
  </si>
  <si>
    <t>LCCLE000.69_39037</t>
  </si>
  <si>
    <t>LCSIL013.53_39048</t>
  </si>
  <si>
    <t>LCRUD003.45_39048</t>
  </si>
  <si>
    <t>LCLCR342.03_39049</t>
  </si>
  <si>
    <t>LCRDF015.45_39050</t>
  </si>
  <si>
    <t>CLGLR010.53_39126</t>
  </si>
  <si>
    <t>UGKPK011.18_39715</t>
  </si>
  <si>
    <t>LCNUT012.99_39146</t>
  </si>
  <si>
    <t>LCSHL031.05_39146</t>
  </si>
  <si>
    <t>LCSIL013.53_39146</t>
  </si>
  <si>
    <t>UGEAG011.09_39687</t>
  </si>
  <si>
    <t>LCRUD003.45_39147</t>
  </si>
  <si>
    <t>LCSIL041.04_39147</t>
  </si>
  <si>
    <t>LCSIL024.83_39147</t>
  </si>
  <si>
    <t>LCLCR342.03_39147</t>
  </si>
  <si>
    <t>LCLCR311.31_39148</t>
  </si>
  <si>
    <t>LCRDF015.45_39148</t>
  </si>
  <si>
    <t>CLGLR011.17_41368</t>
  </si>
  <si>
    <t>LCWLR000.92_39167</t>
  </si>
  <si>
    <t>MGAFR110.01_39673</t>
  </si>
  <si>
    <t>LCLCR360.06_39168</t>
  </si>
  <si>
    <t>LCELR000.13_39168</t>
  </si>
  <si>
    <t>LCLCR340.02_39169</t>
  </si>
  <si>
    <t>LCBEN002.57_39177</t>
  </si>
  <si>
    <t>LCMLK001.18_39182</t>
  </si>
  <si>
    <t>LCELR007.19_39191</t>
  </si>
  <si>
    <t>LCSIL024.83_39195</t>
  </si>
  <si>
    <t>LCCHC060.61_39197</t>
  </si>
  <si>
    <t>LCCHC081.26_39197</t>
  </si>
  <si>
    <t>LCECL021.13_39202</t>
  </si>
  <si>
    <t>UGEAG011.51_39425</t>
  </si>
  <si>
    <t>LCBRB000.27_39203</t>
  </si>
  <si>
    <t>LCCLE000.69_39203</t>
  </si>
  <si>
    <t>LCECL021.13_39218</t>
  </si>
  <si>
    <t>LCLCR226.31_39219</t>
  </si>
  <si>
    <t>LCNUT012.99_39223</t>
  </si>
  <si>
    <t>LCSIL027.05_40330</t>
  </si>
  <si>
    <t>LCECL018.17_39253</t>
  </si>
  <si>
    <t>UGGLR452.43_39260</t>
  </si>
  <si>
    <t>LCLCR206.75_40267</t>
  </si>
  <si>
    <t>UGGLR485.91_39261</t>
  </si>
  <si>
    <t>UGGLR515.55_39261</t>
  </si>
  <si>
    <t>UGGLR501.45_39261</t>
  </si>
  <si>
    <t>UGGLR451.46_39262</t>
  </si>
  <si>
    <t>VRAMG003.62_40155</t>
  </si>
  <si>
    <t>VRELL000.18_40154</t>
  </si>
  <si>
    <t>VRVER139.99_39610</t>
  </si>
  <si>
    <t>LCSLR003.72_40085</t>
  </si>
  <si>
    <t>LCSIL000.06_40080</t>
  </si>
  <si>
    <t>LCBIL000.01_40078</t>
  </si>
  <si>
    <t>SRFIS004.49_39588</t>
  </si>
  <si>
    <t>LCWLR004.09_40065</t>
  </si>
  <si>
    <t>VRWCL036.37_39576</t>
  </si>
  <si>
    <t>SRCYN045.73_39575</t>
  </si>
  <si>
    <t>SRWRK007.97_39569</t>
  </si>
  <si>
    <t>VRVER107.53_39568</t>
  </si>
  <si>
    <t>SCPOT001.62_39568</t>
  </si>
  <si>
    <t>SCNGW004.31_39568</t>
  </si>
  <si>
    <t>SCSCR111.66_39568</t>
  </si>
  <si>
    <t>SCSCR103.45_39568</t>
  </si>
  <si>
    <t>SCSCR096.72_39568</t>
  </si>
  <si>
    <t>VROAK002.96_39566</t>
  </si>
  <si>
    <t>SRWFB005.34_39561</t>
  </si>
  <si>
    <t>SRBEV007.28_39560</t>
  </si>
  <si>
    <t>SRBEV001.40_39560</t>
  </si>
  <si>
    <t>VRWBV002.97_39541</t>
  </si>
  <si>
    <t>VRVER107.53_39541</t>
  </si>
  <si>
    <t>VRWCL005.10_39541</t>
  </si>
  <si>
    <t>VRFOS011.88_39540</t>
  </si>
  <si>
    <t>VREVR045.50_39534</t>
  </si>
  <si>
    <t>VREVR051.15_39534</t>
  </si>
  <si>
    <t>SRHAG013.09_39533</t>
  </si>
  <si>
    <t>SRSPI011.63_39533</t>
  </si>
  <si>
    <t>VRPIE000.29_39533</t>
  </si>
  <si>
    <t>VREVR023.59_39533</t>
  </si>
  <si>
    <t>VRROU002.93_39532</t>
  </si>
  <si>
    <t>SRTON053.87_39532</t>
  </si>
  <si>
    <t>SRTON059.43_39532</t>
  </si>
  <si>
    <t>VRSYH000.25_39532</t>
  </si>
  <si>
    <t>SRCOO001.92_39528</t>
  </si>
  <si>
    <t>VRWOK000.82_39528</t>
  </si>
  <si>
    <t>SREFB008.27_40653</t>
  </si>
  <si>
    <t>VRPIE016.49_40645</t>
  </si>
  <si>
    <t>VRVER165.07_39527</t>
  </si>
  <si>
    <t>SRWPN004.47_39527</t>
  </si>
  <si>
    <t>VRPIE008.19_40644</t>
  </si>
  <si>
    <t>VRVER139.99_39527</t>
  </si>
  <si>
    <t>VRSYW001.72_39527</t>
  </si>
  <si>
    <t>VROAK048.92_39526</t>
  </si>
  <si>
    <t>VROAK031.38_39526</t>
  </si>
  <si>
    <t>SRCGN009.78_39435</t>
  </si>
  <si>
    <t>SRWRK007.97_39434</t>
  </si>
  <si>
    <t>SRPNL005.12_39434</t>
  </si>
  <si>
    <t>SRWPN004.47_39433</t>
  </si>
  <si>
    <t>VROAK042.78_40582</t>
  </si>
  <si>
    <t>UGBON000.17_39424</t>
  </si>
  <si>
    <t>LCSIL043.84_40511</t>
  </si>
  <si>
    <t>SRTON053.87_39414</t>
  </si>
  <si>
    <t>SCSCR039.63_40500</t>
  </si>
  <si>
    <t>SRTON059.43_39414</t>
  </si>
  <si>
    <t>SRHAG013.09_39413</t>
  </si>
  <si>
    <t>SRCYN045.73_39413</t>
  </si>
  <si>
    <t>SRSPI011.63_39413</t>
  </si>
  <si>
    <t>UGGLR485.91_39401</t>
  </si>
  <si>
    <t>UGGLR515.55_39401</t>
  </si>
  <si>
    <t>UGSFR006.42_39400</t>
  </si>
  <si>
    <t>UGEAG011.51_39400</t>
  </si>
  <si>
    <t>UGBON000.17_39399</t>
  </si>
  <si>
    <t>UGGLR452.43_39399</t>
  </si>
  <si>
    <t>VREVR051.15_39399</t>
  </si>
  <si>
    <t>VRROU002.93_39398</t>
  </si>
  <si>
    <t>LCSIL042.58_40483</t>
  </si>
  <si>
    <t>VRSYH000.25_39398</t>
  </si>
  <si>
    <t>VRWCL036.37_39394</t>
  </si>
  <si>
    <t>VRFOS011.88_39394</t>
  </si>
  <si>
    <t>SREFB008.27_40470</t>
  </si>
  <si>
    <t>VRWCL005.10_39393</t>
  </si>
  <si>
    <t>VRWBV002.97_39392</t>
  </si>
  <si>
    <t>VROAK002.96_39392</t>
  </si>
  <si>
    <t>SRFIS004.49_39385</t>
  </si>
  <si>
    <t>UGGLR451.46_39380</t>
  </si>
  <si>
    <t>UGGLR485.91_39379</t>
  </si>
  <si>
    <t>UGGLR501.45_39379</t>
  </si>
  <si>
    <t>UGGLR515.55_39379</t>
  </si>
  <si>
    <t>UGGLR471.49_39378</t>
  </si>
  <si>
    <t>SCSCR096.72_40429</t>
  </si>
  <si>
    <t>UGSFR006.42_39378</t>
  </si>
  <si>
    <t>UGEAG011.51_39378</t>
  </si>
  <si>
    <t>SRBON001.69_39378</t>
  </si>
  <si>
    <t>SRWFB005.34_39377</t>
  </si>
  <si>
    <t>UGBON000.17_39377</t>
  </si>
  <si>
    <t>UGGLR452.43_39377</t>
  </si>
  <si>
    <t>VRVER165.07_39359</t>
  </si>
  <si>
    <t>SRCOO001.92_39359</t>
  </si>
  <si>
    <t>SRCHE013.65_39359</t>
  </si>
  <si>
    <t>VRVER139.99_39358</t>
  </si>
  <si>
    <t>VRSYW001.72_39358</t>
  </si>
  <si>
    <t>VROAK048.92_39357</t>
  </si>
  <si>
    <t>SPSPR013.29_40381</t>
  </si>
  <si>
    <t>VROAK031.38_39357</t>
  </si>
  <si>
    <t>SRTON053.87_39344</t>
  </si>
  <si>
    <t>SRTON059.43_39344</t>
  </si>
  <si>
    <t>SRHAG013.09_39343</t>
  </si>
  <si>
    <t>SRCYN045.73_39343</t>
  </si>
  <si>
    <t>VRWEB009.13_40379</t>
  </si>
  <si>
    <t>SRSPI011.63_39343</t>
  </si>
  <si>
    <t>VRWCL036.37_39325</t>
  </si>
  <si>
    <t>VRFOS011.88_39324</t>
  </si>
  <si>
    <t>SRWRK007.97_39323</t>
  </si>
  <si>
    <t>VRWCL005.10_39323</t>
  </si>
  <si>
    <t>VRVER107.53_39322</t>
  </si>
  <si>
    <t>VRWBV002.97_39322</t>
  </si>
  <si>
    <t>VROAK002.96_39322</t>
  </si>
  <si>
    <t>SRPNL005.12_39321</t>
  </si>
  <si>
    <t>VRSYW001.72_39309</t>
  </si>
  <si>
    <t>VRVER165.07_39308</t>
  </si>
  <si>
    <t>VREVR023.59_39308</t>
  </si>
  <si>
    <t>VRVER139.99_39308</t>
  </si>
  <si>
    <t>VREVR045.50_39308</t>
  </si>
  <si>
    <t>VROAK031.38_39308</t>
  </si>
  <si>
    <t>VREVR051.15_39308</t>
  </si>
  <si>
    <t>VRROU002.93_39307</t>
  </si>
  <si>
    <t>VROAK048.92_39307</t>
  </si>
  <si>
    <t>VRSYH000.25_39307</t>
  </si>
  <si>
    <t>UGFRY009.52_42003</t>
  </si>
  <si>
    <t>VRWEB009.13_41038</t>
  </si>
  <si>
    <t>UGBON000.17_39300</t>
  </si>
  <si>
    <t>UGCMB004.23_41025</t>
  </si>
  <si>
    <t>SRBWL005.79_39295</t>
  </si>
  <si>
    <t>SRBON001.69_39295</t>
  </si>
  <si>
    <t>SRBEV007.28_39294</t>
  </si>
  <si>
    <t>SRBEV001.40_39294</t>
  </si>
  <si>
    <t>SRSNK001.33_39294</t>
  </si>
  <si>
    <t>LCLCR324.92_39294</t>
  </si>
  <si>
    <t>UGEEG001.57_41957</t>
  </si>
  <si>
    <t>SRWFB005.34_39294</t>
  </si>
  <si>
    <t>SRHAY000.04_39294</t>
  </si>
  <si>
    <t>SRFIS004.49_39294</t>
  </si>
  <si>
    <t>SRSTI000.38_39293</t>
  </si>
  <si>
    <t>UGSFR006.42_39273</t>
  </si>
  <si>
    <t>UGEAG011.51_39273</t>
  </si>
  <si>
    <t>UGSFR019.04_39989</t>
  </si>
  <si>
    <t>VREVR046.18_40974</t>
  </si>
  <si>
    <t>UGSFR006.42_39988</t>
  </si>
  <si>
    <t>SPMLC012.68_41893</t>
  </si>
  <si>
    <t>MGAFR087.06_40953</t>
  </si>
  <si>
    <t>SPBAS001.64_40946</t>
  </si>
  <si>
    <t>MGLAS004.52_40928</t>
  </si>
  <si>
    <t>LCWLR000.92_39952</t>
  </si>
  <si>
    <t>LCLVL001.32_39952</t>
  </si>
  <si>
    <t>LCLCR317.67_39951</t>
  </si>
  <si>
    <t>UGETK011.80_40925</t>
  </si>
  <si>
    <t>SPMLC013.56_39681</t>
  </si>
  <si>
    <t>VRELL009.02_39946</t>
  </si>
  <si>
    <t>UGSFR006.42_41884</t>
  </si>
  <si>
    <t>VRWEB009.13_39945</t>
  </si>
  <si>
    <t>VRMAI000.78_39945</t>
  </si>
  <si>
    <t>SPHSC010.67_40883</t>
  </si>
  <si>
    <t>VREVR051.15_39945</t>
  </si>
  <si>
    <t>VRPIE016.49_39944</t>
  </si>
  <si>
    <t>UGCAV016.84_40856</t>
  </si>
  <si>
    <t>MGSYD009.13_39924</t>
  </si>
  <si>
    <t>SREFB008.27_40843</t>
  </si>
  <si>
    <t>LCWLR000.92_40841</t>
  </si>
  <si>
    <t>UGBLR036.37_39904</t>
  </si>
  <si>
    <t>UGBLR030.24_39904</t>
  </si>
  <si>
    <t>SPARA026.35_39898</t>
  </si>
  <si>
    <t>UGSFR019.04_39897</t>
  </si>
  <si>
    <t>UGSFR034.57_39897</t>
  </si>
  <si>
    <t>SPHSC010.67_39896</t>
  </si>
  <si>
    <t>UGEAG011.09_39890</t>
  </si>
  <si>
    <t>UGFRY009.52_39888</t>
  </si>
  <si>
    <t>SREFB008.27_40772</t>
  </si>
  <si>
    <t>UGETK011.80_39883</t>
  </si>
  <si>
    <t>UGCAV016.84_39883</t>
  </si>
  <si>
    <t>SPWRC000.09_39882</t>
  </si>
  <si>
    <t>SCSON014.52_39876</t>
  </si>
  <si>
    <t>SPGDN007.55_39876</t>
  </si>
  <si>
    <t>SPRMC011.11_39876</t>
  </si>
  <si>
    <t>LCLCR216.67_39875</t>
  </si>
  <si>
    <t>SCSCR034.56_39854</t>
  </si>
  <si>
    <t>MGLAS004.52_39849</t>
  </si>
  <si>
    <t>MGLSY000.42_39849</t>
  </si>
  <si>
    <t>MGHSR048.20_39848</t>
  </si>
  <si>
    <t>MGHSR110.58_39848</t>
  </si>
  <si>
    <t>MGHSR058.80_39848</t>
  </si>
  <si>
    <t>MGAFR087.06_39847</t>
  </si>
  <si>
    <t>VRELL000.18_41162</t>
  </si>
  <si>
    <t>MGAFR110.01_39847</t>
  </si>
  <si>
    <t>LCLCR200.23_39842</t>
  </si>
  <si>
    <t>BWBRO029.91_41172</t>
  </si>
  <si>
    <t>VRVER165.07_41148</t>
  </si>
  <si>
    <t>LCLCR216.67_39841</t>
  </si>
  <si>
    <t>MGHSR000.77_39826</t>
  </si>
  <si>
    <t>SCSCR099.40_39825</t>
  </si>
  <si>
    <t>VROAK034.02_41149</t>
  </si>
  <si>
    <t>SCPOT001.62_39825</t>
  </si>
  <si>
    <t>SCNGW004.31_39825</t>
  </si>
  <si>
    <t>MGHSR110.58_42422</t>
  </si>
  <si>
    <t>VREVR023.39_41382</t>
  </si>
  <si>
    <t>VRWBV002.97_41114</t>
  </si>
  <si>
    <t>UGSFR034.57_39799</t>
  </si>
  <si>
    <t>VRROU002.93_41115</t>
  </si>
  <si>
    <t>VRFOS011.88_40380</t>
  </si>
  <si>
    <t>UGSFR019.04_39799</t>
  </si>
  <si>
    <t>VRWBV006.54_41136</t>
  </si>
  <si>
    <t>VREVR046.18_41162</t>
  </si>
  <si>
    <t>VREVR043.98_40155</t>
  </si>
  <si>
    <t>SPSPR006.75_39792</t>
  </si>
  <si>
    <t>SPRMC011.11_39786</t>
  </si>
  <si>
    <t>SPGDN007.55_39785</t>
  </si>
  <si>
    <t>BWBRO029.91_42350</t>
  </si>
  <si>
    <t>SCSON014.52_39783</t>
  </si>
  <si>
    <t>UGBLR046.35_39771</t>
  </si>
  <si>
    <t>VREVR023.23_42331</t>
  </si>
  <si>
    <t>VREVR016.28_41241</t>
  </si>
  <si>
    <t>VREVR034.80_41241</t>
  </si>
  <si>
    <t>VREVR023.23_41241</t>
  </si>
  <si>
    <t>UGBLR030.24_39770</t>
  </si>
  <si>
    <t>UGBLR036.37_39770</t>
  </si>
  <si>
    <t>UGBLR008.19_39770</t>
  </si>
  <si>
    <t>VRPIE008.19_41242</t>
  </si>
  <si>
    <t>UGFRY009.52_39769</t>
  </si>
  <si>
    <t>SPHSC010.67_39764</t>
  </si>
  <si>
    <t>SRHRS001.41_42311</t>
  </si>
  <si>
    <t>VRWBV006.54_41248</t>
  </si>
  <si>
    <t>SPBHC004.31_41228</t>
  </si>
  <si>
    <t>VROAK034.02_41254</t>
  </si>
  <si>
    <t>MGHSR058.80_39743</t>
  </si>
  <si>
    <t>VRVER137.53_41254</t>
  </si>
  <si>
    <t>SPSPR101.25_42296</t>
  </si>
  <si>
    <t>MGLSY000.42_39742</t>
  </si>
  <si>
    <t>VRELL000.18_41261</t>
  </si>
  <si>
    <t>SPGRA007.71_39737</t>
  </si>
  <si>
    <t>UGSFR019.04_39736</t>
  </si>
  <si>
    <t>UGSFR034.57_39736</t>
  </si>
  <si>
    <t>UGSFR006.42_41282</t>
  </si>
  <si>
    <t>UGBLR036.37_39714</t>
  </si>
  <si>
    <t>UGLAN000.60_39714</t>
  </si>
  <si>
    <t>UGBLR030.24_39714</t>
  </si>
  <si>
    <t>UGBLR046.35_39713</t>
  </si>
  <si>
    <t>UGCOL003.48_39713</t>
  </si>
  <si>
    <t>VREVR051.15_41304</t>
  </si>
  <si>
    <t>MGHSR000.77_39706</t>
  </si>
  <si>
    <t>MGLSY000.42_41312</t>
  </si>
  <si>
    <t>SCSCR034.56_39702</t>
  </si>
  <si>
    <t>UGETK011.80_39700</t>
  </si>
  <si>
    <t>BWBSR037.79_41339</t>
  </si>
  <si>
    <t>UGCIM000.10_39700</t>
  </si>
  <si>
    <t>SPWRC000.09_39699</t>
  </si>
  <si>
    <t>UGEAG015.23_39687</t>
  </si>
  <si>
    <t>UGEAG056.85_39686</t>
  </si>
  <si>
    <t>UGBLR008.19_39686</t>
  </si>
  <si>
    <t>UGFRY009.52_39685</t>
  </si>
  <si>
    <t>VROAK034.02_41330</t>
  </si>
  <si>
    <t>SPGDN007.55_39682</t>
  </si>
  <si>
    <t>SPRMC011.11_39681</t>
  </si>
  <si>
    <t>SPARA013.78_39680</t>
  </si>
  <si>
    <t>SRHAG007.47_41352</t>
  </si>
  <si>
    <t>SCSON014.52_39680</t>
  </si>
  <si>
    <t>SPSPR006.75_39679</t>
  </si>
  <si>
    <t>MGLAS004.52_39674</t>
  </si>
  <si>
    <t>MGSYD009.13_39674</t>
  </si>
  <si>
    <t>MGAFR087.06_39673</t>
  </si>
  <si>
    <t>SPARA026.35_41338</t>
  </si>
  <si>
    <t>SRWRK007.97_41541</t>
  </si>
  <si>
    <t>MGHSR058.80_39672</t>
  </si>
  <si>
    <t>LCLCR216.67_39667</t>
  </si>
  <si>
    <t>LCSIL000.06_39667</t>
  </si>
  <si>
    <t>LCLCR200.23_39666</t>
  </si>
  <si>
    <t>LCSIL000.06_39644</t>
  </si>
  <si>
    <t>SRDEV000.38_40526</t>
  </si>
  <si>
    <t>LCWLR000.92_40770</t>
  </si>
  <si>
    <t>SREFB008.27_41415</t>
  </si>
  <si>
    <t>LCLVL001.32_40332</t>
  </si>
  <si>
    <t>LCWLR005.05_40332</t>
  </si>
  <si>
    <t>LCSLR003.72_40304</t>
  </si>
  <si>
    <t>LCRUD008.43_40303</t>
  </si>
  <si>
    <t>BWBWR025.86_41409</t>
  </si>
  <si>
    <t>LCFIS003.86_40302</t>
  </si>
  <si>
    <t>SRFSH006.38_40289</t>
  </si>
  <si>
    <t>BWTRT002.43_40269</t>
  </si>
  <si>
    <t>BWBRO029.91_40234</t>
  </si>
  <si>
    <t>BWFRA000.04_40234</t>
  </si>
  <si>
    <t>BWBSR034.68_40163</t>
  </si>
  <si>
    <t>VRWCL010.66_40379</t>
  </si>
  <si>
    <t>CLGLR007.11_41772</t>
  </si>
  <si>
    <t>BWBSR015.60_40156</t>
  </si>
  <si>
    <t>BWBSR037.79_40156</t>
  </si>
  <si>
    <t>BWBWR025.86_40155</t>
  </si>
  <si>
    <t>BWBWR038.52_40154</t>
  </si>
  <si>
    <t>VREVR045.50_40154</t>
  </si>
  <si>
    <t>VREVR034.80_40154</t>
  </si>
  <si>
    <t>CGVGR052.23_40126</t>
  </si>
  <si>
    <t>SRWFB003.45_41744</t>
  </si>
  <si>
    <t>UGEAG049.82_41725</t>
  </si>
  <si>
    <t>LCLCR336.72_40086</t>
  </si>
  <si>
    <t>LCRUD008.43_40086</t>
  </si>
  <si>
    <t>LCBRB006.74_41724</t>
  </si>
  <si>
    <t>CLGLR007.11_41723</t>
  </si>
  <si>
    <t>LCSIL027.05_40077</t>
  </si>
  <si>
    <t>LCSIL027.05_41722</t>
  </si>
  <si>
    <t>UGBLR046.35_41716</t>
  </si>
  <si>
    <t>LCELR008.70_40066</t>
  </si>
  <si>
    <t>LCWLR007.37_40066</t>
  </si>
  <si>
    <t>LCWLR007.37_41715</t>
  </si>
  <si>
    <t>LCLCR200.23_40062</t>
  </si>
  <si>
    <t>BWBWR025.86_41269</t>
  </si>
  <si>
    <t>CLGLR011.17_41653</t>
  </si>
  <si>
    <t>LCCOL003.03_41612</t>
  </si>
  <si>
    <t>LCSIL000.06_40001</t>
  </si>
  <si>
    <t>LCLCR200.23_40000</t>
  </si>
  <si>
    <t>CLGLR011.17_41597</t>
  </si>
  <si>
    <t>VREVR016.28_40724</t>
  </si>
  <si>
    <t>VREVR023.23_40724</t>
  </si>
  <si>
    <t>VREVR046.18_40723</t>
  </si>
  <si>
    <t>VREVR044.96_40723</t>
  </si>
  <si>
    <t>VREVR034.80_40722</t>
  </si>
  <si>
    <t>LCBRB006.74_41590</t>
  </si>
  <si>
    <t>LCELR008.70_41576</t>
  </si>
  <si>
    <t>LCWLR007.37_41576</t>
  </si>
  <si>
    <t>LCELR005.67_41576</t>
  </si>
  <si>
    <t>LCSLR001.42_41575</t>
  </si>
  <si>
    <t>UGNCV000.16_41892</t>
  </si>
  <si>
    <t>VREVR051.15_41570</t>
  </si>
  <si>
    <t>LCSIL042.58_40674</t>
  </si>
  <si>
    <t>LCLCR301.17_40673</t>
  </si>
  <si>
    <t>LCLCR311.31_40673</t>
  </si>
  <si>
    <t>LCCOL003.03_41556</t>
  </si>
  <si>
    <t>UGBLR030.24_41556</t>
  </si>
  <si>
    <t>SRRES000.33_40668</t>
  </si>
  <si>
    <t>VRELL009.02_40645</t>
  </si>
  <si>
    <t>VRWEB009.13_40645</t>
  </si>
  <si>
    <t>VRFOS011.88_40644</t>
  </si>
  <si>
    <t>SRWPN004.47_40639</t>
  </si>
  <si>
    <t>UGETK011.80_40856</t>
  </si>
  <si>
    <t>VRAMG003.62_40632</t>
  </si>
  <si>
    <t>VREVR023.23_40631</t>
  </si>
  <si>
    <t>VREVR016.28_40631</t>
  </si>
  <si>
    <t>VREVR027.67_40631</t>
  </si>
  <si>
    <t>SRHAG013.09_41535</t>
  </si>
  <si>
    <t>VROAK013.95_40626</t>
  </si>
  <si>
    <t>VRWCL010.66_40626</t>
  </si>
  <si>
    <t>SRREY001.14_40625</t>
  </si>
  <si>
    <t>SRDEV000.38_40625</t>
  </si>
  <si>
    <t>SRCYN048.21_40610</t>
  </si>
  <si>
    <t>LCSIL043.84_40609</t>
  </si>
  <si>
    <t>LCSIL042.58_40609</t>
  </si>
  <si>
    <t>SRUNF002.31_41534</t>
  </si>
  <si>
    <t>LCBIL000.15_41534</t>
  </si>
  <si>
    <t>SCSCR103.45_40597</t>
  </si>
  <si>
    <t>SCSON018.31_40597</t>
  </si>
  <si>
    <t>VRVER165.07_40596</t>
  </si>
  <si>
    <t>SRWFB005.34_41533</t>
  </si>
  <si>
    <t>VRWLK000.99_40583</t>
  </si>
  <si>
    <t>UGCMB004.23_40798</t>
  </si>
  <si>
    <t>VROAK045.64_40582</t>
  </si>
  <si>
    <t>LCCHC073.26_40521</t>
  </si>
  <si>
    <t>SRCYN048.21_40512</t>
  </si>
  <si>
    <t>VROAK045.64_40499</t>
  </si>
  <si>
    <t>VRWCL010.66_40499</t>
  </si>
  <si>
    <t>VRVER165.07_40498</t>
  </si>
  <si>
    <t>VROAK042.78_40498</t>
  </si>
  <si>
    <t>VREVR034.80_41481</t>
  </si>
  <si>
    <t>VROAK013.95_40498</t>
  </si>
  <si>
    <t>SCSCR096.72_40492</t>
  </si>
  <si>
    <t>VRPIE008.19_40486</t>
  </si>
  <si>
    <t>LCSIL043.84_40484</t>
  </si>
  <si>
    <t>VRPIE016.49_40478</t>
  </si>
  <si>
    <t>VREVR023.39_41474</t>
  </si>
  <si>
    <t>SRRES000.33_40463</t>
  </si>
  <si>
    <t>VREVR023.59_41163</t>
  </si>
  <si>
    <t>SRBWL005.79_40462</t>
  </si>
  <si>
    <t>VRVER165.07_40450</t>
  </si>
  <si>
    <t>LCSIL043.30_40449</t>
  </si>
  <si>
    <t>LCLCR352.03_42165</t>
  </si>
  <si>
    <t>SRREY001.14_40443</t>
  </si>
  <si>
    <t>LCLCR350.73_42165</t>
  </si>
  <si>
    <t>SRDEV000.38_40442</t>
  </si>
  <si>
    <t>SPSPR101.25_40430</t>
  </si>
  <si>
    <t>UGSFR019.04_42144</t>
  </si>
  <si>
    <t>SRCKN001.61_40423</t>
  </si>
  <si>
    <t>SRBWL005.79_40422</t>
  </si>
  <si>
    <t>VRPIE008.19_41165</t>
  </si>
  <si>
    <t>SREFB008.27_40421</t>
  </si>
  <si>
    <t>LCSIL043.84_40416</t>
  </si>
  <si>
    <t>SPSPR006.75_40386</t>
  </si>
  <si>
    <t>SPSPR013.29_40386</t>
  </si>
  <si>
    <t>SRBGY002.86_40386</t>
  </si>
  <si>
    <t>SPSPR006.75_40381</t>
  </si>
  <si>
    <t>VROAK013.95_40379</t>
  </si>
  <si>
    <t>VROAK045.64_40378</t>
  </si>
  <si>
    <t>VROAK042.78_40378</t>
  </si>
  <si>
    <t>UGCMB004.23_41200</t>
  </si>
  <si>
    <t>UGKPK011.18_42087</t>
  </si>
  <si>
    <t>SRPNT027.51_42066</t>
  </si>
  <si>
    <t>SRPNT027.51_42037</t>
  </si>
  <si>
    <t>MGHSR000.77_41046</t>
  </si>
  <si>
    <t>UGETK011.80_41044</t>
  </si>
  <si>
    <t>SPSPR006.75_42030</t>
  </si>
  <si>
    <t>LCNUT017.83_42024</t>
  </si>
  <si>
    <t>MGSLR003.96_41043</t>
  </si>
  <si>
    <t>SREFB008.27_41043</t>
  </si>
  <si>
    <t>CGVGR044.58_41256</t>
  </si>
  <si>
    <t>VRMAI000.78_41037</t>
  </si>
  <si>
    <t>SCCIE002.89_41233</t>
  </si>
  <si>
    <t>VRPIE000.29_41037</t>
  </si>
  <si>
    <t>VRPIE016.49_41036</t>
  </si>
  <si>
    <t>SRCKN001.61_41025</t>
  </si>
  <si>
    <t>LCWLR000.92_41024</t>
  </si>
  <si>
    <t>MGSSW000.38_41961</t>
  </si>
  <si>
    <t>MGHSR048.20_41961</t>
  </si>
  <si>
    <t>UGSTO003.44_41960</t>
  </si>
  <si>
    <t>UGCAV016.84_41009</t>
  </si>
  <si>
    <t>UGETK011.80_41009</t>
  </si>
  <si>
    <t>SPTUR028.53_41008</t>
  </si>
  <si>
    <t>VRROU002.93_41298</t>
  </si>
  <si>
    <t>SPARA010.19_41934</t>
  </si>
  <si>
    <t>VRELL000.18_40975</t>
  </si>
  <si>
    <t>VREVR044.96_40975</t>
  </si>
  <si>
    <t>VREVR051.15_40974</t>
  </si>
  <si>
    <t>VREVR034.80_40973</t>
  </si>
  <si>
    <t>VREVR023.23_40973</t>
  </si>
  <si>
    <t>VREVR016.28_40973</t>
  </si>
  <si>
    <t>MGHSR000.77_41331</t>
  </si>
  <si>
    <t>VREVR043.98_41303</t>
  </si>
  <si>
    <t>SRUEF000.87_42249</t>
  </si>
  <si>
    <t>UGEAG040.33_40968</t>
  </si>
  <si>
    <t>UGSTO003.44_41904</t>
  </si>
  <si>
    <t>UGBLR008.19_40968</t>
  </si>
  <si>
    <t>UGSFR019.04_40967</t>
  </si>
  <si>
    <t>SPGRA007.71_40967</t>
  </si>
  <si>
    <t>MGHSR048.20_41898</t>
  </si>
  <si>
    <t>MGHSR058.80_41898</t>
  </si>
  <si>
    <t>LCHAL008.83_41576</t>
  </si>
  <si>
    <t>SCSON016.78_40962</t>
  </si>
  <si>
    <t>UGBON006.41_41332</t>
  </si>
  <si>
    <t>SPHSC010.67_40946</t>
  </si>
  <si>
    <t>UGSFR034.57_41333</t>
  </si>
  <si>
    <t>SPARA010.19_41892</t>
  </si>
  <si>
    <t>SPARA013.78_40945</t>
  </si>
  <si>
    <t>SPSPR006.75_40945</t>
  </si>
  <si>
    <t>MGSYD009.13_40928</t>
  </si>
  <si>
    <t>SCSON016.78_40926</t>
  </si>
  <si>
    <t>UGEEG001.57_41885</t>
  </si>
  <si>
    <t>UGCAV016.84_40925</t>
  </si>
  <si>
    <t>SPTUR028.53_40924</t>
  </si>
  <si>
    <t>MGAFR087.35_40905</t>
  </si>
  <si>
    <t>MGAFR087.06_40905</t>
  </si>
  <si>
    <t>SPBAS001.64_40883</t>
  </si>
  <si>
    <t>SRGIB000.11_41871</t>
  </si>
  <si>
    <t>SPSPR006.75_40882</t>
  </si>
  <si>
    <t>SPARA013.78_40882</t>
  </si>
  <si>
    <t>SRPNT027.51_41870</t>
  </si>
  <si>
    <t>SRGIB000.11_41870</t>
  </si>
  <si>
    <t>VREVR023.23_40863</t>
  </si>
  <si>
    <t>VREVR027.67_40862</t>
  </si>
  <si>
    <t>VREVR016.28_40862</t>
  </si>
  <si>
    <t>VREVR051.15_40861</t>
  </si>
  <si>
    <t>VREVR034.80_40861</t>
  </si>
  <si>
    <t>VREVR046.18_40861</t>
  </si>
  <si>
    <t>VREVR044.96_40861</t>
  </si>
  <si>
    <t>SPSPR126.35_40857</t>
  </si>
  <si>
    <t>SPGRA007.71_40857</t>
  </si>
  <si>
    <t>UGSFR019.04_40857</t>
  </si>
  <si>
    <t>UGEAG040.33_40856</t>
  </si>
  <si>
    <t>UGCMB004.23_40842</t>
  </si>
  <si>
    <t>SRCKN001.61_40842</t>
  </si>
  <si>
    <t>SPBAS001.64_40835</t>
  </si>
  <si>
    <t>SPHSC010.67_40835</t>
  </si>
  <si>
    <t>UGSFR019.04_40800</t>
  </si>
  <si>
    <t>SPGRA007.71_40800</t>
  </si>
  <si>
    <t>UGBLR008.19_40799</t>
  </si>
  <si>
    <t>MGLAS004.52_40787</t>
  </si>
  <si>
    <t>SRCHE011.90_41220</t>
  </si>
  <si>
    <t>MGHSR110.58_42472</t>
  </si>
  <si>
    <t>SPSPR109.75_42466</t>
  </si>
  <si>
    <t>SPSPR101.25_42466</t>
  </si>
  <si>
    <t>SPSPR113.49_42466</t>
  </si>
  <si>
    <t>SPARA013.78_40764</t>
  </si>
  <si>
    <t>SPSPR120.47_42465</t>
  </si>
  <si>
    <t>SRHAG007.47_41164</t>
  </si>
  <si>
    <t>SPARA026.35_41152</t>
  </si>
  <si>
    <t>VRBON002.71_42459</t>
  </si>
  <si>
    <t>SRUUE000.03_42459</t>
  </si>
  <si>
    <t>LCLCR347.91_42459</t>
  </si>
  <si>
    <t>VRSYW001.72_41148</t>
  </si>
  <si>
    <t>UGCMB004.23_41120</t>
  </si>
  <si>
    <t>VREVR051.15_41162</t>
  </si>
  <si>
    <t>VREVR016.28_41163</t>
  </si>
  <si>
    <t>SRCHE013.65_41164</t>
  </si>
  <si>
    <t>SREFB008.27_41121</t>
  </si>
  <si>
    <t>SRBLR102.24_41120</t>
  </si>
  <si>
    <t>SCCIE002.89_41162</t>
  </si>
  <si>
    <t>SRDEV000.38_41164</t>
  </si>
  <si>
    <t>SRCDY002.95_42457</t>
  </si>
  <si>
    <t>SRUDC000.02_42457</t>
  </si>
  <si>
    <t>BWFRA001.04_42451</t>
  </si>
  <si>
    <t>VRROU002.93_41184</t>
  </si>
  <si>
    <t>VRWEB010.36_42445</t>
  </si>
  <si>
    <t>CLGLR007.11_41290</t>
  </si>
  <si>
    <t>VREVR023.23_42444</t>
  </si>
  <si>
    <t>VREVR034.80_41163</t>
  </si>
  <si>
    <t>VRFOS010.48_42444</t>
  </si>
  <si>
    <t>VREVR044.96_41162</t>
  </si>
  <si>
    <t>MGHSR000.77_41207</t>
  </si>
  <si>
    <t>CGVGR044.58_41179</t>
  </si>
  <si>
    <t>SRD2E000.12_42425</t>
  </si>
  <si>
    <t>SRHRS001.41_42425</t>
  </si>
  <si>
    <t>MGHSR112.91_42423</t>
  </si>
  <si>
    <t>MGSLR003.96_41208</t>
  </si>
  <si>
    <t>VRFOS011.88_41163</t>
  </si>
  <si>
    <t>BWTRT002.43_41135</t>
  </si>
  <si>
    <t>SRDEV000.38_42409</t>
  </si>
  <si>
    <t>VRWBV006.54_41312</t>
  </si>
  <si>
    <t>SREFB008.27_41200</t>
  </si>
  <si>
    <t>VRBON002.71_42347</t>
  </si>
  <si>
    <t>SRUNF002.31_41745</t>
  </si>
  <si>
    <t>UGSFR034.57_41213</t>
  </si>
  <si>
    <t>UGEAG011.09_41212</t>
  </si>
  <si>
    <t>UGBON006.41_41212</t>
  </si>
  <si>
    <t>UGSFR006.42_41213</t>
  </si>
  <si>
    <t>SRDEV000.38_41220</t>
  </si>
  <si>
    <t>CLGLR011.17_41233</t>
  </si>
  <si>
    <t>SPSPR120.47_42325</t>
  </si>
  <si>
    <t>BWBRO029.91_41249</t>
  </si>
  <si>
    <t>LCCOL003.03_41743</t>
  </si>
  <si>
    <t>VREVR027.67_41240</t>
  </si>
  <si>
    <t>MGLSY000.42_41240</t>
  </si>
  <si>
    <t>VRWBV002.97_41240</t>
  </si>
  <si>
    <t>SRHAG007.47_41247</t>
  </si>
  <si>
    <t>SRREY001.14_42325</t>
  </si>
  <si>
    <t>VRFOS011.88_41249</t>
  </si>
  <si>
    <t>LCECL021.13_42318</t>
  </si>
  <si>
    <t>VRWCL036.37_42318</t>
  </si>
  <si>
    <t>SRNFB012.35_42459</t>
  </si>
  <si>
    <t>SRD2E000.12_42311</t>
  </si>
  <si>
    <t>SRUDC000.02_42310</t>
  </si>
  <si>
    <t>SRDCN001.90_42310</t>
  </si>
  <si>
    <t>SRDEV000.38_42304</t>
  </si>
  <si>
    <t>LCLCR326.41_42303</t>
  </si>
  <si>
    <t>LCLCR324.92_42303</t>
  </si>
  <si>
    <t>LCLCR349.82_42303</t>
  </si>
  <si>
    <t>VRVER129.75_41254</t>
  </si>
  <si>
    <t>CLGLR007.11_41367</t>
  </si>
  <si>
    <t>LCROS000.25_41715</t>
  </si>
  <si>
    <t>VRVER165.07_41254</t>
  </si>
  <si>
    <t>SRFIS010.92_42298</t>
  </si>
  <si>
    <t>SPSPR144.76_42297</t>
  </si>
  <si>
    <t>SRCYN045.73_41696</t>
  </si>
  <si>
    <t>SRSNK001.33_42297</t>
  </si>
  <si>
    <t>SRNBE000.86_42297</t>
  </si>
  <si>
    <t>CLGLR011.17_41289</t>
  </si>
  <si>
    <t>SRHAG013.09_41696</t>
  </si>
  <si>
    <t>SPARA026.35_41260</t>
  </si>
  <si>
    <t>SCSON015.35_41248</t>
  </si>
  <si>
    <t>VRFOS010.48_42290</t>
  </si>
  <si>
    <t>SCSON015.51_41248</t>
  </si>
  <si>
    <t>LCNUT013.33_42264</t>
  </si>
  <si>
    <t>LCLCR325.37_42263</t>
  </si>
  <si>
    <t>LCLCR328.04_42263</t>
  </si>
  <si>
    <t>LCLCR324.92_42263</t>
  </si>
  <si>
    <t>UGGLR446.02_41283</t>
  </si>
  <si>
    <t>UGBON006.41_41281</t>
  </si>
  <si>
    <t>UGSFR034.57_41282</t>
  </si>
  <si>
    <t>UGEAG011.09_41281</t>
  </si>
  <si>
    <t>VRWCL010.66_41604</t>
  </si>
  <si>
    <t>LCSHL031.05_41534</t>
  </si>
  <si>
    <t>MGSSW000.38_41298</t>
  </si>
  <si>
    <t>VREVR046.18_41304</t>
  </si>
  <si>
    <t>SCSON015.35_41318</t>
  </si>
  <si>
    <t>VREVR034.80_41303</t>
  </si>
  <si>
    <t>VREVR016.28_41303</t>
  </si>
  <si>
    <t>MGSLR003.96_41332</t>
  </si>
  <si>
    <t>VRELL000.18_41304</t>
  </si>
  <si>
    <t>VRWBV002.97_41312</t>
  </si>
  <si>
    <t>SRUUE000.03_42249</t>
  </si>
  <si>
    <t>LCECL009.39_41590</t>
  </si>
  <si>
    <t>SPSPR015.42_41327</t>
  </si>
  <si>
    <t>SCCIE002.89_41332</t>
  </si>
  <si>
    <t>BWTRT002.43_41339</t>
  </si>
  <si>
    <t>UGSFR006.42_41333</t>
  </si>
  <si>
    <t>UGGLR446.02_41333</t>
  </si>
  <si>
    <t>BWBRO029.91_41346</t>
  </si>
  <si>
    <t>LCWLR000.92_42233</t>
  </si>
  <si>
    <t>UGEAG011.09_41332</t>
  </si>
  <si>
    <t>VREVR023.39_41347</t>
  </si>
  <si>
    <t>VRSPN002.92_42229</t>
  </si>
  <si>
    <t>VRVER165.07_41330</t>
  </si>
  <si>
    <t>VRSYW001.72_41330</t>
  </si>
  <si>
    <t>VRVER137.53_41330</t>
  </si>
  <si>
    <t>VRVER129.75_41330</t>
  </si>
  <si>
    <t>VREVR023.59_41352</t>
  </si>
  <si>
    <t>VRFOS011.88_41351</t>
  </si>
  <si>
    <t>VRPIE008.19_41351</t>
  </si>
  <si>
    <t>CGVGR044.58_41331</t>
  </si>
  <si>
    <t>SRCHE011.90_41353</t>
  </si>
  <si>
    <t>VRFOS010.48_42193</t>
  </si>
  <si>
    <t>BWBWR025.86_41353</t>
  </si>
  <si>
    <t>SRDEV000.38_41353</t>
  </si>
  <si>
    <t>MGSSW000.38_42031</t>
  </si>
  <si>
    <t>LCHAL008.83_41543</t>
  </si>
  <si>
    <t>LCELR008.70_41542</t>
  </si>
  <si>
    <t>LCLVL001.32_41542</t>
  </si>
  <si>
    <t>LCSLR001.42_41541</t>
  </si>
  <si>
    <t>VREVR051.15_41535</t>
  </si>
  <si>
    <t>VRVER129.75_41386</t>
  </si>
  <si>
    <t>LCROS000.25_41534</t>
  </si>
  <si>
    <t>LCWLR001.23_41534</t>
  </si>
  <si>
    <t>SRTON059.43_41534</t>
  </si>
  <si>
    <t>SPARA019.41_42094</t>
  </si>
  <si>
    <t>SRSNK001.33_42234</t>
  </si>
  <si>
    <t>UGFRY009.52_42058</t>
  </si>
  <si>
    <t>UGBLR046.35_41575</t>
  </si>
  <si>
    <t>VREVR016.28_41481</t>
  </si>
  <si>
    <t>VREVR023.39_41481</t>
  </si>
  <si>
    <t>SRBLR102.24_41415</t>
  </si>
  <si>
    <t>UGCMB004.23_41415</t>
  </si>
  <si>
    <t>LCLCR343.85_42459</t>
  </si>
  <si>
    <t>SRSNK001.33_42458</t>
  </si>
  <si>
    <t>LCSLR000.25_42165</t>
  </si>
  <si>
    <t>LCLCR325.37_42164</t>
  </si>
  <si>
    <t>LCLCR340.02_42164</t>
  </si>
  <si>
    <t>LCHAL008.83_41715</t>
  </si>
  <si>
    <t>UGSFR018.37_42144</t>
  </si>
  <si>
    <t>MGLAS004.52_42431</t>
  </si>
  <si>
    <t>UGEAG049.82_41535</t>
  </si>
  <si>
    <t>MGHSR113.09_42423</t>
  </si>
  <si>
    <t>SRWLD000.86_41744</t>
  </si>
  <si>
    <t>CLGLR011.17_41773</t>
  </si>
  <si>
    <t>SPARA019.41_41912</t>
  </si>
  <si>
    <t>LCSIL027.05_41591</t>
  </si>
  <si>
    <t>LCSHL031.05_41591</t>
  </si>
  <si>
    <t>LCCHC073.26_41591</t>
  </si>
  <si>
    <t>SRD2E000.12_42249</t>
  </si>
  <si>
    <t>UGEEG001.57_42087</t>
  </si>
  <si>
    <t>LCLCR323.60_41689</t>
  </si>
  <si>
    <t>BWFRA001.04_42353</t>
  </si>
  <si>
    <t>MGLAS004.52_42081</t>
  </si>
  <si>
    <t>LCLCR335.06_42025</t>
  </si>
  <si>
    <t>SRSTI000.38_41744</t>
  </si>
  <si>
    <t>UGSFR151.22_42053</t>
  </si>
  <si>
    <t>SREFB008.27_41743</t>
  </si>
  <si>
    <t>UGCOL003.48_42052</t>
  </si>
  <si>
    <t>LCCHC073.26_41541</t>
  </si>
  <si>
    <t>UGEAG056.85_41725</t>
  </si>
  <si>
    <t>CLGLR011.17_41724</t>
  </si>
  <si>
    <t>LCECL009.39_41724</t>
  </si>
  <si>
    <t>LCLCR349.82_42459</t>
  </si>
  <si>
    <t>UGKPK011.18_41957</t>
  </si>
  <si>
    <t>LCBIL000.15_41722</t>
  </si>
  <si>
    <t>LCSHL031.05_41722</t>
  </si>
  <si>
    <t>LCLCR326.41_42458</t>
  </si>
  <si>
    <t>UGBLR030.24_41716</t>
  </si>
  <si>
    <t>LCLCR336.89_42025</t>
  </si>
  <si>
    <t>LCNUT015.01_42024</t>
  </si>
  <si>
    <t>LCLCR340.02_42024</t>
  </si>
  <si>
    <t>LCWLR001.23_41715</t>
  </si>
  <si>
    <t>LCSLR001.42_41715</t>
  </si>
  <si>
    <t>LCECL021.13_42452</t>
  </si>
  <si>
    <t>SRTON058.63_41696</t>
  </si>
  <si>
    <t>SRTON059.43_41696</t>
  </si>
  <si>
    <t>VREVR051.15_41696</t>
  </si>
  <si>
    <t>SRWRK002.83_42437</t>
  </si>
  <si>
    <t>UGEAG056.85_41535</t>
  </si>
  <si>
    <t>VRWCL010.66_41695</t>
  </si>
  <si>
    <t>LCLCR336.72_41689</t>
  </si>
  <si>
    <t>CLGLR013.33_41653</t>
  </si>
  <si>
    <t>UGEAG013.81_41956</t>
  </si>
  <si>
    <t>LCLCR326.41_42263</t>
  </si>
  <si>
    <t>UGSFR151.22_41948</t>
  </si>
  <si>
    <t>SRCYN045.73_41534</t>
  </si>
  <si>
    <t>SPSPR006.75_41934</t>
  </si>
  <si>
    <t>SRHAG013.09_41570</t>
  </si>
  <si>
    <t>UGEAG049.82_41598</t>
  </si>
  <si>
    <t>UGEAG056.85_41598</t>
  </si>
  <si>
    <t>CLGLR007.11_41596</t>
  </si>
  <si>
    <t>LCBIL000.15_41591</t>
  </si>
  <si>
    <t>SRUNF002.31_41568</t>
  </si>
  <si>
    <t>UGEAG013.81_42087</t>
  </si>
  <si>
    <t>SRBWL005.79_42235</t>
  </si>
  <si>
    <t>UGSFR006.42_42086</t>
  </si>
  <si>
    <t>LCLVL001.32_41576</t>
  </si>
  <si>
    <t>SRCDY002.95_42234</t>
  </si>
  <si>
    <t>SPARA010.19_42030</t>
  </si>
  <si>
    <t>LCWLR001.23_41575</t>
  </si>
  <si>
    <t>UGBLR030.24_41575</t>
  </si>
  <si>
    <t>SPSPR144.76_42325</t>
  </si>
  <si>
    <t>UGCOL003.48_41886</t>
  </si>
  <si>
    <t>SRCYN045.73_41569</t>
  </si>
  <si>
    <t>SRTON059.43_41569</t>
  </si>
  <si>
    <t>SRWLD000.86_41569</t>
  </si>
  <si>
    <t>SREFB008.27_41569</t>
  </si>
  <si>
    <t>SRSTI000.38_41569</t>
  </si>
  <si>
    <t>SRUEF000.87_42296</t>
  </si>
  <si>
    <t>SRUEF000.87_42459</t>
  </si>
  <si>
    <t>SRSLR139.75_42278</t>
  </si>
  <si>
    <t>LCELR005.67_41543</t>
  </si>
  <si>
    <t>VRWCL010.66_41543</t>
  </si>
  <si>
    <t>SRPNT027.51_41871</t>
  </si>
  <si>
    <t>LCLCR347.91_42303</t>
  </si>
  <si>
    <t>LCECL009.39_41540</t>
  </si>
  <si>
    <t>UGSFR012.54_42144</t>
  </si>
  <si>
    <t>UGSFR011.68_42144</t>
  </si>
  <si>
    <t>UGCAV016.84_41967</t>
  </si>
  <si>
    <t>LCLCR336.72_41535</t>
  </si>
  <si>
    <t>SRNFB012.35_42296</t>
  </si>
  <si>
    <t>LCLCR347.91_42039</t>
  </si>
  <si>
    <t>UGBLR028.77_41905</t>
  </si>
  <si>
    <t>SRFIS010.92_42234</t>
  </si>
  <si>
    <t>VRWOK000.82_42332</t>
  </si>
  <si>
    <t>SRSTI000.38_41534</t>
  </si>
  <si>
    <t>SRWLD000.86_41534</t>
  </si>
  <si>
    <t>MGHSR000.77_41533</t>
  </si>
  <si>
    <t>LCLVL001.32_42250</t>
  </si>
  <si>
    <t>LCSIL027.05_41533</t>
  </si>
  <si>
    <t>SPSPR134.35_42325</t>
  </si>
  <si>
    <t>SRGIB000.11_42037</t>
  </si>
  <si>
    <t>UGSTO003.44_42052</t>
  </si>
  <si>
    <t>VRWEB010.36_42299</t>
  </si>
  <si>
    <t>LCNUT013.33_42164</t>
  </si>
  <si>
    <t>UGCAV016.84_41892</t>
  </si>
  <si>
    <t>UGBLR028.77_42053</t>
  </si>
  <si>
    <t>SPSPR134.35_42466</t>
  </si>
  <si>
    <t>UGNCV000.16_42044</t>
  </si>
  <si>
    <t>VRBON002.71_42227</t>
  </si>
  <si>
    <t>SRHRS001.41_42249</t>
  </si>
  <si>
    <t>LCLCR349.82_42039</t>
  </si>
  <si>
    <t>SRFIS010.92_42457</t>
  </si>
  <si>
    <t>LCLCR324.92_42458</t>
  </si>
  <si>
    <t>VRSPN002.92_42410</t>
  </si>
  <si>
    <t>LCLCR340.65_42164</t>
  </si>
  <si>
    <t>LCLCR324.92_42164</t>
  </si>
  <si>
    <t>SPARA019.41_41989</t>
  </si>
  <si>
    <t>SRREY001.14_42437</t>
  </si>
  <si>
    <t>VROAK042.78_42229</t>
  </si>
  <si>
    <t>UGNCV000.16_41967</t>
  </si>
  <si>
    <t>UGBLR028.77_41961</t>
  </si>
  <si>
    <t>VREVR023.23_42240</t>
  </si>
  <si>
    <t>LCELR000.13_42233</t>
  </si>
  <si>
    <t>SRPNT027.51_42377</t>
  </si>
  <si>
    <t>LCNUT015.01_42264</t>
  </si>
  <si>
    <t>VRWOK000.82_42229</t>
  </si>
  <si>
    <t>SRUDC000.02_42234</t>
  </si>
  <si>
    <t>VRWOK000.82_42410</t>
  </si>
  <si>
    <t>LCECL021.13_42227</t>
  </si>
  <si>
    <t>VRWCL036.37_42256</t>
  </si>
  <si>
    <t>UGBON000.17_42086</t>
  </si>
  <si>
    <t>UGEAG013.81_41884</t>
  </si>
  <si>
    <t>SRDEV000.38_42256</t>
  </si>
  <si>
    <t>SRBEV007.28_42425</t>
  </si>
  <si>
    <t>LCSTS000.01_42040</t>
  </si>
  <si>
    <t>SRNFB012.35_42249</t>
  </si>
  <si>
    <t>UGCAV016.84_42044</t>
  </si>
  <si>
    <t>UGUCA000.02_41892</t>
  </si>
  <si>
    <t>SRHAY003.25_42250</t>
  </si>
  <si>
    <t>BWFRA001.04_42249</t>
  </si>
  <si>
    <t>VRSPN002.92_42332</t>
  </si>
  <si>
    <t>UGCOL003.48_41960</t>
  </si>
  <si>
    <t>SRCDY002.95_42298</t>
  </si>
  <si>
    <t>UGSFR006.42_41955</t>
  </si>
  <si>
    <t>SRDCN001.90_42234</t>
  </si>
  <si>
    <t>SPSPR134.35_42297</t>
  </si>
  <si>
    <t>MGHSR048.20_42039</t>
  </si>
  <si>
    <t>SPSPR120.47_42296</t>
  </si>
  <si>
    <t>VRWEB010.36_42256</t>
  </si>
  <si>
    <t>SRHAY003.25_42458</t>
  </si>
  <si>
    <t>SRWRK002.83_42325</t>
  </si>
  <si>
    <t>VRFOS010.48_42493</t>
  </si>
  <si>
    <t>MGHSR110.58_42528</t>
  </si>
  <si>
    <t>UGSFR151.22_41886</t>
  </si>
  <si>
    <t>SRUUE000.03_42296</t>
  </si>
  <si>
    <t>VROAK042.78_42410</t>
  </si>
  <si>
    <t>SRNBE000.86_42458</t>
  </si>
  <si>
    <t>SRGIB000.11_42377</t>
  </si>
  <si>
    <t>VROAK042.78_42332</t>
  </si>
  <si>
    <t>LCMRS043.17_39169</t>
  </si>
  <si>
    <t>UGSFR034.57_38572</t>
  </si>
  <si>
    <t>SRPNT027.51_39301</t>
  </si>
  <si>
    <t>UGEAG011.51_39301</t>
  </si>
  <si>
    <t>UGCOL003.48_38580</t>
  </si>
  <si>
    <t>UGGLR448.61_39300</t>
  </si>
  <si>
    <t>SCSAB005.40_38587</t>
  </si>
  <si>
    <t>UGBON000.17_38623</t>
  </si>
  <si>
    <t>UGA1H011.08_38624</t>
  </si>
  <si>
    <t>SCNGW004.87_38672</t>
  </si>
  <si>
    <t>MGHSR000.77_39947</t>
  </si>
  <si>
    <t>SPSPR127.50_38748</t>
  </si>
  <si>
    <t>SPSPR134.35_38748</t>
  </si>
  <si>
    <t>SPSPR144.76_38748</t>
  </si>
  <si>
    <t>SPSPR150.09_38748</t>
  </si>
  <si>
    <t>SPSPR101.25_38749</t>
  </si>
  <si>
    <t>SPSPR105.49_38749</t>
  </si>
  <si>
    <t>SPSPR120.47_38749</t>
  </si>
  <si>
    <t>LCLCR222.38_38774</t>
  </si>
  <si>
    <t>SPMLC013.56_39884</t>
  </si>
  <si>
    <t>SCSON018.31_38818</t>
  </si>
  <si>
    <t>UGGLR452.43_38832</t>
  </si>
  <si>
    <t>UGETK011.80_38846</t>
  </si>
  <si>
    <t>UGNCV000.04_38846</t>
  </si>
  <si>
    <t>MGSSW000.38_41193</t>
  </si>
  <si>
    <t>SPSPR101.25_38925</t>
  </si>
  <si>
    <t>SPSPR127.50_38925</t>
  </si>
  <si>
    <t>SPSPR150.09_38925</t>
  </si>
  <si>
    <t>SPSPR101.25_38936</t>
  </si>
  <si>
    <t>SPSPR127.50_38936</t>
  </si>
  <si>
    <t>SPSPR144.76_38936</t>
  </si>
  <si>
    <t>SPSPR150.09_38936</t>
  </si>
  <si>
    <t>SPRMC010.62_38946</t>
  </si>
  <si>
    <t>SPSPR120.47_38946</t>
  </si>
  <si>
    <t>SPSPR105.49_38946</t>
  </si>
  <si>
    <t>SPSPR105.49_38959</t>
  </si>
  <si>
    <t>SPRMC010.62_38960</t>
  </si>
  <si>
    <t>LCECL040.69_39034</t>
  </si>
  <si>
    <t>LCNUT012.99_39034</t>
  </si>
  <si>
    <t>SCSYR004.21_39784</t>
  </si>
  <si>
    <t>UGTRY001.56_39771</t>
  </si>
  <si>
    <t>LCLVL001.32_39035</t>
  </si>
  <si>
    <t>LCELR007.19_39035</t>
  </si>
  <si>
    <t>LCMRS043.17_39035</t>
  </si>
  <si>
    <t>LCMLK001.18_39035</t>
  </si>
  <si>
    <t>UGLAN000.60_39770</t>
  </si>
  <si>
    <t>LCSIL024.83_39036</t>
  </si>
  <si>
    <t>LCRIG004.87_39036</t>
  </si>
  <si>
    <t>LCBEN002.57_39036</t>
  </si>
  <si>
    <t>SCSON016.78_39042</t>
  </si>
  <si>
    <t>LCBRB006.74_39050</t>
  </si>
  <si>
    <t>SPSPR127.50_39057</t>
  </si>
  <si>
    <t>SPSPR150.09_39057</t>
  </si>
  <si>
    <t>SPSPR101.25_39058</t>
  </si>
  <si>
    <t>LCLCR216.67_39139</t>
  </si>
  <si>
    <t>LCLCR200.23_39140</t>
  </si>
  <si>
    <t>LCLCR206.75_39140</t>
  </si>
  <si>
    <t>SCSYR004.21_39680</t>
  </si>
  <si>
    <t>LCRIG004.87_39169</t>
  </si>
  <si>
    <t>LCLVL001.32_39191</t>
  </si>
  <si>
    <t>LCECL040.69_39203</t>
  </si>
  <si>
    <t>LCECL040.69_39219</t>
  </si>
  <si>
    <t>CLGLR010.53_39232</t>
  </si>
  <si>
    <t>LCHAL008.83_39237</t>
  </si>
  <si>
    <t>LCSIL027.05_40302</t>
  </si>
  <si>
    <t>LCWAN002.19_39260</t>
  </si>
  <si>
    <t>LCBIL000.01_40246</t>
  </si>
  <si>
    <t>SCSCR099.40_39261</t>
  </si>
  <si>
    <t>SCSCR096.72_39261</t>
  </si>
  <si>
    <t>SCSCR111.66_39261</t>
  </si>
  <si>
    <t>UGGLR448.61_39262</t>
  </si>
  <si>
    <t>BWCBW009.00_40201</t>
  </si>
  <si>
    <t>SRCOO001.92_39617</t>
  </si>
  <si>
    <t>SRCHE013.65_39617</t>
  </si>
  <si>
    <t>SRWPN004.47_39616</t>
  </si>
  <si>
    <t>SRPNL005.12_39616</t>
  </si>
  <si>
    <t>SRCGN009.78_39616</t>
  </si>
  <si>
    <t>SRSNK001.33_39588</t>
  </si>
  <si>
    <t>LCLCR206.75_40063</t>
  </si>
  <si>
    <t>LCLCR206.75_40014</t>
  </si>
  <si>
    <t>SRHAY000.04_39561</t>
  </si>
  <si>
    <t>SRBON001.69_39560</t>
  </si>
  <si>
    <t>VRSPN000.78_39533</t>
  </si>
  <si>
    <t>SRCHE013.65_39528</t>
  </si>
  <si>
    <t>SRPNT027.51_39475</t>
  </si>
  <si>
    <t>SRPNT028.85_39475</t>
  </si>
  <si>
    <t>SCSCR039.63_40598</t>
  </si>
  <si>
    <t>SRPNT027.51_39427</t>
  </si>
  <si>
    <t>SRPNT028.85_39427</t>
  </si>
  <si>
    <t>SRGIB000.11_39427</t>
  </si>
  <si>
    <t>UGGLR485.91_39426</t>
  </si>
  <si>
    <t>UGGLR501.45_39426</t>
  </si>
  <si>
    <t>UGGLR515.55_39426</t>
  </si>
  <si>
    <t>UGGLR471.49_39425</t>
  </si>
  <si>
    <t>SRSLR139.75_40527</t>
  </si>
  <si>
    <t>UGSFR006.42_39425</t>
  </si>
  <si>
    <t>UGGLR448.61_39424</t>
  </si>
  <si>
    <t>UGGLR451.46_39424</t>
  </si>
  <si>
    <t>UGGLR452.43_39424</t>
  </si>
  <si>
    <t>SRPNT027.51_39417</t>
  </si>
  <si>
    <t>SRPNT028.85_39417</t>
  </si>
  <si>
    <t>SRGIB000.11_39417</t>
  </si>
  <si>
    <t>UGGLR448.61_39402</t>
  </si>
  <si>
    <t>UGGLR501.45_39401</t>
  </si>
  <si>
    <t>UGGLR471.49_39400</t>
  </si>
  <si>
    <t>UGGLR451.46_39399</t>
  </si>
  <si>
    <t>VRPIE000.29_39399</t>
  </si>
  <si>
    <t>VREVR045.50_39399</t>
  </si>
  <si>
    <t>VRWBV012.56_39393</t>
  </si>
  <si>
    <t>SRBGY002.86_40463</t>
  </si>
  <si>
    <t>VRVER107.53_39392</t>
  </si>
  <si>
    <t>SRBWL005.79_39386</t>
  </si>
  <si>
    <t>LCWAN002.19_39385</t>
  </si>
  <si>
    <t>UGGLR448.61_39380</t>
  </si>
  <si>
    <t>SRSTI000.38_39378</t>
  </si>
  <si>
    <t>SRHAY000.04_39378</t>
  </si>
  <si>
    <t>SRBEV001.40_39378</t>
  </si>
  <si>
    <t>SRBEV007.28_39377</t>
  </si>
  <si>
    <t>SRTON046.90_39367</t>
  </si>
  <si>
    <t>VRSPN000.78_39359</t>
  </si>
  <si>
    <t>VRELL009.02_40402</t>
  </si>
  <si>
    <t>VRWOK000.82_39357</t>
  </si>
  <si>
    <t>VRWBV012.56_39323</t>
  </si>
  <si>
    <t>SRCGN009.78_39323</t>
  </si>
  <si>
    <t>LCWAN002.19_39321</t>
  </si>
  <si>
    <t>VRPIE000.29_39309</t>
  </si>
  <si>
    <t>VRSPN000.78_39308</t>
  </si>
  <si>
    <t>SRGIB000.11_42034</t>
  </si>
  <si>
    <t>UGGLR485.91_39302</t>
  </si>
  <si>
    <t>UGGLR501.45_39302</t>
  </si>
  <si>
    <t>UGGLR515.55_39302</t>
  </si>
  <si>
    <t>SRPNT028.85_39301</t>
  </si>
  <si>
    <t>SRGIB000.11_39301</t>
  </si>
  <si>
    <t>UGGLR471.49_39301</t>
  </si>
  <si>
    <t>UGSFR006.42_39301</t>
  </si>
  <si>
    <t>UGGLR451.46_39300</t>
  </si>
  <si>
    <t>UGGLR452.43_39300</t>
  </si>
  <si>
    <t>UGKPK011.18_41025</t>
  </si>
  <si>
    <t>LCWAN002.19_39288</t>
  </si>
  <si>
    <t>UGGLR471.49_39274</t>
  </si>
  <si>
    <t>UGGLR467.02_39274</t>
  </si>
  <si>
    <t>UGGLR466.91_39274</t>
  </si>
  <si>
    <t>LCLCR206.75_39956</t>
  </si>
  <si>
    <t>SPSPR015.42_40945</t>
  </si>
  <si>
    <t>LCLCR206.75_39955</t>
  </si>
  <si>
    <t>BWCBW009.38_39953</t>
  </si>
  <si>
    <t>MGGLR313.73_39946</t>
  </si>
  <si>
    <t>UGBLR008.19_40856</t>
  </si>
  <si>
    <t>UGLAN000.60_39904</t>
  </si>
  <si>
    <t>UGTRY001.56_39904</t>
  </si>
  <si>
    <t>UGCOL003.48_39903</t>
  </si>
  <si>
    <t>UGSFR006.08_39890</t>
  </si>
  <si>
    <t>UGBON006.41_39884</t>
  </si>
  <si>
    <t>SCSYR004.21_39875</t>
  </si>
  <si>
    <t>SPARA013.78_39855</t>
  </si>
  <si>
    <t>SPSPR059.21_39853</t>
  </si>
  <si>
    <t>BWBWR009.92_41165</t>
  </si>
  <si>
    <t>MGGLR313.73_39827</t>
  </si>
  <si>
    <t>BWCBW009.00_39808</t>
  </si>
  <si>
    <t>BWCBW009.00_39801</t>
  </si>
  <si>
    <t>UGBON006.41_39798</t>
  </si>
  <si>
    <t>BWCBW009.00_39798</t>
  </si>
  <si>
    <t>SRGIB000.11_42374</t>
  </si>
  <si>
    <t>SRPNT027.51_42362</t>
  </si>
  <si>
    <t>UGKPK011.18_39771</t>
  </si>
  <si>
    <t>UGSFR006.08_39771</t>
  </si>
  <si>
    <t>CLGLR010.53_41232</t>
  </si>
  <si>
    <t>UGSFR151.22_39769</t>
  </si>
  <si>
    <t>UGCOL003.48_39769</t>
  </si>
  <si>
    <t>MGGLR313.73_39764</t>
  </si>
  <si>
    <t>VRWBV012.56_41248</t>
  </si>
  <si>
    <t>MGHSR000.77_39762</t>
  </si>
  <si>
    <t>BWPEE003.51_41262</t>
  </si>
  <si>
    <t>SRGIB000.11_41698</t>
  </si>
  <si>
    <t>MGAFR087.06_39741</t>
  </si>
  <si>
    <t>MGHSR110.58_39741</t>
  </si>
  <si>
    <t>UGBON006.41_39737</t>
  </si>
  <si>
    <t>MGGLR313.73_39707</t>
  </si>
  <si>
    <t>UGSFR006.08_39687</t>
  </si>
  <si>
    <t>BWCBW009.10_39681</t>
  </si>
  <si>
    <t>SCCIE019.90_39679</t>
  </si>
  <si>
    <t>MGHSR048.20_39675</t>
  </si>
  <si>
    <t>SPBHC004.31_41319</t>
  </si>
  <si>
    <t>LCLCR336.72_40303</t>
  </si>
  <si>
    <t>CGVGR039.41_40295</t>
  </si>
  <si>
    <t>CGVGR052.23_40295</t>
  </si>
  <si>
    <t>BWBSR015.60_40270</t>
  </si>
  <si>
    <t>LCSIL027.05_40246</t>
  </si>
  <si>
    <t>CGVGR052.23_40246</t>
  </si>
  <si>
    <t>CGVGR039.41_40246</t>
  </si>
  <si>
    <t>CGBDW000.99_40246</t>
  </si>
  <si>
    <t>BWBSR034.68_40233</t>
  </si>
  <si>
    <t>BWBSR037.79_40233</t>
  </si>
  <si>
    <t>BWBWR038.52_40231</t>
  </si>
  <si>
    <t>BWBWR025.86_40231</t>
  </si>
  <si>
    <t>CGVGR039.41_40127</t>
  </si>
  <si>
    <t>CGBDW000.99_40127</t>
  </si>
  <si>
    <t>CGMON000.19_40103</t>
  </si>
  <si>
    <t>LCFIS003.86_40085</t>
  </si>
  <si>
    <t>LCLVL001.32_40078</t>
  </si>
  <si>
    <t>LCLCR212.96_40063</t>
  </si>
  <si>
    <t>LCLCR216.67_40063</t>
  </si>
  <si>
    <t>LCLCR226.31_40063</t>
  </si>
  <si>
    <t>LCSIL000.06_40063</t>
  </si>
  <si>
    <t>LCLCR206.75_40062</t>
  </si>
  <si>
    <t>LCLCR206.75_40061</t>
  </si>
  <si>
    <t>LCLCR226.31_40032</t>
  </si>
  <si>
    <t>LCLCR226.31_40031</t>
  </si>
  <si>
    <t>LCLCR226.31_40015</t>
  </si>
  <si>
    <t>LCLCR206.75_40015</t>
  </si>
  <si>
    <t>CLGLR010.53_41596</t>
  </si>
  <si>
    <t>SPSPR150.09_41905</t>
  </si>
  <si>
    <t>VRWEB009.13_40716</t>
  </si>
  <si>
    <t>SPCOP010.29_40715</t>
  </si>
  <si>
    <t>SPCOP009.81_40715</t>
  </si>
  <si>
    <t>SRCKN001.61_40668</t>
  </si>
  <si>
    <t>SRBWL005.79_40667</t>
  </si>
  <si>
    <t>VRWLK000.99_40658</t>
  </si>
  <si>
    <t>SRBGY002.86_40653</t>
  </si>
  <si>
    <t>VREVR002.62_40633</t>
  </si>
  <si>
    <t>SRSLR139.75_40626</t>
  </si>
  <si>
    <t>SRCHE013.65_40625</t>
  </si>
  <si>
    <t>SREFB008.27_41533</t>
  </si>
  <si>
    <t>SRCHE013.65_40526</t>
  </si>
  <si>
    <t>SRREY001.14_40526</t>
  </si>
  <si>
    <t>MGAFR087.35_40766</t>
  </si>
  <si>
    <t>VRWLK000.99_40498</t>
  </si>
  <si>
    <t>SCSON018.31_40492</t>
  </si>
  <si>
    <t>VRFOS011.88_40484</t>
  </si>
  <si>
    <t>VRWEB009.13_40478</t>
  </si>
  <si>
    <t>VRELL009.02_40477</t>
  </si>
  <si>
    <t>SRCKN001.61_40462</t>
  </si>
  <si>
    <t>SRCHE013.65_40442</t>
  </si>
  <si>
    <t>SRRES000.33_40423</t>
  </si>
  <si>
    <t>VRVER129.75_41148</t>
  </si>
  <si>
    <t>VRPIE008.19_40389</t>
  </si>
  <si>
    <t>VRWLK000.99_40379</t>
  </si>
  <si>
    <t>VRPIE016.49_40379</t>
  </si>
  <si>
    <t>SRSLR139.75_40378</t>
  </si>
  <si>
    <t>SRPNT027.51_42065</t>
  </si>
  <si>
    <t>CLGLR011.17_41080</t>
  </si>
  <si>
    <t>CLGLR010.53_41079</t>
  </si>
  <si>
    <t>CLGLR008.81_41079</t>
  </si>
  <si>
    <t>SPGRA007.71_41046</t>
  </si>
  <si>
    <t>SCSCR039.63_42033</t>
  </si>
  <si>
    <t>SPRMC011.11_41968</t>
  </si>
  <si>
    <t>SPSPR150.09_41967</t>
  </si>
  <si>
    <t>MGHSR058.80_41940</t>
  </si>
  <si>
    <t>MGHSR048.20_40996</t>
  </si>
  <si>
    <t>MGLAS004.52_40995</t>
  </si>
  <si>
    <t>MGSYD009.13_40995</t>
  </si>
  <si>
    <t>UGFRY009.52_41906</t>
  </si>
  <si>
    <t>SRBLR070.45_40969</t>
  </si>
  <si>
    <t>SPSPR126.35_40961</t>
  </si>
  <si>
    <t>MGAFR087.35_40953</t>
  </si>
  <si>
    <t>UGLIT002.62_41886</t>
  </si>
  <si>
    <t>SPSPR126.35_40926</t>
  </si>
  <si>
    <t>MGHSR048.20_40884</t>
  </si>
  <si>
    <t>SRCHE013.65_41353</t>
  </si>
  <si>
    <t>SCSCR039.63_41878</t>
  </si>
  <si>
    <t>SPTUR028.53_40883</t>
  </si>
  <si>
    <t>SPSPR015.42_40882</t>
  </si>
  <si>
    <t>UGKPK011.18_40842</t>
  </si>
  <si>
    <t>SRBLR070.45_40841</t>
  </si>
  <si>
    <t>SPCOP009.81_40836</t>
  </si>
  <si>
    <t>SRTON058.63_41534</t>
  </si>
  <si>
    <t>SRSLR139.75_42416</t>
  </si>
  <si>
    <t>UGEAG040.33_40799</t>
  </si>
  <si>
    <t>MGHSR048.20_40792</t>
  </si>
  <si>
    <t>MGSYD009.13_40787</t>
  </si>
  <si>
    <t>SRCKN001.61_40772</t>
  </si>
  <si>
    <t>UGKPK011.18_40772</t>
  </si>
  <si>
    <t>SRBLR070.45_40771</t>
  </si>
  <si>
    <t>MGAFR087.06_40766</t>
  </si>
  <si>
    <t>SPSPR015.42_40764</t>
  </si>
  <si>
    <t>UGSFR012.85_40729</t>
  </si>
  <si>
    <t>MGHSR000.77_41143</t>
  </si>
  <si>
    <t>BWBSR037.79_41135</t>
  </si>
  <si>
    <t>SPBHC004.31_41138</t>
  </si>
  <si>
    <t>VRWBV012.56_41114</t>
  </si>
  <si>
    <t>MGLSY000.42_41113</t>
  </si>
  <si>
    <t>SRPNT027.51_42405</t>
  </si>
  <si>
    <t>SRGIB000.11_42405</t>
  </si>
  <si>
    <t>BWPEE003.51_41205</t>
  </si>
  <si>
    <t>SRGIB000.11_42375</t>
  </si>
  <si>
    <t>SRCHE013.65_41220</t>
  </si>
  <si>
    <t>BWBSR037.79_41241</t>
  </si>
  <si>
    <t>BWTRT002.43_41241</t>
  </si>
  <si>
    <t>SPSPR113.49_42326</t>
  </si>
  <si>
    <t>SPSPR150.09_42325</t>
  </si>
  <si>
    <t>SPMLC013.56_42045</t>
  </si>
  <si>
    <t>CLGLR007.11_41232</t>
  </si>
  <si>
    <t>VRSYW001.72_41254</t>
  </si>
  <si>
    <t>CGCLR714.16_42284</t>
  </si>
  <si>
    <t>CLGLR010.53_41288</t>
  </si>
  <si>
    <t>VRWBV012.56_41311</t>
  </si>
  <si>
    <t>BWPEE003.51_41319</t>
  </si>
  <si>
    <t>LCLCR323.60_41556</t>
  </si>
  <si>
    <t>CLGLR010.53_41367</t>
  </si>
  <si>
    <t>SPSPR109.75_42326</t>
  </si>
  <si>
    <t>BWBOU007.83_41415</t>
  </si>
  <si>
    <t>SRTON058.63_41569</t>
  </si>
  <si>
    <t>SPSPR150.09_42073</t>
  </si>
  <si>
    <t>SPRMC011.11_41893</t>
  </si>
  <si>
    <t>LCROS000.25_41575</t>
  </si>
  <si>
    <t>SPRMC011.11_42045</t>
  </si>
  <si>
    <t>LCLCR336.72_41612</t>
  </si>
  <si>
    <t>LCLCR323.60_41612</t>
  </si>
  <si>
    <t>MGAFR110.01_41940</t>
  </si>
  <si>
    <t>CGCLR714.16_42228</t>
  </si>
  <si>
    <t>MGAFR110.01_41884</t>
  </si>
  <si>
    <t>MGHSR058.80_42039</t>
  </si>
  <si>
    <t>LCWAN002.19_42138</t>
  </si>
  <si>
    <t>CGCLR698.93_42423</t>
  </si>
  <si>
    <t>BWBOU007.83_42152</t>
  </si>
  <si>
    <t>VRROU002.93_42116</t>
  </si>
  <si>
    <t>SRWRK002.83_42219</t>
  </si>
  <si>
    <t>CGCLR698.93_42228</t>
  </si>
  <si>
    <t>SPSPR127.50_42325</t>
  </si>
  <si>
    <t>CGCLR714.16_42423</t>
  </si>
  <si>
    <t>SRREY001.14_42262</t>
  </si>
  <si>
    <t>SPMLC012.68_41968</t>
  </si>
  <si>
    <t>SCSCR039.63_41960</t>
  </si>
  <si>
    <t>MGAFR110.01_42031</t>
  </si>
  <si>
    <t>SRSLR139.75_42229</t>
  </si>
  <si>
    <t>SPSPR101.25_42326</t>
  </si>
  <si>
    <t>SPSPR127.50_42297</t>
  </si>
  <si>
    <t>CGCLR698.93_42284</t>
  </si>
  <si>
    <t>SPSPR150.09_42297</t>
  </si>
  <si>
    <t>SPSPR006.75_41906</t>
  </si>
  <si>
    <t>SPSPR127.50_38845</t>
  </si>
  <si>
    <t>SPSPR150.09_38846</t>
  </si>
  <si>
    <t>SPRMC010.62_38846</t>
  </si>
  <si>
    <t>LCLCR346.01_39519</t>
  </si>
  <si>
    <t>LCLCR336.76_39519</t>
  </si>
  <si>
    <t>LCLCR324.92_39518</t>
  </si>
  <si>
    <t>SRTON056.59_41396</t>
  </si>
  <si>
    <t>SRCRS006.20_41396</t>
  </si>
  <si>
    <t>SRTON053.87_41396</t>
  </si>
  <si>
    <t>SRTON062.89_41396</t>
  </si>
  <si>
    <t>SRCRS000.08_41396</t>
  </si>
  <si>
    <t>UGGLR471.49_39140</t>
  </si>
  <si>
    <t>UGGLR485.91_39140</t>
  </si>
  <si>
    <t>UGGLR501.45_39140</t>
  </si>
  <si>
    <t>UGGLR452.43_39141</t>
  </si>
  <si>
    <t>UGBON000.17_39141</t>
  </si>
  <si>
    <t>UGEAG011.51_39141</t>
  </si>
  <si>
    <t>UGSFR006.42_39141</t>
  </si>
  <si>
    <t>UGGLR451.46_39142</t>
  </si>
  <si>
    <t>UGGLR448.61_39142</t>
  </si>
  <si>
    <t>LCLCR206.75_39804</t>
  </si>
  <si>
    <t>SRTON062.89_40847</t>
  </si>
  <si>
    <t>LCLCR206.75_39643</t>
  </si>
  <si>
    <t>LCLCR212.96_39667</t>
  </si>
  <si>
    <t>LCLCR206.75_39666</t>
  </si>
  <si>
    <t>LCLCR226.31_39644</t>
  </si>
  <si>
    <t>LCLCR216.67_39644</t>
  </si>
  <si>
    <t>LCLCR212.96_39643</t>
  </si>
  <si>
    <t>LCLCR200.23_39643</t>
  </si>
  <si>
    <t>LCLCR226.31_39667</t>
  </si>
  <si>
    <t>SPSPR101.25_38946</t>
  </si>
  <si>
    <t>SPSPR127.50_38946</t>
  </si>
  <si>
    <t>SPSPR150.09_38946</t>
  </si>
  <si>
    <t>SPSPR101.25_38959</t>
  </si>
  <si>
    <t>SPSPR127.50_38959</t>
  </si>
  <si>
    <t>SPSPR150.09_38960</t>
  </si>
  <si>
    <t>SPSPR144.76_38960</t>
  </si>
  <si>
    <t>SPRMC010.62_39057</t>
  </si>
  <si>
    <t>SPSPR144.76_39057</t>
  </si>
  <si>
    <t>SPSPR105.49_39058</t>
  </si>
  <si>
    <t>SPSPR120.47_39058</t>
  </si>
  <si>
    <t>UGBON000.17_39166</t>
  </si>
  <si>
    <t>UGGLR448.61_39166</t>
  </si>
  <si>
    <t>UGGLR451.46_39166</t>
  </si>
  <si>
    <t>UGGLR452.43_39166</t>
  </si>
  <si>
    <t>UGGLR471.49_39167</t>
  </si>
  <si>
    <t>UGGLR485.91_39167</t>
  </si>
  <si>
    <t>UGGLR501.45_39167</t>
  </si>
  <si>
    <t>UGEAG011.51_39168</t>
  </si>
  <si>
    <t>UGGLR515.55_39168</t>
  </si>
  <si>
    <t>UGSFR006.42_39168</t>
  </si>
  <si>
    <t>SRGIB000.11_39475</t>
  </si>
  <si>
    <t>VRWBV012.56_39455</t>
  </si>
  <si>
    <t>VROAK002.96_39454</t>
  </si>
  <si>
    <t>VRFOS011.88_39393</t>
  </si>
  <si>
    <t>VRGRA023.85_41486</t>
  </si>
  <si>
    <t>CGCLR698.93_42521</t>
  </si>
  <si>
    <t>CGCLR714.16_42521</t>
  </si>
  <si>
    <t>SRHRS001.41_42542</t>
  </si>
  <si>
    <t>CLGLR010.53_39213</t>
  </si>
  <si>
    <t>UGTRY001.56_39713</t>
  </si>
  <si>
    <t>SCXAL000.01_39660</t>
  </si>
  <si>
    <t>SPSPR127.50_42465</t>
  </si>
  <si>
    <t>SCXAL000.01_39042</t>
  </si>
  <si>
    <t>LCLCR206.75_39726</t>
  </si>
  <si>
    <t>LCLCR206.75_39727</t>
  </si>
  <si>
    <t>LCWAN002.60_39288</t>
  </si>
  <si>
    <t>LCBIL005.75_39288</t>
  </si>
  <si>
    <t>LCWAN002.60_39175</t>
  </si>
  <si>
    <t>LCWAN004.71_39175</t>
  </si>
  <si>
    <t>LCWAN000.58_39177</t>
  </si>
  <si>
    <t>LCBIL005.75_39177</t>
  </si>
  <si>
    <t>LCWAN000.58_39260</t>
  </si>
  <si>
    <t>LCBIL005.75_39260</t>
  </si>
  <si>
    <t>LCWAN002.60_39260</t>
  </si>
  <si>
    <t>VRGRA023.85_39541</t>
  </si>
  <si>
    <t>LCLCR346.01_39532</t>
  </si>
  <si>
    <t>LCLCR336.76_39532</t>
  </si>
  <si>
    <t>LCLCR324.92_39532</t>
  </si>
  <si>
    <t>LCWAN000.58_39385</t>
  </si>
  <si>
    <t>LCWAN002.60_39385</t>
  </si>
  <si>
    <t>LCBIL005.75_39385</t>
  </si>
  <si>
    <t>LCWAN000.54_39321</t>
  </si>
  <si>
    <t>LCWAN002.60_39321</t>
  </si>
  <si>
    <t>LCBIL005.75_39321</t>
  </si>
  <si>
    <t>LCWAN000.54_39288</t>
  </si>
  <si>
    <t>LCWAN002.19_40051</t>
  </si>
  <si>
    <t>LCWAN000.58_40051</t>
  </si>
  <si>
    <t>SPSPR150.09_38906</t>
  </si>
  <si>
    <t>SPSPR150.09_38903</t>
  </si>
  <si>
    <t>SPSPR150.09_38924</t>
  </si>
  <si>
    <t>SPSPR101.25_38912</t>
  </si>
  <si>
    <t>LCSIL000.06_39875</t>
  </si>
  <si>
    <t>LCLCR206.75_39874</t>
  </si>
  <si>
    <t>LCLCR212.96_39842</t>
  </si>
  <si>
    <t>UGGLR451.46_39127</t>
  </si>
  <si>
    <t>UGGLR448.61_39127</t>
  </si>
  <si>
    <t>UGBON000.17_39127</t>
  </si>
  <si>
    <t>UGGLR452.43_39127</t>
  </si>
  <si>
    <t>UGGLR471.49_39128</t>
  </si>
  <si>
    <t>UGSFR006.42_39128</t>
  </si>
  <si>
    <t>UGEAG011.51_39128</t>
  </si>
  <si>
    <t>UGGLR485.91_39129</t>
  </si>
  <si>
    <t>UGGLR501.45_39129</t>
  </si>
  <si>
    <t>LCLCR226.31_40074</t>
  </si>
  <si>
    <t>LCLCR226.31_39875</t>
  </si>
  <si>
    <t>LCLCR212.96_39874</t>
  </si>
  <si>
    <t>LCLCR226.31_39869</t>
  </si>
  <si>
    <t>LCLCR206.75_39842</t>
  </si>
  <si>
    <t>LCLCR226.31_39841</t>
  </si>
  <si>
    <t>LCSIL000.06_39841</t>
  </si>
  <si>
    <t>LCLCR206.75_39823</t>
  </si>
  <si>
    <t>VROAK043.73_38534</t>
  </si>
  <si>
    <t>VROAK043.88_38534</t>
  </si>
  <si>
    <t>VROAK043.83_38534</t>
  </si>
  <si>
    <t>VROAK043.81_38534</t>
  </si>
  <si>
    <t>VROAK043.79_38534</t>
  </si>
  <si>
    <t>VROAK048.92_38534</t>
  </si>
  <si>
    <t>VROAK050.30_38534</t>
  </si>
  <si>
    <t>VROAK043.86_38534</t>
  </si>
  <si>
    <t>VROAK042.78_38534</t>
  </si>
  <si>
    <t>VROAK041.69_38534</t>
  </si>
  <si>
    <t>VROAK039.92_38534</t>
  </si>
  <si>
    <t>VROAK038.52_38534</t>
  </si>
  <si>
    <t>VROAK035.79_38534</t>
  </si>
  <si>
    <t>VROAK031.38_38534</t>
  </si>
  <si>
    <t>VROAK046.10_38534</t>
  </si>
  <si>
    <t>VROAK044.98_38534</t>
  </si>
  <si>
    <t>VROAK044.46_38534</t>
  </si>
  <si>
    <t>VROAK034.02_38534</t>
  </si>
  <si>
    <t>VROAK043.79_38535</t>
  </si>
  <si>
    <t>VROAK043.73_38535</t>
  </si>
  <si>
    <t>VROAK043.81_38535</t>
  </si>
  <si>
    <t>VROAK043.88_38535</t>
  </si>
  <si>
    <t>VROAK043.83_38535</t>
  </si>
  <si>
    <t>VROAK041.69_38535</t>
  </si>
  <si>
    <t>VROAK039.92_38535</t>
  </si>
  <si>
    <t>VROAK048.92_38535</t>
  </si>
  <si>
    <t>VROAK050.30_38535</t>
  </si>
  <si>
    <t>VROAK043.86_38535</t>
  </si>
  <si>
    <t>VROAK042.78_38535</t>
  </si>
  <si>
    <t>VROAK046.10_38535</t>
  </si>
  <si>
    <t>VROAK044.98_38535</t>
  </si>
  <si>
    <t>VROAK044.46_38535</t>
  </si>
  <si>
    <t>VROAK034.02_38535</t>
  </si>
  <si>
    <t>VROAK031.38_38535</t>
  </si>
  <si>
    <t>VROAK038.52_38535</t>
  </si>
  <si>
    <t>VROAK035.79_38535</t>
  </si>
  <si>
    <t>VROAK046.10_38536</t>
  </si>
  <si>
    <t>VROAK044.98_38536</t>
  </si>
  <si>
    <t>VROAK044.46_38536</t>
  </si>
  <si>
    <t>VROAK048.92_38536</t>
  </si>
  <si>
    <t>VROAK050.30_38536</t>
  </si>
  <si>
    <t>VROAK043.86_38536</t>
  </si>
  <si>
    <t>VROAK042.78_38536</t>
  </si>
  <si>
    <t>VROAK041.69_38536</t>
  </si>
  <si>
    <t>VROAK039.92_38536</t>
  </si>
  <si>
    <t>VROAK043.88_38536</t>
  </si>
  <si>
    <t>VROAK043.83_38536</t>
  </si>
  <si>
    <t>VROAK043.81_38536</t>
  </si>
  <si>
    <t>VROAK043.79_38536</t>
  </si>
  <si>
    <t>VROAK043.73_38536</t>
  </si>
  <si>
    <t>VROAK039.92_38537</t>
  </si>
  <si>
    <t>VROAK043.86_38537</t>
  </si>
  <si>
    <t>VROAK042.78_38537</t>
  </si>
  <si>
    <t>VROAK041.69_38537</t>
  </si>
  <si>
    <t>VROAK044.98_38537</t>
  </si>
  <si>
    <t>VROAK044.46_38537</t>
  </si>
  <si>
    <t>VROAK048.92_38537</t>
  </si>
  <si>
    <t>VROAK050.30_38537</t>
  </si>
  <si>
    <t>VROAK046.10_38537</t>
  </si>
  <si>
    <t>VROAK043.86_38538</t>
  </si>
  <si>
    <t>VROAK042.78_38538</t>
  </si>
  <si>
    <t>VROAK041.69_38538</t>
  </si>
  <si>
    <t>VROAK039.92_38538</t>
  </si>
  <si>
    <t>VROAK046.10_38538</t>
  </si>
  <si>
    <t>VROAK044.98_38538</t>
  </si>
  <si>
    <t>VROAK044.46_38538</t>
  </si>
  <si>
    <t>VROAK048.92_38538</t>
  </si>
  <si>
    <t>VROAK050.30_38538</t>
  </si>
  <si>
    <t>SCSAB016.28_38587</t>
  </si>
  <si>
    <t>SRTON055.09_39983</t>
  </si>
  <si>
    <t>VROAK050.30_39980</t>
  </si>
  <si>
    <t>SPSPR127.50_38761</t>
  </si>
  <si>
    <t>SRCRS001.74_40791</t>
  </si>
  <si>
    <t>LCNUT020.23_38818</t>
  </si>
  <si>
    <t>LCNUT020.72_38818</t>
  </si>
  <si>
    <t>LCNUT015.61_38819</t>
  </si>
  <si>
    <t>LCNUT013.33_38819</t>
  </si>
  <si>
    <t>UGCAV015.55_38883</t>
  </si>
  <si>
    <t>UGNCV000.04_38883</t>
  </si>
  <si>
    <t>UGCAV014.44_38883</t>
  </si>
  <si>
    <t>UGSFR019.04_38965</t>
  </si>
  <si>
    <t>UGSFR006.42_38965</t>
  </si>
  <si>
    <t>UGGLR505.96_38966</t>
  </si>
  <si>
    <t>UGGLR471.49_38966</t>
  </si>
  <si>
    <t>UGGLR452.43_38966</t>
  </si>
  <si>
    <t>MGGLR337.14_38967</t>
  </si>
  <si>
    <t>SRTON055.09_39001</t>
  </si>
  <si>
    <t>SRTON053.87_39001</t>
  </si>
  <si>
    <t>SRCRS001.24_39001</t>
  </si>
  <si>
    <t>SRTON057.70_39001</t>
  </si>
  <si>
    <t>SRTON059.43_39001</t>
  </si>
  <si>
    <t>SRTON060.50_39001</t>
  </si>
  <si>
    <t>SRTON062.28_39001</t>
  </si>
  <si>
    <t>SRTON062.89_39001</t>
  </si>
  <si>
    <t>SRTON055.09_39014</t>
  </si>
  <si>
    <t>SRTON053.87_39014</t>
  </si>
  <si>
    <t>SRCRS001.24_39014</t>
  </si>
  <si>
    <t>SRTON057.70_39014</t>
  </si>
  <si>
    <t>SRTON059.43_39014</t>
  </si>
  <si>
    <t>SRTON060.50_39014</t>
  </si>
  <si>
    <t>SRTON062.28_39014</t>
  </si>
  <si>
    <t>SRTON062.89_39014</t>
  </si>
  <si>
    <t>VRGRA023.85_39092</t>
  </si>
  <si>
    <t>VROAK040.78_39121</t>
  </si>
  <si>
    <t>VROAK040.62_39121</t>
  </si>
  <si>
    <t>SPSPR150.09_39126</t>
  </si>
  <si>
    <t>SPSPR105.49_39126</t>
  </si>
  <si>
    <t>SPSPR101.25_39126</t>
  </si>
  <si>
    <t>LCWAN000.54_39712</t>
  </si>
  <si>
    <t>SRTON053.87_39694</t>
  </si>
  <si>
    <t>SRTON055.09_39694</t>
  </si>
  <si>
    <t>SRTON062.89_39672</t>
  </si>
  <si>
    <t>SRTON055.09_39672</t>
  </si>
  <si>
    <t>SRTON056.59_39672</t>
  </si>
  <si>
    <t>SPSPR127.50_39184</t>
  </si>
  <si>
    <t>SPSPR105.49_39184</t>
  </si>
  <si>
    <t>SPSPR101.25_39184</t>
  </si>
  <si>
    <t>SPSPR150.09_39184</t>
  </si>
  <si>
    <t>SRTON062.28_39637</t>
  </si>
  <si>
    <t>SRTON062.89_39636</t>
  </si>
  <si>
    <t>LCWLR000.92_40283</t>
  </si>
  <si>
    <t>SRTON062.89_39624</t>
  </si>
  <si>
    <t>SRTON062.28_39624</t>
  </si>
  <si>
    <t>SRTON061.37_39624</t>
  </si>
  <si>
    <t>SRTON060.28_39624</t>
  </si>
  <si>
    <t>SRTON058.63_39624</t>
  </si>
  <si>
    <t>SRTON057.70_39624</t>
  </si>
  <si>
    <t>SRCRS006.20_39623</t>
  </si>
  <si>
    <t>SRCRS002.25_39623</t>
  </si>
  <si>
    <t>SRCRS001.74_39623</t>
  </si>
  <si>
    <t>SRCRS001.24_39623</t>
  </si>
  <si>
    <t>SRCRS000.08_39623</t>
  </si>
  <si>
    <t>SRTON056.59_39623</t>
  </si>
  <si>
    <t>SRTON055.09_39623</t>
  </si>
  <si>
    <t>LCSIL000.06_40211</t>
  </si>
  <si>
    <t>SRTON053.87_39623</t>
  </si>
  <si>
    <t>UGCAV014.44_39611</t>
  </si>
  <si>
    <t>UGCAV016.84_39611</t>
  </si>
  <si>
    <t>SRTON062.28_40087</t>
  </si>
  <si>
    <t>SRTON053.87_40086</t>
  </si>
  <si>
    <t>VRSYM022.45_39603</t>
  </si>
  <si>
    <t>SRTON062.89_39596</t>
  </si>
  <si>
    <t>SRTON062.28_39596</t>
  </si>
  <si>
    <t>SRTON061.37_39596</t>
  </si>
  <si>
    <t>SRTON060.28_39596</t>
  </si>
  <si>
    <t>SRTON058.63_39596</t>
  </si>
  <si>
    <t>SRTON057.70_39596</t>
  </si>
  <si>
    <t>SRCRS006.20_39596</t>
  </si>
  <si>
    <t>SRCRS002.25_39595</t>
  </si>
  <si>
    <t>SRCRS001.74_39595</t>
  </si>
  <si>
    <t>SRCRS001.24_39595</t>
  </si>
  <si>
    <t>SRTON056.59_39595</t>
  </si>
  <si>
    <t>SRCRS000.08_39595</t>
  </si>
  <si>
    <t>SRTON055.09_39595</t>
  </si>
  <si>
    <t>SRTON053.87_39595</t>
  </si>
  <si>
    <t>LCWLR000.92_39589</t>
  </si>
  <si>
    <t>LCSLR001.42_39589</t>
  </si>
  <si>
    <t>LCLCR346.01_39589</t>
  </si>
  <si>
    <t>LCNUT026.83_39588</t>
  </si>
  <si>
    <t>LCNUT013.33_39588</t>
  </si>
  <si>
    <t>LCLCR340.65_39588</t>
  </si>
  <si>
    <t>LCNUT000.01_39588</t>
  </si>
  <si>
    <t>LCLCR340.02_39588</t>
  </si>
  <si>
    <t>SRTON062.89_39570</t>
  </si>
  <si>
    <t>SRTON062.28_39570</t>
  </si>
  <si>
    <t>SRTON061.37_39570</t>
  </si>
  <si>
    <t>SRTON060.28_39570</t>
  </si>
  <si>
    <t>SRTON058.63_39570</t>
  </si>
  <si>
    <t>SRTON057.70_39570</t>
  </si>
  <si>
    <t>SRCRS006.20_39569</t>
  </si>
  <si>
    <t>SRCRS002.25_39569</t>
  </si>
  <si>
    <t>SRCRS001.74_39569</t>
  </si>
  <si>
    <t>SRCRS001.24_39569</t>
  </si>
  <si>
    <t>SRCRS000.08_39569</t>
  </si>
  <si>
    <t>SRTON056.59_39569</t>
  </si>
  <si>
    <t>SRTON055.09_39569</t>
  </si>
  <si>
    <t>SRTON053.87_39569</t>
  </si>
  <si>
    <t>VROAK050.55_39562</t>
  </si>
  <si>
    <t>VROAK048.92_39562</t>
  </si>
  <si>
    <t>VRWOK000.10_39562</t>
  </si>
  <si>
    <t>VROAK044.98_39562</t>
  </si>
  <si>
    <t>VROAK043.79_39562</t>
  </si>
  <si>
    <t>LCWAN000.54_39553</t>
  </si>
  <si>
    <t>LCWAN002.19_39553</t>
  </si>
  <si>
    <t>LCWAN002.60_39553</t>
  </si>
  <si>
    <t>LCWAN004.71_39553</t>
  </si>
  <si>
    <t>LCBIL005.75_39553</t>
  </si>
  <si>
    <t>LCWLR000.92_39535</t>
  </si>
  <si>
    <t>LCSLR001.42_39535</t>
  </si>
  <si>
    <t>LCLCR346.01_39535</t>
  </si>
  <si>
    <t>LCNUT026.83_39534</t>
  </si>
  <si>
    <t>LCNUT013.33_39534</t>
  </si>
  <si>
    <t>LCLCR340.02_39534</t>
  </si>
  <si>
    <t>LCLCR340.65_39534</t>
  </si>
  <si>
    <t>LCCHC060.09_40674</t>
  </si>
  <si>
    <t>SRTON060.50_39526</t>
  </si>
  <si>
    <t>SRTON060.28_39526</t>
  </si>
  <si>
    <t>LCNUT013.33_39520</t>
  </si>
  <si>
    <t>LCNUT026.83_39520</t>
  </si>
  <si>
    <t>LCNUT000.01_39520</t>
  </si>
  <si>
    <t>LCSLR001.42_39520</t>
  </si>
  <si>
    <t>LCLCR340.02_39520</t>
  </si>
  <si>
    <t>LCWLR000.92_39520</t>
  </si>
  <si>
    <t>LCLCR340.65_39520</t>
  </si>
  <si>
    <t>SRCRS001.74_39511</t>
  </si>
  <si>
    <t>SRCRS001.24_39511</t>
  </si>
  <si>
    <t>SRTON061.37_39511</t>
  </si>
  <si>
    <t>SRTON060.50_39511</t>
  </si>
  <si>
    <t>LCLCR324.92_39510</t>
  </si>
  <si>
    <t>SRCRS001.24_41507</t>
  </si>
  <si>
    <t>SRCRS001.24_41463</t>
  </si>
  <si>
    <t>VROAK050.55_39387</t>
  </si>
  <si>
    <t>VROAK049.20_39387</t>
  </si>
  <si>
    <t>VROAK048.92_39387</t>
  </si>
  <si>
    <t>VRBON002.71_39364</t>
  </si>
  <si>
    <t>SPSPR006.75_40408</t>
  </si>
  <si>
    <t>SRTON057.70_41906</t>
  </si>
  <si>
    <t>UGSFR012.54_39989</t>
  </si>
  <si>
    <t>UGBLR008.19_39989</t>
  </si>
  <si>
    <t>SRTON053.87_39983</t>
  </si>
  <si>
    <t>SRTON057.70_39983</t>
  </si>
  <si>
    <t>SRTON058.63_39983</t>
  </si>
  <si>
    <t>SRCRS001.24_39983</t>
  </si>
  <si>
    <t>SRCRS002.25_39983</t>
  </si>
  <si>
    <t>VRSPN002.04_39980</t>
  </si>
  <si>
    <t>VROAK043.79_39980</t>
  </si>
  <si>
    <t>VROAK035.79_39980</t>
  </si>
  <si>
    <t>VRWOK000.10_39980</t>
  </si>
  <si>
    <t>VROAK038.67_39980</t>
  </si>
  <si>
    <t>SRTON055.09_41891</t>
  </si>
  <si>
    <t>SRTON056.59_41891</t>
  </si>
  <si>
    <t>SRTON062.89_39932</t>
  </si>
  <si>
    <t>SRCRS001.24_39932</t>
  </si>
  <si>
    <t>SRTON053.87_39932</t>
  </si>
  <si>
    <t>SRTON055.09_39932</t>
  </si>
  <si>
    <t>SRCRS001.24_41856</t>
  </si>
  <si>
    <t>SRTON061.37_40827</t>
  </si>
  <si>
    <t>SRTON062.28_40827</t>
  </si>
  <si>
    <t>LCNUT026.83_39897</t>
  </si>
  <si>
    <t>LCLCR346.01_39897</t>
  </si>
  <si>
    <t>LCSLR001.42_39897</t>
  </si>
  <si>
    <t>LCWLR000.92_39897</t>
  </si>
  <si>
    <t>SRTON058.63_40793</t>
  </si>
  <si>
    <t>SRTON060.28_40793</t>
  </si>
  <si>
    <t>LCLCR340.65_39896</t>
  </si>
  <si>
    <t>LCNUT013.33_39896</t>
  </si>
  <si>
    <t>SRTON053.87_39891</t>
  </si>
  <si>
    <t>SRTON057.70_39891</t>
  </si>
  <si>
    <t>SRTON062.89_39891</t>
  </si>
  <si>
    <t>VROAK017.30_39800</t>
  </si>
  <si>
    <t>VROAK035.79_39800</t>
  </si>
  <si>
    <t>VROAK043.79_39800</t>
  </si>
  <si>
    <t>VRSPN002.04_39800</t>
  </si>
  <si>
    <t>VROAK041.69_39800</t>
  </si>
  <si>
    <t>VRBON002.71_39765</t>
  </si>
  <si>
    <t>VRSYW000.77_39756</t>
  </si>
  <si>
    <t>LCWAN002.19_39712</t>
  </si>
  <si>
    <t>LCWAN002.60_39712</t>
  </si>
  <si>
    <t>LCWAN004.71_39712</t>
  </si>
  <si>
    <t>LCBIL005.75_39712</t>
  </si>
  <si>
    <t>SRCRS006.20_39695</t>
  </si>
  <si>
    <t>SRTON057.70_39695</t>
  </si>
  <si>
    <t>SRTON058.63_39695</t>
  </si>
  <si>
    <t>SRTON060.28_39695</t>
  </si>
  <si>
    <t>SRTON061.37_39695</t>
  </si>
  <si>
    <t>SRTON062.28_39695</t>
  </si>
  <si>
    <t>SRTON062.89_39695</t>
  </si>
  <si>
    <t>SRTON056.59_39694</t>
  </si>
  <si>
    <t>SRCRS000.08_39694</t>
  </si>
  <si>
    <t>SRCRS001.24_39694</t>
  </si>
  <si>
    <t>SRCRS001.74_39694</t>
  </si>
  <si>
    <t>SRCRS002.25_39694</t>
  </si>
  <si>
    <t>SRTON031.72_39694</t>
  </si>
  <si>
    <t>SRCRS006.20_39673</t>
  </si>
  <si>
    <t>SRTON057.70_39673</t>
  </si>
  <si>
    <t>SRTON058.63_39673</t>
  </si>
  <si>
    <t>SRTON060.28_39673</t>
  </si>
  <si>
    <t>SRTON061.37_39673</t>
  </si>
  <si>
    <t>SRTON062.28_39673</t>
  </si>
  <si>
    <t>SRTON053.87_39672</t>
  </si>
  <si>
    <t>SRCRS000.08_39672</t>
  </si>
  <si>
    <t>SRCRS001.24_39672</t>
  </si>
  <si>
    <t>SRCRS001.74_39672</t>
  </si>
  <si>
    <t>SRCRS002.25_39672</t>
  </si>
  <si>
    <t>SRTON053.87_41409</t>
  </si>
  <si>
    <t>SRTON057.70_41409</t>
  </si>
  <si>
    <t>SRTON061.37_41410</t>
  </si>
  <si>
    <t>SRTON062.28_41410</t>
  </si>
  <si>
    <t>SRCRS000.08_41422</t>
  </si>
  <si>
    <t>SRCRS002.25_41409</t>
  </si>
  <si>
    <t>SRCRS002.25_41422</t>
  </si>
  <si>
    <t>LCWAN000.54_39644</t>
  </si>
  <si>
    <t>LCWAN004.71_39644</t>
  </si>
  <si>
    <t>LCBIL005.75_39644</t>
  </si>
  <si>
    <t>LCWAN002.60_39644</t>
  </si>
  <si>
    <t>LCWAN002.19_39644</t>
  </si>
  <si>
    <t>LCLCR336.89_40619</t>
  </si>
  <si>
    <t>LCLCR335.52_40619</t>
  </si>
  <si>
    <t>SRTON056.59_41436</t>
  </si>
  <si>
    <t>SRCRS006.20_39637</t>
  </si>
  <si>
    <t>SRTON057.70_39637</t>
  </si>
  <si>
    <t>SRTON058.63_39637</t>
  </si>
  <si>
    <t>SRTON060.28_39637</t>
  </si>
  <si>
    <t>SRTON061.37_39637</t>
  </si>
  <si>
    <t>SRTON053.87_39636</t>
  </si>
  <si>
    <t>SRTON055.09_39636</t>
  </si>
  <si>
    <t>SRTON056.59_39636</t>
  </si>
  <si>
    <t>SRCRS000.08_39636</t>
  </si>
  <si>
    <t>SRCRS001.24_39636</t>
  </si>
  <si>
    <t>SRCRS001.74_39636</t>
  </si>
  <si>
    <t>SRCRS002.25_39636</t>
  </si>
  <si>
    <t>SRTON056.59_41451</t>
  </si>
  <si>
    <t>SRTON057.70_41452</t>
  </si>
  <si>
    <t>SRTON058.63_41452</t>
  </si>
  <si>
    <t>SRTON062.28_41452</t>
  </si>
  <si>
    <t>SRTON062.89_41452</t>
  </si>
  <si>
    <t>SRCRS001.24_41492</t>
  </si>
  <si>
    <t>LCLCR323.69_40332</t>
  </si>
  <si>
    <t>LCWLR000.92_40331</t>
  </si>
  <si>
    <t>LCSLR000.91_40331</t>
  </si>
  <si>
    <t>LCSIL024.83_40330</t>
  </si>
  <si>
    <t>SRCRS000.08_41463</t>
  </si>
  <si>
    <t>LCNUT015.61_40295</t>
  </si>
  <si>
    <t>LCLCR344.58_40295</t>
  </si>
  <si>
    <t>LCSLR001.42_40295</t>
  </si>
  <si>
    <t>LCWLR000.92_40295</t>
  </si>
  <si>
    <t>LCLCR340.65_40294</t>
  </si>
  <si>
    <t>LCLCR323.69_40294</t>
  </si>
  <si>
    <t>LCLCR336.76_40294</t>
  </si>
  <si>
    <t>LCNUT000.95_40294</t>
  </si>
  <si>
    <t>SRTON062.89_40430</t>
  </si>
  <si>
    <t>LCNUT015.61_40283</t>
  </si>
  <si>
    <t>LCLCR346.01_40283</t>
  </si>
  <si>
    <t>LCSLR001.42_40283</t>
  </si>
  <si>
    <t>LCLCR324.92_40282</t>
  </si>
  <si>
    <t>LCLCR340.65_40282</t>
  </si>
  <si>
    <t>LCLCR323.69_40282</t>
  </si>
  <si>
    <t>LCLCR336.76_40282</t>
  </si>
  <si>
    <t>LCNUT002.22_40282</t>
  </si>
  <si>
    <t>LCSIL000.06_40254</t>
  </si>
  <si>
    <t>LCLCR226.31_40254</t>
  </si>
  <si>
    <t>LCLCR226.31_40221</t>
  </si>
  <si>
    <t>LCLCR206.75_40221</t>
  </si>
  <si>
    <t>LCLCR206.75_40211</t>
  </si>
  <si>
    <t>LCLCR226.31_40211</t>
  </si>
  <si>
    <t>SRTON060.28_40372</t>
  </si>
  <si>
    <t>LCLCR340.65_40092</t>
  </si>
  <si>
    <t>LCLCR346.01_40091</t>
  </si>
  <si>
    <t>LCWLR000.92_40091</t>
  </si>
  <si>
    <t>LCSLR001.42_40091</t>
  </si>
  <si>
    <t>SRCRS002.25_40086</t>
  </si>
  <si>
    <t>SRCRS001.24_40086</t>
  </si>
  <si>
    <t>SRTON055.09_40086</t>
  </si>
  <si>
    <t>SRTON057.70_40086</t>
  </si>
  <si>
    <t>SRTON058.63_40086</t>
  </si>
  <si>
    <t>LCLCR226.31_40080</t>
  </si>
  <si>
    <t>SRTON032.62_40051</t>
  </si>
  <si>
    <t>LCWAN000.56_40051</t>
  </si>
  <si>
    <t>SRTON062.89_40039</t>
  </si>
  <si>
    <t>SRTON062.28_40039</t>
  </si>
  <si>
    <t>SRTON061.37_40039</t>
  </si>
  <si>
    <t>SRTON060.28_40039</t>
  </si>
  <si>
    <t>SRTON058.63_40039</t>
  </si>
  <si>
    <t>SRTON057.70_40039</t>
  </si>
  <si>
    <t>SRCRS006.20_40039</t>
  </si>
  <si>
    <t>SRCRS002.25_40039</t>
  </si>
  <si>
    <t>SRCRS000.08_40038</t>
  </si>
  <si>
    <t>SRTON055.09_40038</t>
  </si>
  <si>
    <t>SRTON053.87_40038</t>
  </si>
  <si>
    <t>SRTON056.59_40038</t>
  </si>
  <si>
    <t>SRCRS001.24_40038</t>
  </si>
  <si>
    <t>SRCRS001.74_40038</t>
  </si>
  <si>
    <t>CLGLR010.53_41652</t>
  </si>
  <si>
    <t>LCLCR226.31_40001</t>
  </si>
  <si>
    <t>VREVR034.80_40716</t>
  </si>
  <si>
    <t>SRTON053.87_41891</t>
  </si>
  <si>
    <t>LCWCY005.01_40674</t>
  </si>
  <si>
    <t>SRTON058.63_41878</t>
  </si>
  <si>
    <t>SRTON062.89_41543</t>
  </si>
  <si>
    <t>SRCRS002.25_41877</t>
  </si>
  <si>
    <t>SRTON055.09_41542</t>
  </si>
  <si>
    <t>SRTON056.59_41542</t>
  </si>
  <si>
    <t>SRCRS002.25_41542</t>
  </si>
  <si>
    <t>SRCRS001.74_41856</t>
  </si>
  <si>
    <t>SRTON055.09_41842</t>
  </si>
  <si>
    <t>LCLCR336.15_40619</t>
  </si>
  <si>
    <t>LCLCR336.76_40619</t>
  </si>
  <si>
    <t>SRTON061.37_41528</t>
  </si>
  <si>
    <t>SRTON056.59_41527</t>
  </si>
  <si>
    <t>SRCRS000.08_41527</t>
  </si>
  <si>
    <t>SRCRS001.74_40792</t>
  </si>
  <si>
    <t>SRCRS000.08_40792</t>
  </si>
  <si>
    <t>CLGLR010.53_41512</t>
  </si>
  <si>
    <t>LCWCY005.01_40522</t>
  </si>
  <si>
    <t>SRTON053.87_41507</t>
  </si>
  <si>
    <t>SRCRS002.25_41507</t>
  </si>
  <si>
    <t>MGCVE037.68_40501</t>
  </si>
  <si>
    <t>SRTON062.28_41493</t>
  </si>
  <si>
    <t>SRTON062.89_41493</t>
  </si>
  <si>
    <t>SRGOD012.05_40492</t>
  </si>
  <si>
    <t>SRCRS002.82_40492</t>
  </si>
  <si>
    <t>SRTON058.63_41480</t>
  </si>
  <si>
    <t>SRTON053.87_41479</t>
  </si>
  <si>
    <t>SRCRS000.08_41479</t>
  </si>
  <si>
    <t>SRCRS002.25_41479</t>
  </si>
  <si>
    <t>SRTON062.28_41464</t>
  </si>
  <si>
    <t>SRTON055.09_41463</t>
  </si>
  <si>
    <t>LCCHC001.75_40450</t>
  </si>
  <si>
    <t>LCNUT000.01_42164</t>
  </si>
  <si>
    <t>SRCRS006.20_40430</t>
  </si>
  <si>
    <t>SRTON062.28_40430</t>
  </si>
  <si>
    <t>SRTON061.37_40430</t>
  </si>
  <si>
    <t>SRTON060.28_40430</t>
  </si>
  <si>
    <t>SRTON058.63_40430</t>
  </si>
  <si>
    <t>SRTON057.70_40430</t>
  </si>
  <si>
    <t>SRTON056.59_40429</t>
  </si>
  <si>
    <t>SRTON055.09_40429</t>
  </si>
  <si>
    <t>SRTON053.87_40429</t>
  </si>
  <si>
    <t>SRCRS000.08_40429</t>
  </si>
  <si>
    <t>SRCRS001.24_40429</t>
  </si>
  <si>
    <t>LCLCR226.31_40429</t>
  </si>
  <si>
    <t>LCSIL000.06_40429</t>
  </si>
  <si>
    <t>SCSCR039.63_40429</t>
  </si>
  <si>
    <t>SRCRS006.20_40415</t>
  </si>
  <si>
    <t>SRTON062.89_40415</t>
  </si>
  <si>
    <t>SRTON060.28_40415</t>
  </si>
  <si>
    <t>SRTON058.63_40415</t>
  </si>
  <si>
    <t>SRTON062.28_40415</t>
  </si>
  <si>
    <t>SRTON061.37_40415</t>
  </si>
  <si>
    <t>SRTON057.70_40415</t>
  </si>
  <si>
    <t>SRCRS001.24_40414</t>
  </si>
  <si>
    <t>SRCRS001.74_40414</t>
  </si>
  <si>
    <t>SRTON055.09_40414</t>
  </si>
  <si>
    <t>SRTON053.87_40414</t>
  </si>
  <si>
    <t>SRCRS000.08_40414</t>
  </si>
  <si>
    <t>SRCRS002.25_40414</t>
  </si>
  <si>
    <t>SRTON056.59_40414</t>
  </si>
  <si>
    <t>LCLCR226.31_40396</t>
  </si>
  <si>
    <t>LCSIL000.06_40396</t>
  </si>
  <si>
    <t>SRTON061.37_40372</t>
  </si>
  <si>
    <t>SRTON062.28_40372</t>
  </si>
  <si>
    <t>SRTON062.89_40372</t>
  </si>
  <si>
    <t>SRCRS006.20_40372</t>
  </si>
  <si>
    <t>SRTON057.70_40372</t>
  </si>
  <si>
    <t>SRTON058.63_40372</t>
  </si>
  <si>
    <t>SRTON053.87_40371</t>
  </si>
  <si>
    <t>SRTON055.09_40371</t>
  </si>
  <si>
    <t>SRTON056.59_40371</t>
  </si>
  <si>
    <t>SRCRS000.08_40371</t>
  </si>
  <si>
    <t>CLGLR010.53_41723</t>
  </si>
  <si>
    <t>SRCRS000.08_41877</t>
  </si>
  <si>
    <t>SRTON058.63_41906</t>
  </si>
  <si>
    <t>SRTON061.37_41906</t>
  </si>
  <si>
    <t>SRTON062.28_41906</t>
  </si>
  <si>
    <t>SRTON062.89_41906</t>
  </si>
  <si>
    <t>SRTON061.37_41892</t>
  </si>
  <si>
    <t>SRTON062.28_41892</t>
  </si>
  <si>
    <t>SRCRS001.24_41891</t>
  </si>
  <si>
    <t>SRTON062.28_41878</t>
  </si>
  <si>
    <t>SRTON062.89_41878</t>
  </si>
  <si>
    <t>SRTON061.37_41543</t>
  </si>
  <si>
    <t>SRTON055.09_41877</t>
  </si>
  <si>
    <t>SRCRS001.24_41877</t>
  </si>
  <si>
    <t>SRCRS006.20_41877</t>
  </si>
  <si>
    <t>SRCRS001.24_41542</t>
  </si>
  <si>
    <t>SRTON053.87_41856</t>
  </si>
  <si>
    <t>SRCRS000.08_41856</t>
  </si>
  <si>
    <t>SRTON056.59_41856</t>
  </si>
  <si>
    <t>SRTON058.63_41843</t>
  </si>
  <si>
    <t>SRTON061.37_41843</t>
  </si>
  <si>
    <t>SRCRS002.25_41842</t>
  </si>
  <si>
    <t>SRCRS000.08_41842</t>
  </si>
  <si>
    <t>SRTON056.59_41409</t>
  </si>
  <si>
    <t>SRTON060.28_41423</t>
  </si>
  <si>
    <t>SRTON062.89_40827</t>
  </si>
  <si>
    <t>SRCRS006.20_41436</t>
  </si>
  <si>
    <t>SRTON057.70_40793</t>
  </si>
  <si>
    <t>SRTON061.37_40793</t>
  </si>
  <si>
    <t>SRTON062.28_40793</t>
  </si>
  <si>
    <t>SRTON062.89_40793</t>
  </si>
  <si>
    <t>SRTON056.59_40792</t>
  </si>
  <si>
    <t>SRCRS001.24_40792</t>
  </si>
  <si>
    <t>SRCRS006.20_40792</t>
  </si>
  <si>
    <t>SRTON053.87_40792</t>
  </si>
  <si>
    <t>CLGLR011.17_41513</t>
  </si>
  <si>
    <t>SRTON055.09_40792</t>
  </si>
  <si>
    <t>SRCRS002.25_40792</t>
  </si>
  <si>
    <t>SRTON053.87_40791</t>
  </si>
  <si>
    <t>SRTON055.09_40791</t>
  </si>
  <si>
    <t>SRCRS002.25_40791</t>
  </si>
  <si>
    <t>SRTON057.70_41493</t>
  </si>
  <si>
    <t>LCLCR328.04_42458</t>
  </si>
  <si>
    <t>LCNUT017.83_41780</t>
  </si>
  <si>
    <t>MGHSR048.20_42416</t>
  </si>
  <si>
    <t>CLGLR010.53_41772</t>
  </si>
  <si>
    <t>SRCRS006.20_41542</t>
  </si>
  <si>
    <t>SRCRS001.74_41422</t>
  </si>
  <si>
    <t>UGSFR012.54_42257</t>
  </si>
  <si>
    <t>SRTON053.87_41436</t>
  </si>
  <si>
    <t>SRCRS002.25_41436</t>
  </si>
  <si>
    <t>MGHSR002.67_41302</t>
  </si>
  <si>
    <t>SRTON062.28_41508</t>
  </si>
  <si>
    <t>SRCRS002.25_41451</t>
  </si>
  <si>
    <t>SRCRS006.20_41451</t>
  </si>
  <si>
    <t>SRTON058.63_41543</t>
  </si>
  <si>
    <t>SRTON062.28_41543</t>
  </si>
  <si>
    <t>SRTON062.89_41843</t>
  </si>
  <si>
    <t>SRTON057.70_41843</t>
  </si>
  <si>
    <t>SRTON053.87_41422</t>
  </si>
  <si>
    <t>SRTON055.09_41409</t>
  </si>
  <si>
    <t>SRTON055.09_41422</t>
  </si>
  <si>
    <t>SRTON056.59_41422</t>
  </si>
  <si>
    <t>SRTON057.70_41423</t>
  </si>
  <si>
    <t>SRTON058.63_41409</t>
  </si>
  <si>
    <t>SRTON058.63_41423</t>
  </si>
  <si>
    <t>SRTON061.37_41423</t>
  </si>
  <si>
    <t>SRTON062.28_41423</t>
  </si>
  <si>
    <t>SRTON062.89_41410</t>
  </si>
  <si>
    <t>SRTON062.89_41423</t>
  </si>
  <si>
    <t>SRCRS000.08_41409</t>
  </si>
  <si>
    <t>SRCRS001.24_41409</t>
  </si>
  <si>
    <t>SRCRS001.24_41422</t>
  </si>
  <si>
    <t>SRCRS006.20_41409</t>
  </si>
  <si>
    <t>SRCRS006.20_41422</t>
  </si>
  <si>
    <t>SRTON055.09_41436</t>
  </si>
  <si>
    <t>SRCRS000.08_41436</t>
  </si>
  <si>
    <t>SRCRS001.24_41436</t>
  </si>
  <si>
    <t>SRTON057.70_41437</t>
  </si>
  <si>
    <t>SRTON058.63_41437</t>
  </si>
  <si>
    <t>SRTON061.37_41437</t>
  </si>
  <si>
    <t>SRTON062.28_41437</t>
  </si>
  <si>
    <t>SRTON062.89_41437</t>
  </si>
  <si>
    <t>SRCRS002.25_41527</t>
  </si>
  <si>
    <t>SRCRS006.20_41527</t>
  </si>
  <si>
    <t>CLGLR010.53_41513</t>
  </si>
  <si>
    <t>SRTON057.70_41508</t>
  </si>
  <si>
    <t>SRTON053.87_41451</t>
  </si>
  <si>
    <t>SRTON055.09_41451</t>
  </si>
  <si>
    <t>SRCRS000.08_41451</t>
  </si>
  <si>
    <t>SRCRS001.24_41451</t>
  </si>
  <si>
    <t>SRTON061.37_41452</t>
  </si>
  <si>
    <t>SRCRS006.20_41507</t>
  </si>
  <si>
    <t>VRGRA023.85_41506</t>
  </si>
  <si>
    <t>SRTON058.63_41493</t>
  </si>
  <si>
    <t>SRTON061.37_41493</t>
  </si>
  <si>
    <t>SRTON053.87_41492</t>
  </si>
  <si>
    <t>SRCRS000.08_41492</t>
  </si>
  <si>
    <t>SRCRS006.20_41492</t>
  </si>
  <si>
    <t>SRCRS000.08_41891</t>
  </si>
  <si>
    <t>SRTON061.37_41480</t>
  </si>
  <si>
    <t>SRTON062.28_41480</t>
  </si>
  <si>
    <t>SRTON055.09_41479</t>
  </si>
  <si>
    <t>SRCRS006.20_41479</t>
  </si>
  <si>
    <t>SRTON057.70_41464</t>
  </si>
  <si>
    <t>SRTON058.63_41464</t>
  </si>
  <si>
    <t>SRTON061.37_41464</t>
  </si>
  <si>
    <t>SRTON056.59_41463</t>
  </si>
  <si>
    <t>SRCRS006.20_41463</t>
  </si>
  <si>
    <t>SRTON056.59_41877</t>
  </si>
  <si>
    <t>LCLCR328.04_42164</t>
  </si>
  <si>
    <t>SRTON056.59_41842</t>
  </si>
  <si>
    <t>LCLCR344.58_42459</t>
  </si>
  <si>
    <t>SRCRS002.25_41891</t>
  </si>
  <si>
    <t>LCLCR335.06_41739</t>
  </si>
  <si>
    <t>LCLCR349.82_41739</t>
  </si>
  <si>
    <t>LCLCR336.89_41738</t>
  </si>
  <si>
    <t>SRTON057.70_41543</t>
  </si>
  <si>
    <t>SRTON058.63_41892</t>
  </si>
  <si>
    <t>SRTON053.87_41542</t>
  </si>
  <si>
    <t>LCLCR323.69_42025</t>
  </si>
  <si>
    <t>SRTON062.28_41857</t>
  </si>
  <si>
    <t>SRTON057.70_41857</t>
  </si>
  <si>
    <t>SRTON053.87_41842</t>
  </si>
  <si>
    <t>SRTON055.09_41905</t>
  </si>
  <si>
    <t>SRTON058.63_41508</t>
  </si>
  <si>
    <t>SRCRS002.25_41492</t>
  </si>
  <si>
    <t>SPARA010.19_41906</t>
  </si>
  <si>
    <t>SRTON057.70_41528</t>
  </si>
  <si>
    <t>CLGLR007.11_41512</t>
  </si>
  <si>
    <t>SRTON057.70_41878</t>
  </si>
  <si>
    <t>SRTON062.89_41508</t>
  </si>
  <si>
    <t>SRTON055.09_41507</t>
  </si>
  <si>
    <t>SRTON057.70_41892</t>
  </si>
  <si>
    <t>SRTON062.89_41857</t>
  </si>
  <si>
    <t>SRTON062.28_41843</t>
  </si>
  <si>
    <t>SRTON057.70_41480</t>
  </si>
  <si>
    <t>SRCRS001.24_41479</t>
  </si>
  <si>
    <t>SRTON061.37_41508</t>
  </si>
  <si>
    <t>SRCRS002.25_41463</t>
  </si>
  <si>
    <t>SRTON056.59_41507</t>
  </si>
  <si>
    <t>SRCRS000.08_41542</t>
  </si>
  <si>
    <t>UGSFR018.37_42257</t>
  </si>
  <si>
    <t>SRTON061.37_41857</t>
  </si>
  <si>
    <t>SRTON058.63_41857</t>
  </si>
  <si>
    <t>SRCRS006.20_41856</t>
  </si>
  <si>
    <t>SRTON055.09_41856</t>
  </si>
  <si>
    <t>MGHSR002.67_41533</t>
  </si>
  <si>
    <t>SRCRS001.24_41842</t>
  </si>
  <si>
    <t>SRCRS006.20_41842</t>
  </si>
  <si>
    <t>SRTON056.59_41479</t>
  </si>
  <si>
    <t>SRCRS001.24_41527</t>
  </si>
  <si>
    <t>SRTON060.28_41464</t>
  </si>
  <si>
    <t>SRTON061.37_41878</t>
  </si>
  <si>
    <t>UGSFR019.04_42257</t>
  </si>
  <si>
    <t>SRCRS006.20_41905</t>
  </si>
  <si>
    <t>SRTON058.63_41528</t>
  </si>
  <si>
    <t>SRTON062.28_41528</t>
  </si>
  <si>
    <t>SRTON062.89_41528</t>
  </si>
  <si>
    <t>SRTON053.87_41527</t>
  </si>
  <si>
    <t>SRTON055.09_41527</t>
  </si>
  <si>
    <t>SRTON062.89_41464</t>
  </si>
  <si>
    <t>CLGLR013.33_41513</t>
  </si>
  <si>
    <t>SRCRS000.08_41507</t>
  </si>
  <si>
    <t>SRTON055.09_41492</t>
  </si>
  <si>
    <t>SRTON056.59_41492</t>
  </si>
  <si>
    <t>SRCRS006.20_41891</t>
  </si>
  <si>
    <t>SRTON062.89_41480</t>
  </si>
  <si>
    <t>SRTON053.87_41463</t>
  </si>
  <si>
    <t>LCNUT015.01_42164</t>
  </si>
  <si>
    <t>SRTON062.89_41892</t>
  </si>
  <si>
    <t>SRTON053.87_41905</t>
  </si>
  <si>
    <t>SRTON053.87_41877</t>
  </si>
  <si>
    <t>SRCRS002.25_41905</t>
  </si>
  <si>
    <t>UGSFR011.68_42257</t>
  </si>
  <si>
    <t>SRCRS000.08_41905</t>
  </si>
  <si>
    <t>SRTON056.59_41905</t>
  </si>
  <si>
    <t>SRCRS001.24_41905</t>
  </si>
  <si>
    <t>SRCRS002.25_41856</t>
  </si>
  <si>
    <t>SRTON057.70_40724</t>
  </si>
  <si>
    <t>SRTON058.63_40724</t>
  </si>
  <si>
    <t>SRTON061.37_41829</t>
  </si>
  <si>
    <t>SRTON060.28_40752</t>
  </si>
  <si>
    <t>SRTON058.63_40752</t>
  </si>
  <si>
    <t>SRTON062.89_40752</t>
  </si>
  <si>
    <t>SRCRS001.74_40751</t>
  </si>
  <si>
    <t>SRTON055.09_40751</t>
  </si>
  <si>
    <t>SRCRS006.20_40724</t>
  </si>
  <si>
    <t>SRTON060.28_40724</t>
  </si>
  <si>
    <t>SRTON061.37_40724</t>
  </si>
  <si>
    <t>SRTON062.28_40724</t>
  </si>
  <si>
    <t>SRTON062.89_40724</t>
  </si>
  <si>
    <t>SRTON056.59_40723</t>
  </si>
  <si>
    <t>SRCRS000.08_40723</t>
  </si>
  <si>
    <t>SRTON053.87_40723</t>
  </si>
  <si>
    <t>SRTON055.09_40723</t>
  </si>
  <si>
    <t>SRCRS001.24_40723</t>
  </si>
  <si>
    <t>SRCRS001.74_40723</t>
  </si>
  <si>
    <t>CLGLR010.53_41458</t>
  </si>
  <si>
    <t>SRCRS002.25_40429</t>
  </si>
  <si>
    <t>SRTON062.28_41829</t>
  </si>
  <si>
    <t>SRTON056.59_41828</t>
  </si>
  <si>
    <t>SRCRS001.24_41828</t>
  </si>
  <si>
    <t>SRCRS002.25_41828</t>
  </si>
  <si>
    <t>SRTON053.87_41828</t>
  </si>
  <si>
    <t>SRTON061.37_40752</t>
  </si>
  <si>
    <t>SRTON062.28_40752</t>
  </si>
  <si>
    <t>SRCRS006.20_40752</t>
  </si>
  <si>
    <t>SRTON057.70_40752</t>
  </si>
  <si>
    <t>SRCRS002.25_40751</t>
  </si>
  <si>
    <t>SRCRS001.24_40751</t>
  </si>
  <si>
    <t>SRCRS000.08_40751</t>
  </si>
  <si>
    <t>SRTON053.87_40751</t>
  </si>
  <si>
    <t>SRTON056.59_40751</t>
  </si>
  <si>
    <t>SRTON058.63_41829</t>
  </si>
  <si>
    <t>SRTON057.70_41829</t>
  </si>
  <si>
    <t>SRCRS000.08_41828</t>
  </si>
  <si>
    <t>SRTON055.09_41828</t>
  </si>
  <si>
    <t>SRCRS006.20_41828</t>
  </si>
  <si>
    <t>SRTON062.89_41829</t>
  </si>
  <si>
    <t>VROAK038.52_38536</t>
  </si>
  <si>
    <t>VROAK034.02_38536</t>
  </si>
  <si>
    <t>VROAK031.38_38536</t>
  </si>
  <si>
    <t>VROAK035.79_38536</t>
  </si>
  <si>
    <t>VROAK043.73_38537</t>
  </si>
  <si>
    <t>VROAK038.52_38537</t>
  </si>
  <si>
    <t>VROAK034.02_38537</t>
  </si>
  <si>
    <t>VROAK031.38_38537</t>
  </si>
  <si>
    <t>VROAK035.79_38537</t>
  </si>
  <si>
    <t>VROAK043.88_38538</t>
  </si>
  <si>
    <t>VROAK043.73_38538</t>
  </si>
  <si>
    <t>VROAK034.02_38538</t>
  </si>
  <si>
    <t>VROAK038.52_38538</t>
  </si>
  <si>
    <t>VROAK031.38_38538</t>
  </si>
  <si>
    <t>VROAK035.79_38538</t>
  </si>
  <si>
    <t>SCRED005.58_38623</t>
  </si>
  <si>
    <t>LCNUT020.23_38658</t>
  </si>
  <si>
    <t>SCRED005.58_38694</t>
  </si>
  <si>
    <t>SCRED005.58_38763</t>
  </si>
  <si>
    <t>LCNUT023.45_38791</t>
  </si>
  <si>
    <t>UGBON000.17_38797</t>
  </si>
  <si>
    <t>SCRED005.58_38818</t>
  </si>
  <si>
    <t>LCNUT026.83_38819</t>
  </si>
  <si>
    <t>CLGLR010.53_41144</t>
  </si>
  <si>
    <t>LCLCR226.31_39837</t>
  </si>
  <si>
    <t>LCLCR226.31_39811</t>
  </si>
  <si>
    <t>UGBON000.17_38966</t>
  </si>
  <si>
    <t>UGGLR471.49_38993</t>
  </si>
  <si>
    <t>UGSFR006.42_38993</t>
  </si>
  <si>
    <t>MGGLR337.14_38994</t>
  </si>
  <si>
    <t>UGBON000.17_39260</t>
  </si>
  <si>
    <t>VRPIE000.29_39625</t>
  </si>
  <si>
    <t>VROAK050.30_39562</t>
  </si>
  <si>
    <t>VROAK017.30_39453</t>
  </si>
  <si>
    <t>VROAK035.79_39453</t>
  </si>
  <si>
    <t>VROAK031.52_39453</t>
  </si>
  <si>
    <t>VROAK043.79_39453</t>
  </si>
  <si>
    <t>VRWOK000.10_39453</t>
  </si>
  <si>
    <t>VROAK048.92_39453</t>
  </si>
  <si>
    <t>VROAK050.55_39453</t>
  </si>
  <si>
    <t>CLGLR010.53_41526</t>
  </si>
  <si>
    <t>MGAFR087.06_39702</t>
  </si>
  <si>
    <t>LCLCR226.31_39838</t>
  </si>
  <si>
    <t>CLGLR013.33_41233</t>
  </si>
  <si>
    <t>LCLCR226.31_39727</t>
  </si>
  <si>
    <t>LCLCR226.31_39726</t>
  </si>
  <si>
    <t>LCWAN000.56_39712</t>
  </si>
  <si>
    <t>MGAFR110.01_39702</t>
  </si>
  <si>
    <t>CLGLR013.33_41368</t>
  </si>
  <si>
    <t>LCLCR206.75_40064</t>
  </si>
  <si>
    <t>LCWAN000.54_40051</t>
  </si>
  <si>
    <t>LCLCR212.96_40001</t>
  </si>
  <si>
    <t>LCLCR216.67_40001</t>
  </si>
  <si>
    <t>LCLCR206.75_40000</t>
  </si>
  <si>
    <t>VRAMG003.62_40724</t>
  </si>
  <si>
    <t>CLGLR010.53_41527</t>
  </si>
  <si>
    <t>CLGLR010.53_41509</t>
  </si>
  <si>
    <t>SRCRS001.74_40429</t>
  </si>
  <si>
    <t>SRTON053.87_40382</t>
  </si>
  <si>
    <t>SRCRS001.24_40371</t>
  </si>
  <si>
    <t>SRCRS002.25_40371</t>
  </si>
  <si>
    <t>SRCRS001.74_40371</t>
  </si>
  <si>
    <t>CLGLR013.33_41079</t>
  </si>
  <si>
    <t>VRAMG003.62_40862</t>
  </si>
  <si>
    <t>MGSLR003.96_41416</t>
  </si>
  <si>
    <t>CLGLR013.33_41597</t>
  </si>
  <si>
    <t>CLGLR010.53_41508</t>
  </si>
  <si>
    <t>VROAK043.83_38537</t>
  </si>
  <si>
    <t>VROAK043.81_38537</t>
  </si>
  <si>
    <t>VROAK043.79_38537</t>
  </si>
  <si>
    <t>VROAK043.88_38537</t>
  </si>
  <si>
    <t>VROAK043.83_38538</t>
  </si>
  <si>
    <t>VROAK043.81_38538</t>
  </si>
  <si>
    <t>VROAK043.79_38538</t>
  </si>
  <si>
    <t>LCWAN000.56_39321</t>
  </si>
  <si>
    <t>VRBON002.71_39612</t>
  </si>
  <si>
    <t>SRUT2000.01_39624</t>
  </si>
  <si>
    <t>SRUT2000.01_39596</t>
  </si>
  <si>
    <t>SRUT2000.01_39570</t>
  </si>
  <si>
    <t>VROAK049.31_39387</t>
  </si>
  <si>
    <t>SRUT2000.01_39637</t>
  </si>
  <si>
    <t>SRTON032.38_40051</t>
  </si>
  <si>
    <t>LCWAN002.60_42138</t>
  </si>
  <si>
    <t>LCWAN002.19_42248</t>
  </si>
  <si>
    <t>LCBIL005.75_42248</t>
  </si>
  <si>
    <t>LCBIL005.75_42138</t>
  </si>
  <si>
    <t>LCWAN002.60_42248</t>
  </si>
  <si>
    <t>SPSPR101.25_38911</t>
  </si>
  <si>
    <t>VRVER101.15_41113</t>
  </si>
  <si>
    <t>VROAK013.95_40395</t>
  </si>
  <si>
    <t>LCLCR226.31_40212</t>
  </si>
  <si>
    <t>VROAK045.64_40395</t>
  </si>
  <si>
    <t>VRWLK000.99_40395</t>
  </si>
  <si>
    <t>VROAK042.78_40395</t>
  </si>
  <si>
    <t>BWBRO029.91_42249</t>
  </si>
  <si>
    <t>LCWAN002.19_39204</t>
  </si>
  <si>
    <t>LCWAN000.56_39288</t>
  </si>
  <si>
    <t>LCWAN000.56_39644</t>
  </si>
  <si>
    <t>LCWLR001.23_33792</t>
  </si>
  <si>
    <t>SPGRA007.71_34060</t>
  </si>
  <si>
    <t>VROAK048.36_39637</t>
  </si>
  <si>
    <t>LCWLR005.31_33792</t>
  </si>
  <si>
    <t>SPRMC011.48_34430</t>
  </si>
  <si>
    <t>VROAK049.65_38133</t>
  </si>
  <si>
    <t>VRWCL023.36_34841</t>
  </si>
  <si>
    <t>VROAK047.96_35922</t>
  </si>
  <si>
    <t>UGSFR144.95_36654</t>
  </si>
  <si>
    <t>VRPIE016.49_35571</t>
  </si>
  <si>
    <t>LCNUT025.35_41779</t>
  </si>
  <si>
    <t>LCMIN018.05_34505</t>
  </si>
  <si>
    <t>UGCMB004.23_35206</t>
  </si>
  <si>
    <t>VRWOK000.82_38134</t>
  </si>
  <si>
    <t>UGBLR046.35_34506</t>
  </si>
  <si>
    <t>UGFRY009.52_34479</t>
  </si>
  <si>
    <t>VRWEB009.13_34493</t>
  </si>
  <si>
    <t>SPRUC007.81_38519</t>
  </si>
  <si>
    <t>SRCYN045.73_34485</t>
  </si>
  <si>
    <t>UGMRW011.38_33715</t>
  </si>
  <si>
    <t>SRREY001.14_33735</t>
  </si>
  <si>
    <t>SREFB000.91_37425</t>
  </si>
  <si>
    <t>SPWRC000.48_34428</t>
  </si>
  <si>
    <t>CGNCA028.70_34493</t>
  </si>
  <si>
    <t>VRWCL036.37_34841</t>
  </si>
  <si>
    <t>UGMRW011.38_34480</t>
  </si>
  <si>
    <t>VRWOK000.82_33737</t>
  </si>
  <si>
    <t>UGCAV016.84_37014</t>
  </si>
  <si>
    <t>SPGRA007.71_34436</t>
  </si>
  <si>
    <t>LCHAL008.83_37061</t>
  </si>
  <si>
    <t>SREFB008.27_34499</t>
  </si>
  <si>
    <t>UGMRW011.38_34108</t>
  </si>
  <si>
    <t>SPRMC011.48_35934</t>
  </si>
  <si>
    <t>LCLCR350.32_33793</t>
  </si>
  <si>
    <t>VRWEB009.13_33729</t>
  </si>
  <si>
    <t>SREFB008.27_34137</t>
  </si>
  <si>
    <t>LCMIN018.05_37047</t>
  </si>
  <si>
    <t>VROAK047.96_34472</t>
  </si>
  <si>
    <t>LCBRB006.74_33778</t>
  </si>
  <si>
    <t>LCRUD007.23_34121</t>
  </si>
  <si>
    <t>VRWOK000.82_34472</t>
  </si>
  <si>
    <t>VRWCL036.37_34129</t>
  </si>
  <si>
    <t>SRNBE000.10_37418</t>
  </si>
  <si>
    <t>UGSFR144.95_34135</t>
  </si>
  <si>
    <t>UGBLR046.35_35205</t>
  </si>
  <si>
    <t>LCMIN018.05_33758</t>
  </si>
  <si>
    <t>VRWCL036.37_35170</t>
  </si>
  <si>
    <t>VRWCL036.37_33729</t>
  </si>
  <si>
    <t>UGFRY009.52_33715</t>
  </si>
  <si>
    <t>LCBRB006.74_34491</t>
  </si>
  <si>
    <t>LCBRB006.74_35569</t>
  </si>
  <si>
    <t>SRREY001.14_35194</t>
  </si>
  <si>
    <t>SPWRC000.48_35926</t>
  </si>
  <si>
    <t>SRTON056.39_36648</t>
  </si>
  <si>
    <t>SRNBE000.86_34855</t>
  </si>
  <si>
    <t>SREFB011.86_37425</t>
  </si>
  <si>
    <t>SREFB008.27_33763</t>
  </si>
  <si>
    <t>SPMLC012.43_35935</t>
  </si>
  <si>
    <t>SRHAY000.04_37419</t>
  </si>
  <si>
    <t>UGLAN000.60_34506</t>
  </si>
  <si>
    <t>UGFRY009.52_34108</t>
  </si>
  <si>
    <t>UGETK011.80_34429</t>
  </si>
  <si>
    <t>LCLCR350.32_37069</t>
  </si>
  <si>
    <t>SRWFB001.13_37425</t>
  </si>
  <si>
    <t>UGCAV016.84_36324</t>
  </si>
  <si>
    <t>SPCRC013.37_34793</t>
  </si>
  <si>
    <t>UGFRY009.52_35200</t>
  </si>
  <si>
    <t>UGBLR046.35_36690</t>
  </si>
  <si>
    <t>LCLCR352.57_34857</t>
  </si>
  <si>
    <t>VRPIE016.49_34842</t>
  </si>
  <si>
    <t>VROAK049.65_33737</t>
  </si>
  <si>
    <t>LCWLR005.31_34501</t>
  </si>
  <si>
    <t>LCLCR352.57_33793</t>
  </si>
  <si>
    <t>LCLCR352.57_34501</t>
  </si>
  <si>
    <t>SRRES000.33_34500</t>
  </si>
  <si>
    <t>SRREY001.14_34094</t>
  </si>
  <si>
    <t>SRFIS004.49_35955</t>
  </si>
  <si>
    <t>SRWFB005.34_34856</t>
  </si>
  <si>
    <t>LCLVL001.32_37061</t>
  </si>
  <si>
    <t>UGCAV016.84_37405</t>
  </si>
  <si>
    <t>LCELR007.74_33792</t>
  </si>
  <si>
    <t>SPRUC008.21_34064</t>
  </si>
  <si>
    <t>UGCMB004.23_36704</t>
  </si>
  <si>
    <t>SRNBE000.86_33766</t>
  </si>
  <si>
    <t>LCLIL002.16_34124</t>
  </si>
  <si>
    <t>LCPAD001.30_33759</t>
  </si>
  <si>
    <t>UGCOL003.48_34507</t>
  </si>
  <si>
    <t>SPWRC000.48_33702</t>
  </si>
  <si>
    <t>LCRUD007.23_33794</t>
  </si>
  <si>
    <t>LCPAD001.30_34507</t>
  </si>
  <si>
    <t>SRCYN045.73_33771</t>
  </si>
  <si>
    <t>SRCYN045.73_35564</t>
  </si>
  <si>
    <t>SRWRK007.97_34464</t>
  </si>
  <si>
    <t>SRWRK007.97_34095</t>
  </si>
  <si>
    <t>SRWFB005.34_34135</t>
  </si>
  <si>
    <t>LCMAM002.05_34124</t>
  </si>
  <si>
    <t>VRWOK000.82_35922</t>
  </si>
  <si>
    <t>UGBLR046.35_33742</t>
  </si>
  <si>
    <t>LCMAM002.05_35186</t>
  </si>
  <si>
    <t>LCMAM002.05_33744</t>
  </si>
  <si>
    <t>UGCMB004.23_34507</t>
  </si>
  <si>
    <t>SRCYN045.73_37398</t>
  </si>
  <si>
    <t>LCLCR352.57_35948</t>
  </si>
  <si>
    <t>LCELR000.99_37070</t>
  </si>
  <si>
    <t>UGETK011.80_39981</t>
  </si>
  <si>
    <t>LCMAM002.05_34508</t>
  </si>
  <si>
    <t>UGCOL003.48_33744</t>
  </si>
  <si>
    <t>SPWRC000.48_34064</t>
  </si>
  <si>
    <t>LCLIL002.16_33759</t>
  </si>
  <si>
    <t>VRWOK000.82_34834</t>
  </si>
  <si>
    <t>SRBWL005.79_37418</t>
  </si>
  <si>
    <t>UGCAV016.84_35930</t>
  </si>
  <si>
    <t>LCCOL003.03_37053</t>
  </si>
  <si>
    <t>LCWLR001.23_34501</t>
  </si>
  <si>
    <t>LCSLR001.42_35948</t>
  </si>
  <si>
    <t>LCSLR001.42_34501</t>
  </si>
  <si>
    <t>LCRUD007.23_35207</t>
  </si>
  <si>
    <t>SRNBE000.86_34498</t>
  </si>
  <si>
    <t>LCBRB006.74_34131</t>
  </si>
  <si>
    <t>UGCMB004.23_33742</t>
  </si>
  <si>
    <t>SRCKN001.61_33764</t>
  </si>
  <si>
    <t>LCSLR001.42_33793</t>
  </si>
  <si>
    <t>LCRUD007.23_34505</t>
  </si>
  <si>
    <t>UGCMB004.23_34123</t>
  </si>
  <si>
    <t>UGGRA000.82_33743</t>
  </si>
  <si>
    <t>LCPAD001.30_34123</t>
  </si>
  <si>
    <t>LCWLR005.31_34136</t>
  </si>
  <si>
    <t>SRSNK001.96_35956</t>
  </si>
  <si>
    <t>LCNUT025.35_40360</t>
  </si>
  <si>
    <t>SRWRK007.97_35192</t>
  </si>
  <si>
    <t>SRWFB005.34_34499</t>
  </si>
  <si>
    <t>UGCOL003.48_34123</t>
  </si>
  <si>
    <t>UGETK011.80_33703</t>
  </si>
  <si>
    <t>UGCOL003.48_35206</t>
  </si>
  <si>
    <t>SPRMC011.48_33710</t>
  </si>
  <si>
    <t>SRNBE000.86_34138</t>
  </si>
  <si>
    <t>UGETK011.80_34065</t>
  </si>
  <si>
    <t>LCWLR000.92_37070</t>
  </si>
  <si>
    <t>SRRES000.33_35956</t>
  </si>
  <si>
    <t>LCWLR001.23_34136</t>
  </si>
  <si>
    <t>SRWFB005.34_33763</t>
  </si>
  <si>
    <t>SRNBE000.86_35957</t>
  </si>
  <si>
    <t>LCWLR001.23_35947</t>
  </si>
  <si>
    <t>LCLCR352.57_34134</t>
  </si>
  <si>
    <t>LCWLR000.92_37782</t>
  </si>
  <si>
    <t>LCWLR000.92_38511</t>
  </si>
  <si>
    <t>LCSLR001.42_34858</t>
  </si>
  <si>
    <t>LCWLR005.31_35947</t>
  </si>
  <si>
    <t>VREVR051.15_34830</t>
  </si>
  <si>
    <t>LCWLR000.92_36705</t>
  </si>
  <si>
    <t>LCWLR004.09_37069</t>
  </si>
  <si>
    <t>LCFIS003.86_37060</t>
  </si>
  <si>
    <t>LCWLR001.23_34857</t>
  </si>
  <si>
    <t>SRWRK007.97_33736</t>
  </si>
  <si>
    <t>SRHAN002.27_39623</t>
  </si>
  <si>
    <t>SRRES000.33_34856</t>
  </si>
  <si>
    <t>LCSLR001.42_34136</t>
  </si>
  <si>
    <t>LCWLR004.09_37788</t>
  </si>
  <si>
    <t>SRWFB015.22_35950</t>
  </si>
  <si>
    <t>SRRES000.33_34137</t>
  </si>
  <si>
    <t>LCWLR000.92_38148</t>
  </si>
  <si>
    <t>SRRES000.33_33760</t>
  </si>
  <si>
    <t>LCWLR005.31_34857</t>
  </si>
  <si>
    <t>SRCKN001.61_34137</t>
  </si>
  <si>
    <t>LCNUT020.72_38147</t>
  </si>
  <si>
    <t>SRTON056.39_37748</t>
  </si>
  <si>
    <t>LCNUT011.29_41787</t>
  </si>
  <si>
    <t>SPRUC008.21_34799</t>
  </si>
  <si>
    <t>LCBCK005.06_34841</t>
  </si>
  <si>
    <t>LCBRO018.96_37062</t>
  </si>
  <si>
    <t>LCSIL027.05_40354</t>
  </si>
  <si>
    <t>LCBRO018.13_37062</t>
  </si>
  <si>
    <t>UGETK011.80_34800</t>
  </si>
  <si>
    <t>LCSIL043.84_37047</t>
  </si>
  <si>
    <t>SPWRC000.48_34799</t>
  </si>
  <si>
    <t>VRELL000.18_34844</t>
  </si>
  <si>
    <t>MGHSR108.19_41750</t>
  </si>
  <si>
    <t>LCLCR340.02_38512</t>
  </si>
  <si>
    <t>VROAK047.96_34834</t>
  </si>
  <si>
    <t>LCLCR340.02_37782</t>
  </si>
  <si>
    <t>VROAK043.73_34835</t>
  </si>
  <si>
    <t>LCLCR340.02_38147</t>
  </si>
  <si>
    <t>VRWAL018.97_34827</t>
  </si>
  <si>
    <t>LCLCR323.60_37033</t>
  </si>
  <si>
    <t>SRHRS001.41_42541</t>
  </si>
  <si>
    <t>LCNUT020.72_38484</t>
  </si>
  <si>
    <t>VRWEB009.13_35570</t>
  </si>
  <si>
    <t>SRTON056.39_38112</t>
  </si>
  <si>
    <t>LCBIL000.01_40351</t>
  </si>
  <si>
    <t>UGEAG056.85_34106</t>
  </si>
  <si>
    <t>UGBLR031.69_39981</t>
  </si>
  <si>
    <t>LCLCR340.02_36705</t>
  </si>
  <si>
    <t>UGEAG056.85_34477</t>
  </si>
  <si>
    <t>UGGRA000.82_34506</t>
  </si>
  <si>
    <t>UGCAV016.84_35588</t>
  </si>
  <si>
    <t>CGDEE000.10_38913</t>
  </si>
  <si>
    <t>UGEAG056.85_36656</t>
  </si>
  <si>
    <t>VREVR044.96_34830</t>
  </si>
  <si>
    <t>LCECL009.39_33777</t>
  </si>
  <si>
    <t>LCLCR337.67_33794</t>
  </si>
  <si>
    <t>VRWEB009.13_34865</t>
  </si>
  <si>
    <t>VROAK043.73_36284</t>
  </si>
  <si>
    <t>LCRDF009.82_34494</t>
  </si>
  <si>
    <t>LCBIL000.01_37068</t>
  </si>
  <si>
    <t>LCCHC073.26_33779</t>
  </si>
  <si>
    <t>LCCHC073.26_34493</t>
  </si>
  <si>
    <t>LCCHC075.04_33778</t>
  </si>
  <si>
    <t>UGEAG056.85_35198</t>
  </si>
  <si>
    <t>LCCHC073.26_35570</t>
  </si>
  <si>
    <t>SPGRA007.71_35548</t>
  </si>
  <si>
    <t>SRTON056.39_38504</t>
  </si>
  <si>
    <t>SPGRA007.71_41045</t>
  </si>
  <si>
    <t>SPMLC012.43_34794</t>
  </si>
  <si>
    <t>LCLCR340.02_37054</t>
  </si>
  <si>
    <t>LCBCK005.75_34841</t>
  </si>
  <si>
    <t>LCECL017.75_34492</t>
  </si>
  <si>
    <t>LCCHC073.26_34130</t>
  </si>
  <si>
    <t>CGTAP000.08_34153</t>
  </si>
  <si>
    <t>SPRMC011.48_34066</t>
  </si>
  <si>
    <t>LCECL021.13_39205</t>
  </si>
  <si>
    <t>UGEAG056.85_33784</t>
  </si>
  <si>
    <t>VRWCL036.37_35572</t>
  </si>
  <si>
    <t>VRELL009.02_34844</t>
  </si>
  <si>
    <t>SRTON056.39_37048</t>
  </si>
  <si>
    <t>SPGRA007.71_38517</t>
  </si>
  <si>
    <t>SRREY001.14_34465</t>
  </si>
  <si>
    <t>UGBLR046.35_34122</t>
  </si>
  <si>
    <t>SPRUC008.21_34428</t>
  </si>
  <si>
    <t>SRSTI002.67_35949</t>
  </si>
  <si>
    <t>CGTAP000.08_33771</t>
  </si>
  <si>
    <t>UGLAN000.60_34122</t>
  </si>
  <si>
    <t>LCCHC077.84_34130</t>
  </si>
  <si>
    <t>SRCYN045.73_34116</t>
  </si>
  <si>
    <t>VRWEB009.13_34128</t>
  </si>
  <si>
    <t>LCLIL002.16_34508</t>
  </si>
  <si>
    <t>SPRUC008.21_33702</t>
  </si>
  <si>
    <t>UGLAN000.60_35205</t>
  </si>
  <si>
    <t>VRWOK000.82_34100</t>
  </si>
  <si>
    <t>CGTAP000.08_34521</t>
  </si>
  <si>
    <t>CGTAP000.08_38913</t>
  </si>
  <si>
    <t>LCECL017.75_33777</t>
  </si>
  <si>
    <t>SPGRA007.71_33743</t>
  </si>
  <si>
    <t>VREVR044.96_33727</t>
  </si>
  <si>
    <t>LCMIN018.05_34121</t>
  </si>
  <si>
    <t>UGGRA000.82_34122</t>
  </si>
  <si>
    <t>UGETK011.80_35927</t>
  </si>
  <si>
    <t>LCECL017.75_34129</t>
  </si>
  <si>
    <t>SRTON062.28_40687</t>
  </si>
  <si>
    <t>SPRMC011.48_34801</t>
  </si>
  <si>
    <t>VRWCL036.37_34492</t>
  </si>
  <si>
    <t>UGBLR028.99_36690</t>
  </si>
  <si>
    <t>LCMIN018.05_35204</t>
  </si>
  <si>
    <t>UGLAN000.60_33743</t>
  </si>
  <si>
    <t>LCECL017.75_37068</t>
  </si>
  <si>
    <t>SPSPR126.35_34820</t>
  </si>
  <si>
    <t>CGDEE000.07_38913</t>
  </si>
  <si>
    <t>CGPAR000.49_40337</t>
  </si>
  <si>
    <t>VREVR034.80_38111</t>
  </si>
  <si>
    <t>CGDEE000.07_38479</t>
  </si>
  <si>
    <t>SCSYR004.21_37005</t>
  </si>
  <si>
    <t>MGANT013.35_34822</t>
  </si>
  <si>
    <t>MGAFR087.06_34458</t>
  </si>
  <si>
    <t>VRLIM001.14_34809</t>
  </si>
  <si>
    <t>SPSPR150.09_37001</t>
  </si>
  <si>
    <t>VRSYW001.72_34100</t>
  </si>
  <si>
    <t>MGAFR087.06_34087</t>
  </si>
  <si>
    <t>VRWCL005.10_34841</t>
  </si>
  <si>
    <t>BWBRO029.27_37350</t>
  </si>
  <si>
    <t>BWCTC009.32_34081</t>
  </si>
  <si>
    <t>UGBON006.41_34820</t>
  </si>
  <si>
    <t>SRPNT008.48_42494</t>
  </si>
  <si>
    <t>CGRYA000.05_38478</t>
  </si>
  <si>
    <t>SCSAB007.15_42129</t>
  </si>
  <si>
    <t>VRSYM016.44_33727</t>
  </si>
  <si>
    <t>VRVER107.68_34815</t>
  </si>
  <si>
    <t>SPSPR126.35_34066</t>
  </si>
  <si>
    <t>CGKAN000.26_38481</t>
  </si>
  <si>
    <t>CGRYA000.05_38913</t>
  </si>
  <si>
    <t>SPARA010.19_38448</t>
  </si>
  <si>
    <t>CGVGR052.23_34491</t>
  </si>
  <si>
    <t>SRCHE013.65_34464</t>
  </si>
  <si>
    <t>CGDIA000.06_38484</t>
  </si>
  <si>
    <t>CGNAN000.20_33764</t>
  </si>
  <si>
    <t>MGSYD009.13_34088</t>
  </si>
  <si>
    <t>SRSAL019.52_35192</t>
  </si>
  <si>
    <t>BWBSR034.68_40343</t>
  </si>
  <si>
    <t>VRSYW001.72_34828</t>
  </si>
  <si>
    <t>UGBLR011.55_34107</t>
  </si>
  <si>
    <t>CGBRA000.44_34150</t>
  </si>
  <si>
    <t>CGHRM001.58_34519</t>
  </si>
  <si>
    <t>UGBLR008.19_38496</t>
  </si>
  <si>
    <t>BWFRA002.33_34079</t>
  </si>
  <si>
    <t>SCCIE019.90_34075</t>
  </si>
  <si>
    <t>VROAK031.38_38463</t>
  </si>
  <si>
    <t>SPBHC004.66_35184</t>
  </si>
  <si>
    <t>CGDEE000.07_34522</t>
  </si>
  <si>
    <t>CGHRM000.08_38477</t>
  </si>
  <si>
    <t>BWTRT002.43_37349</t>
  </si>
  <si>
    <t>VRVER103.73_34815</t>
  </si>
  <si>
    <t>CGHRM001.58_33769</t>
  </si>
  <si>
    <t>VROAK031.38_37734</t>
  </si>
  <si>
    <t>VREVR000.86_34806</t>
  </si>
  <si>
    <t>SRCHE033.95_34115</t>
  </si>
  <si>
    <t>VRWBV006.54_34814</t>
  </si>
  <si>
    <t>SCSCR168.93_36993</t>
  </si>
  <si>
    <t>SPARA017.25_33716</t>
  </si>
  <si>
    <t>SPRDC012.76_35549</t>
  </si>
  <si>
    <t>CGDIA000.66_38484</t>
  </si>
  <si>
    <t>CGHRM000.08_38911</t>
  </si>
  <si>
    <t>UGBON006.41_34109</t>
  </si>
  <si>
    <t>VROAK017.49_34829</t>
  </si>
  <si>
    <t>VRVER185.21_35923</t>
  </si>
  <si>
    <t>VRWBV012.56_34101</t>
  </si>
  <si>
    <t>SCSCR168.93_33710</t>
  </si>
  <si>
    <t>UGEAG040.33_34106</t>
  </si>
  <si>
    <t>SPSPR126.35_36642</t>
  </si>
  <si>
    <t>SPSPR126.35_33704</t>
  </si>
  <si>
    <t>VRVER137.80_34829</t>
  </si>
  <si>
    <t>MGSYD009.13_35914</t>
  </si>
  <si>
    <t>VRVER127.02_34829</t>
  </si>
  <si>
    <t>CGRYA000.05_33770</t>
  </si>
  <si>
    <t>SCSYR004.21_34074</t>
  </si>
  <si>
    <t>VRSYH000.25_38106</t>
  </si>
  <si>
    <t>CGHRM001.58_34151</t>
  </si>
  <si>
    <t>CGVGR039.41_34492</t>
  </si>
  <si>
    <t>SCCIE020.88_36999</t>
  </si>
  <si>
    <t>VRVER134.11_36284</t>
  </si>
  <si>
    <t>SCSYR004.21_33719</t>
  </si>
  <si>
    <t>VRWCL011.16_35170</t>
  </si>
  <si>
    <t>VROAK031.38_38119</t>
  </si>
  <si>
    <t>SRSAL019.52_33735</t>
  </si>
  <si>
    <t>VROAK028.24_36284</t>
  </si>
  <si>
    <t>SRHAG007.47_34113</t>
  </si>
  <si>
    <t>SPRDC012.76_33700</t>
  </si>
  <si>
    <t>MGLAS004.52_35914</t>
  </si>
  <si>
    <t>VROAK038.61_34836</t>
  </si>
  <si>
    <t>CGTHS000.04_38483</t>
  </si>
  <si>
    <t>MGHSR085.79_37046</t>
  </si>
  <si>
    <t>VROAK016.70_34829</t>
  </si>
  <si>
    <t>CGCRY000.05_34151</t>
  </si>
  <si>
    <t>SRSAL019.52_34465</t>
  </si>
  <si>
    <t>SRSAL019.52_34094</t>
  </si>
  <si>
    <t>MGLAS004.52_34823</t>
  </si>
  <si>
    <t>VRTGL000.52_34808</t>
  </si>
  <si>
    <t>MGHSR082.11_34456</t>
  </si>
  <si>
    <t>BWFRA001.04_37741</t>
  </si>
  <si>
    <t>BWTRT002.43_37741</t>
  </si>
  <si>
    <t>VRPIE000.29_33728</t>
  </si>
  <si>
    <t>CGSHI000.05_38912</t>
  </si>
  <si>
    <t>VRGAP000.92_38104</t>
  </si>
  <si>
    <t>MGDVC005.49_35542</t>
  </si>
  <si>
    <t>SPARA017.25_34436</t>
  </si>
  <si>
    <t>UGBLR011.55_34478</t>
  </si>
  <si>
    <t>SPARA013.78_36999</t>
  </si>
  <si>
    <t>VREVR015.34_34843</t>
  </si>
  <si>
    <t>VRWCL011.16_34101</t>
  </si>
  <si>
    <t>BWTRT002.43_38099</t>
  </si>
  <si>
    <t>CGCRY000.05_34519</t>
  </si>
  <si>
    <t>MGHSR058.80_36605</t>
  </si>
  <si>
    <t>SPSPR005.28_35936</t>
  </si>
  <si>
    <t>VREVR031.25_33728</t>
  </si>
  <si>
    <t>VRVER164.63_38462</t>
  </si>
  <si>
    <t>UGDIX000.78_38855</t>
  </si>
  <si>
    <t>SPSPR059.21_36643</t>
  </si>
  <si>
    <t>VRVER164.63_36627</t>
  </si>
  <si>
    <t>VREVR031.25_34843</t>
  </si>
  <si>
    <t>SPBHC004.31_37000</t>
  </si>
  <si>
    <t>VROAK028.24_34836</t>
  </si>
  <si>
    <t>BWBRO042.16_33752</t>
  </si>
  <si>
    <t>VRVER164.63_37362</t>
  </si>
  <si>
    <t>VRSYM016.44_34864</t>
  </si>
  <si>
    <t>VRGAP000.92_34815</t>
  </si>
  <si>
    <t>SPSPR126.35_36663</t>
  </si>
  <si>
    <t>UGBLR011.55_33785</t>
  </si>
  <si>
    <t>BWTRT011.97_33751</t>
  </si>
  <si>
    <t>VROAK034.02_34835</t>
  </si>
  <si>
    <t>BWSMR026.08_36633</t>
  </si>
  <si>
    <t>CGKAN000.26_34154</t>
  </si>
  <si>
    <t>VRBEV000.72_36277</t>
  </si>
  <si>
    <t>SRCHE033.95_35563</t>
  </si>
  <si>
    <t>CGSHI000.06_38912</t>
  </si>
  <si>
    <t>SPHSC010.67_34434</t>
  </si>
  <si>
    <t>CGRYA000.05_34152</t>
  </si>
  <si>
    <t>CGBRA000.44_33769</t>
  </si>
  <si>
    <t>VRSPN002.04_38118</t>
  </si>
  <si>
    <t>SRCHE013.65_34095</t>
  </si>
  <si>
    <t>MGSYD009.13_34824</t>
  </si>
  <si>
    <t>MGAFR087.06_33745</t>
  </si>
  <si>
    <t>VREVR034.80_36628</t>
  </si>
  <si>
    <t>VRVER053.70_34807</t>
  </si>
  <si>
    <t>VRWBV009.31_36285</t>
  </si>
  <si>
    <t>MGLAS004.52_34088</t>
  </si>
  <si>
    <t>VRVER164.63_37733</t>
  </si>
  <si>
    <t>MGSYD009.13_37364</t>
  </si>
  <si>
    <t>MGANT013.35_34457</t>
  </si>
  <si>
    <t>SRTON019.37_37041</t>
  </si>
  <si>
    <t>VROAK016.70_36284</t>
  </si>
  <si>
    <t>VRVER107.68_36279</t>
  </si>
  <si>
    <t>CGBDW000.10_34492</t>
  </si>
  <si>
    <t>SPDOU000.18_36668</t>
  </si>
  <si>
    <t>VRRED004.17_38105</t>
  </si>
  <si>
    <t>SPARA010.19_36627</t>
  </si>
  <si>
    <t>MGHSR085.79_36626</t>
  </si>
  <si>
    <t>SPHSC010.67_36663</t>
  </si>
  <si>
    <t>SRCHE013.65_33736</t>
  </si>
  <si>
    <t>CGKAN000.26_33772</t>
  </si>
  <si>
    <t>CGKAN000.26_34523</t>
  </si>
  <si>
    <t>UGBON006.41_34479</t>
  </si>
  <si>
    <t>SCCIE019.90_33711</t>
  </si>
  <si>
    <t>VRWBV009.31_34816</t>
  </si>
  <si>
    <t>SRCHE033.95_33771</t>
  </si>
  <si>
    <t>SRPNT008.48_37040</t>
  </si>
  <si>
    <t>VRWBV012.56_36285</t>
  </si>
  <si>
    <t>VRSPN001.89_35606</t>
  </si>
  <si>
    <t>UGBLR008.19_37027</t>
  </si>
  <si>
    <t>SPBAS001.64_33701</t>
  </si>
  <si>
    <t>VRPIE000.29_34843</t>
  </si>
  <si>
    <t>VRVER164.63_38112</t>
  </si>
  <si>
    <t>BWTRT011.97_35541</t>
  </si>
  <si>
    <t>BWBRO029.27_37019</t>
  </si>
  <si>
    <t>SRCHE004.32_37383</t>
  </si>
  <si>
    <t>VRVER127.02_36284</t>
  </si>
  <si>
    <t>VRPIE000.29_34128</t>
  </si>
  <si>
    <t>CGBDW000.70_34492</t>
  </si>
  <si>
    <t>VRWBV012.56_34813</t>
  </si>
  <si>
    <t>SRCHE033.95_34487</t>
  </si>
  <si>
    <t>VRWBV012.56_34470</t>
  </si>
  <si>
    <t>VROAK031.38_36649</t>
  </si>
  <si>
    <t>MGLAS004.52_37364</t>
  </si>
  <si>
    <t>VRROU002.93_38105</t>
  </si>
  <si>
    <t>VRSYW000.77_35556</t>
  </si>
  <si>
    <t>UGGLR452.43_39216</t>
  </si>
  <si>
    <t>VRSYW001.72_35921</t>
  </si>
  <si>
    <t>MGNWR054.26_35899</t>
  </si>
  <si>
    <t>UGBLR008.19_38118</t>
  </si>
  <si>
    <t>SPARA013.78_34072</t>
  </si>
  <si>
    <t>SRHNC000.45_36608</t>
  </si>
  <si>
    <t>BWBRO042.16_34450</t>
  </si>
  <si>
    <t>VRBEV005.46_36277</t>
  </si>
  <si>
    <t>UGGLR451.46_39216</t>
  </si>
  <si>
    <t>UGPIG002.47_34107</t>
  </si>
  <si>
    <t>SCCIE019.90_34445</t>
  </si>
  <si>
    <t>SPSPR126.35_34430</t>
  </si>
  <si>
    <t>SPBHC004.66_36662</t>
  </si>
  <si>
    <t>SPHSC010.67_33711</t>
  </si>
  <si>
    <t>SPRDC012.76_34435</t>
  </si>
  <si>
    <t>VROAK031.38_37363</t>
  </si>
  <si>
    <t>VRSYW001.72_35556</t>
  </si>
  <si>
    <t>VRVER165.07_34864</t>
  </si>
  <si>
    <t>VRSYH000.25_34808</t>
  </si>
  <si>
    <t>MGLAS004.52_34458</t>
  </si>
  <si>
    <t>VRVER179.25_38111</t>
  </si>
  <si>
    <t>VRSYH000.25_35919</t>
  </si>
  <si>
    <t>SCCIE019.90_35215</t>
  </si>
  <si>
    <t>SRPNT008.48_36629</t>
  </si>
  <si>
    <t>VRVER165.07_34099</t>
  </si>
  <si>
    <t>MGGLR343.27_37762</t>
  </si>
  <si>
    <t>UGEAG040.33_36655</t>
  </si>
  <si>
    <t>BWTRT002.43_37018</t>
  </si>
  <si>
    <t>UGEAG040.33_37761</t>
  </si>
  <si>
    <t>VRSYH000.25_33721</t>
  </si>
  <si>
    <t>VRVER137.80_36276</t>
  </si>
  <si>
    <t>SRTON032.62_33707</t>
  </si>
  <si>
    <t>VRROU002.93_34102</t>
  </si>
  <si>
    <t>UGBLR008.19_37761</t>
  </si>
  <si>
    <t>UGEAG040.33_34477</t>
  </si>
  <si>
    <t>CGBRA000.44_34519</t>
  </si>
  <si>
    <t>SPHSC010.67_35549</t>
  </si>
  <si>
    <t>SPHSC010.67_38461</t>
  </si>
  <si>
    <t>VRSPN002.64_35606</t>
  </si>
  <si>
    <t>SPARA010.19_37761</t>
  </si>
  <si>
    <t>SPSPR005.28_37383</t>
  </si>
  <si>
    <t>VRROU002.93_33721</t>
  </si>
  <si>
    <t>SRTON046.90_35562</t>
  </si>
  <si>
    <t>MGLAS004.52_33745</t>
  </si>
  <si>
    <t>BWFRA000.46_33752</t>
  </si>
  <si>
    <t>VRWCL011.16_36283</t>
  </si>
  <si>
    <t>SRDEV000.38_34095</t>
  </si>
  <si>
    <t>VRSYM016.44_34463</t>
  </si>
  <si>
    <t>VRSPN000.78_35605</t>
  </si>
  <si>
    <t>VRROU002.93_34807</t>
  </si>
  <si>
    <t>VRWCL011.16_34470</t>
  </si>
  <si>
    <t>UGEAG015.23_39931</t>
  </si>
  <si>
    <t>BWSMR029.44_33753</t>
  </si>
  <si>
    <t>UGBLR011.55_35199</t>
  </si>
  <si>
    <t>SPBAS001.64_34434</t>
  </si>
  <si>
    <t>VRWCL010.66_38126</t>
  </si>
  <si>
    <t>VRSPN002.04_35921</t>
  </si>
  <si>
    <t>UGSFR019.63_33785</t>
  </si>
  <si>
    <t>UGBON006.41_35200</t>
  </si>
  <si>
    <t>SPARA013.78_34437</t>
  </si>
  <si>
    <t>UGBON000.17_37390</t>
  </si>
  <si>
    <t>SPARA013.78_33704</t>
  </si>
  <si>
    <t>VRWCL011.16_33730</t>
  </si>
  <si>
    <t>UGEAG040.33_33784</t>
  </si>
  <si>
    <t>SPBAS001.64_36663</t>
  </si>
  <si>
    <t>VRWBV012.56_35920</t>
  </si>
  <si>
    <t>VRSPN002.04_34836</t>
  </si>
  <si>
    <t>SPARA010.19_36665</t>
  </si>
  <si>
    <t>SPBAS001.64_36669</t>
  </si>
  <si>
    <t>SPHSC010.67_36668</t>
  </si>
  <si>
    <t>SPSPR005.28_36665</t>
  </si>
  <si>
    <t>VRWBV012.56_33730</t>
  </si>
  <si>
    <t>SPARA017.25_35548</t>
  </si>
  <si>
    <t>VRROU002.93_35919</t>
  </si>
  <si>
    <t>MGSYD009.13_34458</t>
  </si>
  <si>
    <t>SRTON019.37_38113</t>
  </si>
  <si>
    <t>SRTON019.37_37385</t>
  </si>
  <si>
    <t>BWBRO042.16_35542</t>
  </si>
  <si>
    <t>VRWCL005.10_36283</t>
  </si>
  <si>
    <t>VRSYH000.25_34102</t>
  </si>
  <si>
    <t>SPSPR059.21_36664</t>
  </si>
  <si>
    <t>VRVER165.07_33722</t>
  </si>
  <si>
    <t>SRTON046.90_34486</t>
  </si>
  <si>
    <t>VRVER053.70_38106</t>
  </si>
  <si>
    <t>VROAK031.38_37042</t>
  </si>
  <si>
    <t>UGBON000.17_37026</t>
  </si>
  <si>
    <t>VRPIE000.29_34494</t>
  </si>
  <si>
    <t>VRPIE000.29_35571</t>
  </si>
  <si>
    <t>VRVER121.49_36283</t>
  </si>
  <si>
    <t>SRCGN009.78_35191</t>
  </si>
  <si>
    <t>SRDEV000.38_35193</t>
  </si>
  <si>
    <t>BWSMR029.44_35544</t>
  </si>
  <si>
    <t>UGSFR019.04_38119</t>
  </si>
  <si>
    <t>VRHOU003.48_34806</t>
  </si>
  <si>
    <t>SRHAG007.47_34487</t>
  </si>
  <si>
    <t>UGGLR448.61_39217</t>
  </si>
  <si>
    <t>UGSFR019.04_39946</t>
  </si>
  <si>
    <t>UGEAG010.12_37760</t>
  </si>
  <si>
    <t>SRCGN009.78_34466</t>
  </si>
  <si>
    <t>UGSFR006.42_36661</t>
  </si>
  <si>
    <t>VRSYW001.72_34473</t>
  </si>
  <si>
    <t>BWPEE003.51_33754</t>
  </si>
  <si>
    <t>VRVER165.07_36278</t>
  </si>
  <si>
    <t>BWTRT002.43_36635</t>
  </si>
  <si>
    <t>BWSMR029.44_34451</t>
  </si>
  <si>
    <t>VRVER053.70_39584</t>
  </si>
  <si>
    <t>SRCGN009.78_33708</t>
  </si>
  <si>
    <t>BWCNG006.59_33753</t>
  </si>
  <si>
    <t>UGSFR019.04_37026</t>
  </si>
  <si>
    <t>BWCNG006.59_34080</t>
  </si>
  <si>
    <t>UGEAG010.12_36663</t>
  </si>
  <si>
    <t>VRVER164.63_37047</t>
  </si>
  <si>
    <t>VRVER165.07_34471</t>
  </si>
  <si>
    <t>UGSFR006.42_38119</t>
  </si>
  <si>
    <t>VRSPN000.19_35605</t>
  </si>
  <si>
    <t>VRWBV012.35_38125</t>
  </si>
  <si>
    <t>VRSYH000.25_35171</t>
  </si>
  <si>
    <t>BWBSR037.79_40330</t>
  </si>
  <si>
    <t>BWTRT011.97_34449</t>
  </si>
  <si>
    <t>UGBON000.17_36668</t>
  </si>
  <si>
    <t>SRSPI011.63_34115</t>
  </si>
  <si>
    <t>SRDEV000.38_34464</t>
  </si>
  <si>
    <t>BWFRA000.46_34449</t>
  </si>
  <si>
    <t>VRWBV006.54_38905</t>
  </si>
  <si>
    <t>UGBLR008.19_37412</t>
  </si>
  <si>
    <t>UGSFR019.04_36663</t>
  </si>
  <si>
    <t>SRHAG007.47_33770</t>
  </si>
  <si>
    <t>MGSYD009.13_33745</t>
  </si>
  <si>
    <t>UGSFR006.42_37028</t>
  </si>
  <si>
    <t>UGBON014.47_36664</t>
  </si>
  <si>
    <t>SRTON046.90_34114</t>
  </si>
  <si>
    <t>BWFRA001.04_35542</t>
  </si>
  <si>
    <t>SPARA013.78_35556</t>
  </si>
  <si>
    <t>SRTON019.37_36628</t>
  </si>
  <si>
    <t>SPARA017.25_36670</t>
  </si>
  <si>
    <t>BWCNG006.59_35543</t>
  </si>
  <si>
    <t>SPARA017.25_36669</t>
  </si>
  <si>
    <t>UGBLR008.19_36655</t>
  </si>
  <si>
    <t>SRSPI011.63_33770</t>
  </si>
  <si>
    <t>SRSPI011.63_34485</t>
  </si>
  <si>
    <t>CGCRY000.05_38902</t>
  </si>
  <si>
    <t>VRBIT003.93_34820</t>
  </si>
  <si>
    <t>CGPAR001.62_33762</t>
  </si>
  <si>
    <t>MGSLR000.88_34450</t>
  </si>
  <si>
    <t>CGNAN000.20_38474</t>
  </si>
  <si>
    <t>SPMLG010.37_37404</t>
  </si>
  <si>
    <t>VRBIT003.17_35557</t>
  </si>
  <si>
    <t>SCSCR105.52_34472</t>
  </si>
  <si>
    <t>CGTHS000.04_34525</t>
  </si>
  <si>
    <t>CGPAR000.49_41388</t>
  </si>
  <si>
    <t>SPBHC004.66_38446</t>
  </si>
  <si>
    <t>LCLCR000.13_33765</t>
  </si>
  <si>
    <t>MGHSR085.79_38478</t>
  </si>
  <si>
    <t>SRPNT008.48_39554</t>
  </si>
  <si>
    <t>VRVER185.21_34828</t>
  </si>
  <si>
    <t>VREVR034.80_37732</t>
  </si>
  <si>
    <t>SCRED008.94_34067</t>
  </si>
  <si>
    <t>MGHSR082.11_34086</t>
  </si>
  <si>
    <t>VREVR034.80_37014</t>
  </si>
  <si>
    <t>SRHAG007.47_35563</t>
  </si>
  <si>
    <t>SRCHE013.65_35193</t>
  </si>
  <si>
    <t>CGNAN000.20_38909</t>
  </si>
  <si>
    <t>CGCRY000.05_38477</t>
  </si>
  <si>
    <t>BWSMR029.44_34078</t>
  </si>
  <si>
    <t>MGANT013.35_33732</t>
  </si>
  <si>
    <t>CGNAN000.20_34149</t>
  </si>
  <si>
    <t>VRCMP019.06_35913</t>
  </si>
  <si>
    <t>SPHSC010.67_34059</t>
  </si>
  <si>
    <t>SPBAS001.64_34059</t>
  </si>
  <si>
    <t>MGAFR087.06_35915</t>
  </si>
  <si>
    <t>SCCIE006.69_36998</t>
  </si>
  <si>
    <t>CGRYA000.05_34520</t>
  </si>
  <si>
    <t>SCSON014.52_36994</t>
  </si>
  <si>
    <t>MGANT013.35_35914</t>
  </si>
  <si>
    <t>BWCTC009.32_34457</t>
  </si>
  <si>
    <t>CGCLE000.19_38475</t>
  </si>
  <si>
    <t>MGANT013.35_34086</t>
  </si>
  <si>
    <t>SCCIE004.25_36998</t>
  </si>
  <si>
    <t>CGHAV000.36_33773</t>
  </si>
  <si>
    <t>SPBAS000.62_38461</t>
  </si>
  <si>
    <t>MGTUL005.21_34085</t>
  </si>
  <si>
    <t>SPRDC012.76_34058</t>
  </si>
  <si>
    <t>BWBRO042.16_34079</t>
  </si>
  <si>
    <t>SRTON019.37_37749</t>
  </si>
  <si>
    <t>SPRDC012.76_38462</t>
  </si>
  <si>
    <t>CGBDW006.86_34492</t>
  </si>
  <si>
    <t>SCRED005.58_37000</t>
  </si>
  <si>
    <t>SPARA017.25_34061</t>
  </si>
  <si>
    <t>VRRED004.17_34807</t>
  </si>
  <si>
    <t>MGAFR087.06_34823</t>
  </si>
  <si>
    <t>VREVR034.80_38503</t>
  </si>
  <si>
    <t>SPARA013.78_37391</t>
  </si>
  <si>
    <t>UGGLR401.85_42142</t>
  </si>
  <si>
    <t>VREVR034.80_37363</t>
  </si>
  <si>
    <t>MGQEN034.66_34416</t>
  </si>
  <si>
    <t>CGTHS000.04_34156</t>
  </si>
  <si>
    <t>SPPAI008.89_35185</t>
  </si>
  <si>
    <t>SPSPR102.01_36642</t>
  </si>
  <si>
    <t/>
  </si>
  <si>
    <t>SCMAD012.71_37006</t>
  </si>
  <si>
    <t>CGNAT000.48_38914</t>
  </si>
  <si>
    <t>SRSAL008.74_42474</t>
  </si>
  <si>
    <t>SRCRS002.97_37909</t>
  </si>
  <si>
    <t>VRBTT005.70_39562</t>
  </si>
  <si>
    <t>MGQEN037.17_38461</t>
  </si>
  <si>
    <t>VRBTT005.70_39910</t>
  </si>
  <si>
    <t>UGBON014.47_35403</t>
  </si>
  <si>
    <t>SRR2K007.10_39886</t>
  </si>
  <si>
    <t>CGMAT000.03_38481</t>
  </si>
  <si>
    <t>SRCOT005.74_39883</t>
  </si>
  <si>
    <t>VRWCL009.24_35696</t>
  </si>
  <si>
    <t>CGCRY000.05_38912</t>
  </si>
  <si>
    <t>VRWCL001.16_35683</t>
  </si>
  <si>
    <t>SRTON058.93_37910</t>
  </si>
  <si>
    <t>MGFRG008.09_38112</t>
  </si>
  <si>
    <t>CGHRM000.27_35718</t>
  </si>
  <si>
    <t>MGLOG000.56_42479</t>
  </si>
  <si>
    <t>CGBRA001.36_35717</t>
  </si>
  <si>
    <t>SPSPR117.97_39800</t>
  </si>
  <si>
    <t>MGAFR087.35_35915</t>
  </si>
  <si>
    <t>CGRYA000.05_35716</t>
  </si>
  <si>
    <t>SRTON058.63_37910</t>
  </si>
  <si>
    <t>UGCAV014.44_37013</t>
  </si>
  <si>
    <t>VRUBT000.31_35557</t>
  </si>
  <si>
    <t>UGSCV002.80_35927</t>
  </si>
  <si>
    <t>CGMON000.19_38477</t>
  </si>
  <si>
    <t>VRMIL006.07_39559</t>
  </si>
  <si>
    <t>CGSPG000.17_38848</t>
  </si>
  <si>
    <t>SRGVL011.66_42598</t>
  </si>
  <si>
    <t>UGSCV002.56_37013</t>
  </si>
  <si>
    <t>CGSPG000.43_35726</t>
  </si>
  <si>
    <t>SPSPR117.97_39960</t>
  </si>
  <si>
    <t>SRREY001.45_42641</t>
  </si>
  <si>
    <t>MGQEN037.47_38461</t>
  </si>
  <si>
    <t>SPSPR150.09_36641</t>
  </si>
  <si>
    <t>VRGRA033.51_39560</t>
  </si>
  <si>
    <t>SPWRC000.09_38518</t>
  </si>
  <si>
    <t>VRAPA002.31_42529</t>
  </si>
  <si>
    <t>SCSAB004.49_38098</t>
  </si>
  <si>
    <t>VRAPA007.76_35515</t>
  </si>
  <si>
    <t>BWBRO037.65_42514</t>
  </si>
  <si>
    <t>SRFSH006.38_35528</t>
  </si>
  <si>
    <t>VRMIL000.22_39560</t>
  </si>
  <si>
    <t>SCSCR169.35_36993</t>
  </si>
  <si>
    <t>VRSYM021.25_40616</t>
  </si>
  <si>
    <t>VRBAN000.06_39561</t>
  </si>
  <si>
    <t>SPARA013.78_36627</t>
  </si>
  <si>
    <t>VRPIN001.31_40275</t>
  </si>
  <si>
    <t>VRAPA000.03_35514</t>
  </si>
  <si>
    <t>VRGRA029.97_39561</t>
  </si>
  <si>
    <t>BWBSR034.68_36634</t>
  </si>
  <si>
    <t>CGMON000.19_38911</t>
  </si>
  <si>
    <t>MGIDN002.66_39909</t>
  </si>
  <si>
    <t>SPCOP011.39_35925</t>
  </si>
  <si>
    <t>MGWCC000.25_42471</t>
  </si>
  <si>
    <t>SCSAB005.40_36999</t>
  </si>
  <si>
    <t>VRALD007.86_39882</t>
  </si>
  <si>
    <t>SRCRS005.68_37909</t>
  </si>
  <si>
    <t>UGCAV014.44_36677</t>
  </si>
  <si>
    <t>VRUWV001.55_42528</t>
  </si>
  <si>
    <t>CGDEE000.07_35723</t>
  </si>
  <si>
    <t>LCWIL018.74_42506</t>
  </si>
  <si>
    <t>VRGRA029.97_39911</t>
  </si>
  <si>
    <t>CGCRY000.41_35719</t>
  </si>
  <si>
    <t>VRWCL004.72_35695</t>
  </si>
  <si>
    <t>VRROK002.80_39883</t>
  </si>
  <si>
    <t>VRMIL006.07_40282</t>
  </si>
  <si>
    <t>VRWCL005.53_35683</t>
  </si>
  <si>
    <t>VRVER165.07_40660</t>
  </si>
  <si>
    <t>SPSPR126.35_36658</t>
  </si>
  <si>
    <t>UGLAN000.60_39842</t>
  </si>
  <si>
    <t>LCWLR005.31_35949</t>
  </si>
  <si>
    <t>SRHAN000.06_39589</t>
  </si>
  <si>
    <t>MGCVE037.68_37342</t>
  </si>
  <si>
    <t>VRMIL000.22_39911</t>
  </si>
  <si>
    <t>SPARA017.25_35927</t>
  </si>
  <si>
    <t>SCSAB005.09_39974</t>
  </si>
  <si>
    <t>VRGRA027.35_39562</t>
  </si>
  <si>
    <t>CGTAP000.57_35722</t>
  </si>
  <si>
    <t>VRASP005.07_39909</t>
  </si>
  <si>
    <t>UGBON014.47_36662</t>
  </si>
  <si>
    <t>CGGDN001.09_35716</t>
  </si>
  <si>
    <t>VRWCL036.37_35682</t>
  </si>
  <si>
    <t>CGTHS000.04_35727</t>
  </si>
  <si>
    <t>MGFRG007.28_38112</t>
  </si>
  <si>
    <t>UGBON010.37_35390</t>
  </si>
  <si>
    <t>SPSPR005.28_36629</t>
  </si>
  <si>
    <t>SRFIN000.78_42507</t>
  </si>
  <si>
    <t>VRCAM000.79_39881</t>
  </si>
  <si>
    <t>SRR2K004.34_39896</t>
  </si>
  <si>
    <t>MGNWR054.26_35901</t>
  </si>
  <si>
    <t>SRHNC000.14_39568</t>
  </si>
  <si>
    <t>VRCAM000.79_40273</t>
  </si>
  <si>
    <t>MGIDN002.66_39560</t>
  </si>
  <si>
    <t>UGSFR034.57_36654</t>
  </si>
  <si>
    <t>SRCYN046.07_37398</t>
  </si>
  <si>
    <t>UGBON003.68_35389</t>
  </si>
  <si>
    <t>VRROK002.80_40273</t>
  </si>
  <si>
    <t>VRBTT005.70_40282</t>
  </si>
  <si>
    <t>VREVR051.15_39741</t>
  </si>
  <si>
    <t>VRGRA033.51_39911</t>
  </si>
  <si>
    <t>MGSYD009.51_39559</t>
  </si>
  <si>
    <t>UGCAV014.44_37404</t>
  </si>
  <si>
    <t>CGSPG000.17_38915</t>
  </si>
  <si>
    <t>VRWCL011.16_35696</t>
  </si>
  <si>
    <t>SRCYN045.73_39742</t>
  </si>
  <si>
    <t>CGCLE000.19_38190</t>
  </si>
  <si>
    <t>SPSPR003.85_37383</t>
  </si>
  <si>
    <t>MGBGB023.15_42480</t>
  </si>
  <si>
    <t>VRPIN001.31_39882</t>
  </si>
  <si>
    <t>UGBON000.17_35388</t>
  </si>
  <si>
    <t>SCCIE003.26_36998</t>
  </si>
  <si>
    <t>MGIDN002.66_40281</t>
  </si>
  <si>
    <t>SCSAB009.77_37004</t>
  </si>
  <si>
    <t>UGBLR031.69_39744</t>
  </si>
  <si>
    <t>UGCAV011.45_37014</t>
  </si>
  <si>
    <t>CGNAT000.48_35724</t>
  </si>
  <si>
    <t>VRASP005.07_40281</t>
  </si>
  <si>
    <t>SPMLG015.59_37404</t>
  </si>
  <si>
    <t>UGGLR471.49_36669</t>
  </si>
  <si>
    <t>VRMIL006.07_39910</t>
  </si>
  <si>
    <t>SRCOT005.74_40274</t>
  </si>
  <si>
    <t>VRASP005.07_39559</t>
  </si>
  <si>
    <t>MGQEN039.75_38461</t>
  </si>
  <si>
    <t>SPSPR108.03_42473</t>
  </si>
  <si>
    <t>MGCVE037.68_39771</t>
  </si>
  <si>
    <t>SCCIE026.68_37000</t>
  </si>
  <si>
    <t>VRSYW001.72_39756</t>
  </si>
  <si>
    <t>SRPNT008.48_39741</t>
  </si>
  <si>
    <t>VRUBS001.35_42606</t>
  </si>
  <si>
    <t>SCBCN002.27_42472</t>
  </si>
  <si>
    <t>SPBAS001.64_35859</t>
  </si>
  <si>
    <t>SRGVL007.70_42815</t>
  </si>
  <si>
    <t>LCNUT020.23_38146</t>
  </si>
  <si>
    <t>LCJCC045.76_42592</t>
  </si>
  <si>
    <t>LCBRB000.27_35569</t>
  </si>
  <si>
    <t>CGTAP000.08_38479</t>
  </si>
  <si>
    <t>VRGRA029.97_40283</t>
  </si>
  <si>
    <t>VRSPN000.78_39470</t>
  </si>
  <si>
    <t>VRWBV002.97_39471</t>
  </si>
  <si>
    <t>VROAK002.96_39469</t>
  </si>
  <si>
    <t>LCSHL031.05_39381</t>
  </si>
  <si>
    <t>LCSIL041.04_39372</t>
  </si>
  <si>
    <t>LCBEN002.57_39401</t>
  </si>
  <si>
    <t>LCLCR342.03_39370</t>
  </si>
  <si>
    <t>LCSLR001.42_39379</t>
  </si>
  <si>
    <t>LCLCR360.06_39380</t>
  </si>
  <si>
    <t>LCRUD003.45_39378</t>
  </si>
  <si>
    <t>LCCOY000.71_39371</t>
  </si>
  <si>
    <t>SRTON062.89_34608</t>
  </si>
  <si>
    <t>VRWOK000.82_34608</t>
  </si>
  <si>
    <t>VRVER127.02_34984</t>
  </si>
  <si>
    <t>MGHSR102.66_34087</t>
  </si>
  <si>
    <t>BWFRA000.46_34450</t>
  </si>
  <si>
    <t>MGTRK001.53_34823</t>
  </si>
  <si>
    <t>VRWCL023.36_34820</t>
  </si>
  <si>
    <t>VRTGL001.67_35004</t>
  </si>
  <si>
    <t>CGSPG000.17_34156</t>
  </si>
  <si>
    <t>VRVER107.68_34985</t>
  </si>
  <si>
    <t>VRSYM016.44_34096</t>
  </si>
  <si>
    <t>SRD4E005.86_34093</t>
  </si>
  <si>
    <t>VRWCL036.37_34820</t>
  </si>
  <si>
    <t>VRWOK000.82_34973</t>
  </si>
  <si>
    <t>UGSCV002.80_33703</t>
  </si>
  <si>
    <t>VRSYM017.71_34611</t>
  </si>
  <si>
    <t>SCMAD012.71_34444</t>
  </si>
  <si>
    <t>VRWEB009.13_34608</t>
  </si>
  <si>
    <t>SCSAB009.77_34442</t>
  </si>
  <si>
    <t>VRBLA010.11_34246</t>
  </si>
  <si>
    <t>VRBLA010.11_34822</t>
  </si>
  <si>
    <t>VROAK047.96_34974</t>
  </si>
  <si>
    <t>MGCVE037.68_35017</t>
  </si>
  <si>
    <t>VRELL000.18_34997</t>
  </si>
  <si>
    <t>SPGCW005.27_34060</t>
  </si>
  <si>
    <t>VRBIT003.93_34990</t>
  </si>
  <si>
    <t>VRWAL018.97_34982</t>
  </si>
  <si>
    <t>VRWCL005.10_34990</t>
  </si>
  <si>
    <t>VRLIM001.14_35005</t>
  </si>
  <si>
    <t>VRSYH000.25_34243</t>
  </si>
  <si>
    <t>SCCAV005.54_33709</t>
  </si>
  <si>
    <t>SCSAB009.77_33718</t>
  </si>
  <si>
    <t>VRSYM016.44_33886</t>
  </si>
  <si>
    <t>UGSCV002.80_34065</t>
  </si>
  <si>
    <t>VREVR031.25_34234</t>
  </si>
  <si>
    <t>SRCRS006.19_34989</t>
  </si>
  <si>
    <t>VRBEV005.74_34235</t>
  </si>
  <si>
    <t>VROAK047.96_33737</t>
  </si>
  <si>
    <t>CGNAT000.48_34155</t>
  </si>
  <si>
    <t>MGPOL002.72_33733</t>
  </si>
  <si>
    <t>SRD4E005.86_35191</t>
  </si>
  <si>
    <t>VRSYW001.72_34304</t>
  </si>
  <si>
    <t>VREVR051.15_34995</t>
  </si>
  <si>
    <t>LCCHC073.26_34243</t>
  </si>
  <si>
    <t>VROAK049.65_34608</t>
  </si>
  <si>
    <t>VRVER137.80_34243</t>
  </si>
  <si>
    <t>CGSPG000.17_33775</t>
  </si>
  <si>
    <t>LCCHC077.84_34243</t>
  </si>
  <si>
    <t>VRBEV005.74_34968</t>
  </si>
  <si>
    <t>VRPIE000.29_34995</t>
  </si>
  <si>
    <t>UGSFR019.63_33786</t>
  </si>
  <si>
    <t>VREVR044.96_34997</t>
  </si>
  <si>
    <t>MGA2S030.40_33724</t>
  </si>
  <si>
    <t>VRWBV012.56_34304</t>
  </si>
  <si>
    <t>SCSYR004.21_35187</t>
  </si>
  <si>
    <t>VREVR031.25_34610</t>
  </si>
  <si>
    <t>VRBLA010.11_34604</t>
  </si>
  <si>
    <t>VRWBV006.54_34968</t>
  </si>
  <si>
    <t>CGNAT000.48_34524</t>
  </si>
  <si>
    <t>CGMAT000.03_33773</t>
  </si>
  <si>
    <t>SCSYR004.21_34474</t>
  </si>
  <si>
    <t>VRRED004.17_35003</t>
  </si>
  <si>
    <t>SCCDO032.20_34073</t>
  </si>
  <si>
    <t>VROAK016.70_34996</t>
  </si>
  <si>
    <t>SCCDO032.20_34431</t>
  </si>
  <si>
    <t>VROAK028.24_34247</t>
  </si>
  <si>
    <t>LCBCK005.75_34989</t>
  </si>
  <si>
    <t>UGSCV002.80_34429</t>
  </si>
  <si>
    <t>VRBLA010.11_34099</t>
  </si>
  <si>
    <t>LCBRB000.27_34491</t>
  </si>
  <si>
    <t>SCACW006.74_34802</t>
  </si>
  <si>
    <t>VROAK028.24_34975</t>
  </si>
  <si>
    <t>SRHRT002.34_34134</t>
  </si>
  <si>
    <t>VREVR015.34_34996</t>
  </si>
  <si>
    <t>SRCRS002.25_34989</t>
  </si>
  <si>
    <t>VRAPA001.11_34982</t>
  </si>
  <si>
    <t>VRSYH000.25_35004</t>
  </si>
  <si>
    <t>VRPIE000.29_34608</t>
  </si>
  <si>
    <t>LCBRB000.27_34131</t>
  </si>
  <si>
    <t>SRD4E005.86_34463</t>
  </si>
  <si>
    <t>SRGOD006.23_34113</t>
  </si>
  <si>
    <t>VRAPA003.46_34827</t>
  </si>
  <si>
    <t>SRD4E005.86_33708</t>
  </si>
  <si>
    <t>VRVER053.70_34243</t>
  </si>
  <si>
    <t>VRWCL036.37_34608</t>
  </si>
  <si>
    <t>VRSYM017.71_34463</t>
  </si>
  <si>
    <t>VRWEB009.13_34997</t>
  </si>
  <si>
    <t>VROAK049.65_34100</t>
  </si>
  <si>
    <t>UGSCV002.80_34800</t>
  </si>
  <si>
    <t>SRTON057.55_34608</t>
  </si>
  <si>
    <t>VRPIE000.29_34243</t>
  </si>
  <si>
    <t>UGEMC012.71_34791</t>
  </si>
  <si>
    <t>VRVER185.21_34983</t>
  </si>
  <si>
    <t>SCSAB009.77_35186</t>
  </si>
  <si>
    <t>LCCHC060.43_34243</t>
  </si>
  <si>
    <t>SCSAB009.77_34073</t>
  </si>
  <si>
    <t>UGSFR144.95_34090</t>
  </si>
  <si>
    <t>SCCDO032.20_33756</t>
  </si>
  <si>
    <t>VRWOK000.82_34243</t>
  </si>
  <si>
    <t>VRHOU003.48_35002</t>
  </si>
  <si>
    <t>VRROU002.93_34608</t>
  </si>
  <si>
    <t>SRGRE009.81_33757</t>
  </si>
  <si>
    <t>VRELL009.02_34997</t>
  </si>
  <si>
    <t>LCCHC073.26_34608</t>
  </si>
  <si>
    <t>CGSPG000.17_34525</t>
  </si>
  <si>
    <t>VRSYH000.25_34608</t>
  </si>
  <si>
    <t>VROAK049.65_34243</t>
  </si>
  <si>
    <t>SRCRS005.42_34990</t>
  </si>
  <si>
    <t>VRWCL023.36_34998</t>
  </si>
  <si>
    <t>VRSYW001.72_34243</t>
  </si>
  <si>
    <t>LCMAM002.05_35207</t>
  </si>
  <si>
    <t>MGLIO000.19_34086</t>
  </si>
  <si>
    <t>VRROU002.93_35003</t>
  </si>
  <si>
    <t>VROAK049.65_34304</t>
  </si>
  <si>
    <t>VRROU002.93_34243</t>
  </si>
  <si>
    <t>VRBLA010.11_33724</t>
  </si>
  <si>
    <t>VRSYW001.72_35010</t>
  </si>
  <si>
    <t>VRVER165.07_34983</t>
  </si>
  <si>
    <t>VRBLA010.11_34991</t>
  </si>
  <si>
    <t>VROAK034.02_35011</t>
  </si>
  <si>
    <t>VRVER165.07_34304</t>
  </si>
  <si>
    <t>SRCRS001.54_34990</t>
  </si>
  <si>
    <t>SCGDN018.24_33709</t>
  </si>
  <si>
    <t>VRGAP000.92_34970</t>
  </si>
  <si>
    <t>VRWBV009.31_34967</t>
  </si>
  <si>
    <t>VRVER137.80_34984</t>
  </si>
  <si>
    <t>VRWBV012.56_34967</t>
  </si>
  <si>
    <t>SRHRT002.34_33765</t>
  </si>
  <si>
    <t>LCBRB000.27_33778</t>
  </si>
  <si>
    <t>VROAK038.61_34992</t>
  </si>
  <si>
    <t>VRWCL011.16_34304</t>
  </si>
  <si>
    <t>SRCRS003.48_34989</t>
  </si>
  <si>
    <t>SCMAD012.71_34074</t>
  </si>
  <si>
    <t>VROAK043.73_34975</t>
  </si>
  <si>
    <t>VRVER107.68_34243</t>
  </si>
  <si>
    <t>VRWCL005.10_34243</t>
  </si>
  <si>
    <t>VRWCL011.16_34608</t>
  </si>
  <si>
    <t>VRWEB009.13_34243</t>
  </si>
  <si>
    <t>VRBLA010.11_33973</t>
  </si>
  <si>
    <t>SRCRS002.82_34989</t>
  </si>
  <si>
    <t>VRVER165.07_34243</t>
  </si>
  <si>
    <t>VRPIE016.49_34988</t>
  </si>
  <si>
    <t>VROAK017.49_34996</t>
  </si>
  <si>
    <t>VRWCL036.37_34989</t>
  </si>
  <si>
    <t>VRVER103.73_34969</t>
  </si>
  <si>
    <t>VRWBV012.56_34608</t>
  </si>
  <si>
    <t>VRWCL036.37_34243</t>
  </si>
  <si>
    <t>VRSYM016.44_35012</t>
  </si>
  <si>
    <t>VRWBV012.56_34243</t>
  </si>
  <si>
    <t>VRVER053.70_35004</t>
  </si>
  <si>
    <t>VRBEV005.74_34814</t>
  </si>
  <si>
    <t>VRSPN002.04_34975</t>
  </si>
  <si>
    <t>SCMAD012.71_33719</t>
  </si>
  <si>
    <t>SRTON055.09_34990</t>
  </si>
  <si>
    <t>VRVER165.07_34608</t>
  </si>
  <si>
    <t>VRDBV013.99_34814</t>
  </si>
  <si>
    <t>VRWCL011.16_34243</t>
  </si>
  <si>
    <t>VREVR031.25_35011</t>
  </si>
  <si>
    <t>UGGLR452.43_41430</t>
  </si>
  <si>
    <t>MGHSR058.80_41176</t>
  </si>
  <si>
    <t>CGVGR052.23_41331</t>
  </si>
  <si>
    <t>UGGLR448.61_41430</t>
  </si>
  <si>
    <t>LCLCR211.73_41443</t>
  </si>
  <si>
    <t>UGCAV012.55_35586</t>
  </si>
  <si>
    <t>UGCAV012.95_36089</t>
  </si>
  <si>
    <t>LCMAM002.05_41121</t>
  </si>
  <si>
    <t>UGSCV002.56_35927</t>
  </si>
  <si>
    <t>UGCAV011.45_35928</t>
  </si>
  <si>
    <t>UGCAV014.87_35587</t>
  </si>
  <si>
    <t>UGSCV002.56_36090</t>
  </si>
  <si>
    <t>LCLVL001.32_41120</t>
  </si>
  <si>
    <t>UGCAV014.44_35587</t>
  </si>
  <si>
    <t>UGCAV016.84_36089</t>
  </si>
  <si>
    <t>SCCIE003.26_36066</t>
  </si>
  <si>
    <t>SCCIE000.43_36067</t>
  </si>
  <si>
    <t>UGCAV012.55_35928</t>
  </si>
  <si>
    <t>UGCAV012.55_36088</t>
  </si>
  <si>
    <t>UGCAV011.45_36088</t>
  </si>
  <si>
    <t>UGCAV012.95_35928</t>
  </si>
  <si>
    <t>UGCAV015.55_35588</t>
  </si>
  <si>
    <t>UGSCV000.11_35928</t>
  </si>
  <si>
    <t>SRWFB005.34_35950</t>
  </si>
  <si>
    <t>UGSCV000.11_35586</t>
  </si>
  <si>
    <t>UGCAV012.95_35586</t>
  </si>
  <si>
    <t>UGCAV011.45_35585</t>
  </si>
  <si>
    <t>UGCAV014.87_35930</t>
  </si>
  <si>
    <t>UGSCV002.56_35589</t>
  </si>
  <si>
    <t>UGCAV014.87_36089</t>
  </si>
  <si>
    <t>UGSCV000.11_36088</t>
  </si>
  <si>
    <t>SCCIE022.12_36068</t>
  </si>
  <si>
    <t>SCCIE022.98_36067</t>
  </si>
  <si>
    <t>SCCIE007.32_36067</t>
  </si>
  <si>
    <t>MGAFR087.06_41184</t>
  </si>
  <si>
    <t>SRPNL005.12_41192</t>
  </si>
  <si>
    <t>LCMRS043.17_41121</t>
  </si>
  <si>
    <t>LCRIG004.87_41122</t>
  </si>
  <si>
    <t>SRWPN004.47_41192</t>
  </si>
  <si>
    <t>LCLIL002.16_41121</t>
  </si>
  <si>
    <t>SCSCR045.13_38842</t>
  </si>
  <si>
    <t>SCSON018.31_40674</t>
  </si>
  <si>
    <t>SPWRC000.09_39981</t>
  </si>
  <si>
    <t>UGSCV000.11_39982</t>
  </si>
  <si>
    <t>SRSPI011.63_40133</t>
  </si>
  <si>
    <t>LCHAL004.59_39392</t>
  </si>
  <si>
    <t>MGIDN002.66_40106</t>
  </si>
  <si>
    <t>SRPNT008.48_40133</t>
  </si>
  <si>
    <t>SPARA010.19_37299</t>
  </si>
  <si>
    <t>SPDOU000.18_37315</t>
  </si>
  <si>
    <t>VRGRA033.51_40106</t>
  </si>
  <si>
    <t>SPBHC007.37_37376</t>
  </si>
  <si>
    <t>SPHSC010.67_37314</t>
  </si>
  <si>
    <t>SPSPR059.21_37307</t>
  </si>
  <si>
    <t>SPBBR004.55_37300</t>
  </si>
  <si>
    <t>SPARA019.41_37327</t>
  </si>
  <si>
    <t>LCSHL026.50_39393</t>
  </si>
  <si>
    <t>SPSPR005.28_37375</t>
  </si>
  <si>
    <t>LCWLR000.92_36447</t>
  </si>
  <si>
    <t>LCMRS043.17_40064</t>
  </si>
  <si>
    <t>SPSPR126.35_37306</t>
  </si>
  <si>
    <t>SRWPN004.47_40135</t>
  </si>
  <si>
    <t>SRCHE013.65_40134</t>
  </si>
  <si>
    <t>VRGRA029.97_40107</t>
  </si>
  <si>
    <t>SPBAS001.64_37312</t>
  </si>
  <si>
    <t>VRVER107.68_36283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</si>
</sst>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3" borderId="0" applyNumberFormat="0" applyBorder="0" applyAlignment="0" applyProtection="0"/>
  </cellStyleXfs>
  <cellXfs count="14">
    <xf numFmtId="0" fontId="0" fillId="0" borderId="0" xfId="0"/>
    <xf numFmtId="0" fontId="2" fillId="0" borderId="1" xfId="2"/>
    <xf numFmtId="0" fontId="3" fillId="0" borderId="2" xfId="3"/>
    <xf numFmtId="0" fontId="1" fillId="0" borderId="0" xfId="1"/>
    <xf numFmtId="0" fontId="4" fillId="0" borderId="0" xfId="4" applyAlignment="1" applyProtection="1"/>
    <xf numFmtId="14" fontId="0" fillId="0" borderId="0" xfId="0" applyNumberFormat="1"/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/>
    <xf numFmtId="0" fontId="4" fillId="0" borderId="0" xfId="4" applyAlignment="1" applyProtection="1">
      <alignment horizontal="center"/>
    </xf>
    <xf numFmtId="0" fontId="0" fillId="0" borderId="0" xfId="0" applyAlignment="1">
      <alignment horizontal="center"/>
    </xf>
    <xf numFmtId="0" fontId="4" fillId="2" borderId="0" xfId="4" applyFill="1" applyAlignment="1" applyProtection="1">
      <alignment horizontal="center"/>
    </xf>
    <xf numFmtId="0" fontId="10" fillId="0" borderId="0" xfId="0" applyFont="1"/>
    <xf numFmtId="0" fontId="11" fillId="3" borderId="0" xfId="5" applyFont="1"/>
  </cellXfs>
  <cellStyles count="6">
    <cellStyle name="Good" xfId="5" builtinId="26"/>
    <cellStyle name="Heading 1" xfId="2" builtinId="16"/>
    <cellStyle name="Heading 2" xfId="3" builtinId="17"/>
    <cellStyle name="Hyperlink" xfId="4" builtinId="8"/>
    <cellStyle name="Normal" xfId="0" builtinId="0"/>
    <cellStyle name="Title" xfId="1" builtinId="15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5:C18" totalsRowShown="0">
  <autoFilter ref="A15:C18"/>
  <tableColumns count="3">
    <tableColumn id="1" name="Worksheet"/>
    <tableColumn id="2" name="Descriptions"/>
    <tableColumn id="3" name="Link" dataDxfId="0">
      <calculatedColumnFormula>HYPERLINK(FileName&amp;A16&amp;"!A1",A16)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rik.Leppo@tetratech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_Notes">
    <tabColor theme="1" tint="0.499984740745262"/>
  </sheetPr>
  <dimension ref="A1:C18"/>
  <sheetViews>
    <sheetView zoomScaleNormal="100" workbookViewId="0">
      <selection activeCell="A13" sqref="A13"/>
    </sheetView>
  </sheetViews>
  <sheetFormatPr defaultRowHeight="15" x14ac:dyDescent="0.25"/>
  <cols>
    <col min="1" max="1" width="15.28515625" customWidth="1"/>
    <col min="2" max="2" width="71.140625" customWidth="1"/>
    <col min="3" max="3" width="12.7109375" customWidth="1"/>
  </cols>
  <sheetData>
    <row r="1" spans="1:3" ht="22.5" x14ac:dyDescent="0.3">
      <c r="A1" s="3" t="s">
        <v>13</v>
      </c>
    </row>
    <row r="2" spans="1:3" ht="20.25" thickBot="1" x14ac:dyDescent="0.35">
      <c r="A2" s="1" t="s">
        <v>0</v>
      </c>
    </row>
    <row r="3" spans="1:3" ht="15.75" thickTop="1" x14ac:dyDescent="0.25"/>
    <row r="4" spans="1:3" x14ac:dyDescent="0.25">
      <c r="A4" s="4" t="s">
        <v>1</v>
      </c>
    </row>
    <row r="5" spans="1:3" x14ac:dyDescent="0.25">
      <c r="A5" s="5">
        <v>43262</v>
      </c>
    </row>
    <row r="7" spans="1:3" x14ac:dyDescent="0.25">
      <c r="A7" s="6" t="s">
        <v>2</v>
      </c>
      <c r="B7" s="7" t="str">
        <f ca="1">LEFT(CELL("filename",B7),FIND("]",CELL("filename",B7)))</f>
        <v>P:\Current\OtherGov\City of San Diego\FY2018\pkg data\[SampSummary_Erik.xlsx]</v>
      </c>
    </row>
    <row r="8" spans="1:3" x14ac:dyDescent="0.25">
      <c r="A8" s="6" t="s">
        <v>3</v>
      </c>
      <c r="B8" s="7" t="str">
        <f ca="1">MID(CELL("filename",B8),FIND("[",CELL("filename",B8)),(FIND("]",CELL("filename",B8))-FIND("[",CELL("filename",B8)))+1)</f>
        <v>[SampSummary_Erik.xlsx]</v>
      </c>
    </row>
    <row r="9" spans="1:3" x14ac:dyDescent="0.25">
      <c r="A9" s="6" t="s">
        <v>4</v>
      </c>
      <c r="B9" s="8" t="str">
        <f ca="1">MID(CELL("filename",B9),FIND("]",CELL("filename",B9))+1,LEN(CELL("filename",B9))-FIND("]",CELL("filename",B9)))</f>
        <v>NOTES</v>
      </c>
    </row>
    <row r="11" spans="1:3" ht="18" thickBot="1" x14ac:dyDescent="0.35">
      <c r="A11" s="2" t="s">
        <v>7</v>
      </c>
    </row>
    <row r="12" spans="1:3" ht="15.75" thickTop="1" x14ac:dyDescent="0.25">
      <c r="A12" t="s">
        <v>14</v>
      </c>
    </row>
    <row r="15" spans="1:3" x14ac:dyDescent="0.25">
      <c r="A15" t="s">
        <v>10</v>
      </c>
      <c r="B15" t="s">
        <v>5</v>
      </c>
      <c r="C15" s="10" t="s">
        <v>11</v>
      </c>
    </row>
    <row r="16" spans="1:3" x14ac:dyDescent="0.25">
      <c r="A16" t="s">
        <v>6</v>
      </c>
      <c r="B16" t="s">
        <v>12</v>
      </c>
      <c r="C16" s="11" t="str">
        <f ca="1">HYPERLINK(FileName&amp;A16&amp;"!A1",A16)</f>
        <v>NOTES</v>
      </c>
    </row>
    <row r="17" spans="1:3" x14ac:dyDescent="0.25">
      <c r="A17" t="s">
        <v>8</v>
      </c>
      <c r="C17" s="9" t="str">
        <f ca="1">HYPERLINK(FileName&amp;A17&amp;"!A1",A17)</f>
        <v>Sheet2</v>
      </c>
    </row>
    <row r="18" spans="1:3" x14ac:dyDescent="0.25">
      <c r="A18" t="s">
        <v>9</v>
      </c>
      <c r="C18" s="9" t="str">
        <f ca="1">HYPERLINK(FileName&amp;A18&amp;"!A1",A18)</f>
        <v>Sheet3</v>
      </c>
    </row>
  </sheetData>
  <dataValidations count="1">
    <dataValidation type="custom" allowBlank="1" showInputMessage="1" showErrorMessage="1" sqref="B7:B8">
      <formula1>""</formula1>
    </dataValidation>
  </dataValidations>
  <hyperlinks>
    <hyperlink ref="A4" r:id="rId1"/>
  </hyperlinks>
  <pageMargins left="0.7" right="0.7" top="0.75" bottom="0.75" header="0.3" footer="0.3"/>
  <pageSetup scale="91" orientation="portrait" r:id="rId2"/>
  <headerFooter>
    <oddHeader>&amp;C&amp;A</oddHeader>
    <oddFooter>&amp;L&amp;D&amp;CPage &amp;P of &amp;N&amp;R&amp;F</oddFooter>
  </headerFooter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578"/>
  <sheetViews>
    <sheetView tabSelected="1" workbookViewId="0">
      <pane xSplit="2" ySplit="1" topLeftCell="C925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20.28515625" bestFit="1" customWidth="1"/>
    <col min="4" max="4" width="17" bestFit="1" customWidth="1"/>
    <col min="5" max="5" width="14.42578125" bestFit="1" customWidth="1"/>
    <col min="6" max="6" width="21.7109375" bestFit="1" customWidth="1"/>
    <col min="7" max="7" width="23.140625" bestFit="1" customWidth="1"/>
  </cols>
  <sheetData>
    <row r="1" spans="1:7" x14ac:dyDescent="0.25">
      <c r="A1" s="12" t="s">
        <v>1345</v>
      </c>
      <c r="B1" s="12" t="s">
        <v>1344</v>
      </c>
      <c r="C1" s="12" t="s">
        <v>2807</v>
      </c>
      <c r="D1" s="13" t="s">
        <v>1346</v>
      </c>
      <c r="E1" s="13" t="s">
        <v>1347</v>
      </c>
      <c r="F1" s="13" t="s">
        <v>1348</v>
      </c>
      <c r="G1" s="13" t="s">
        <v>1349</v>
      </c>
    </row>
    <row r="2" spans="1:7" x14ac:dyDescent="0.25">
      <c r="A2" t="s">
        <v>16</v>
      </c>
      <c r="B2" s="5">
        <v>33792</v>
      </c>
      <c r="C2" s="5" t="s">
        <v>5530</v>
      </c>
      <c r="E2" t="s">
        <v>2643</v>
      </c>
      <c r="F2" t="s">
        <v>387</v>
      </c>
      <c r="G2" t="s">
        <v>5530</v>
      </c>
    </row>
    <row r="3" spans="1:7" x14ac:dyDescent="0.25">
      <c r="A3" t="s">
        <v>17</v>
      </c>
      <c r="B3" s="5">
        <v>42131</v>
      </c>
      <c r="C3" s="5" t="s">
        <v>2988</v>
      </c>
      <c r="D3" t="s">
        <v>2988</v>
      </c>
      <c r="E3" t="s">
        <v>1696</v>
      </c>
      <c r="F3" t="s">
        <v>388</v>
      </c>
      <c r="G3" t="s">
        <v>2988</v>
      </c>
    </row>
    <row r="4" spans="1:7" x14ac:dyDescent="0.25">
      <c r="A4" t="s">
        <v>18</v>
      </c>
      <c r="B4" s="5">
        <v>34060</v>
      </c>
      <c r="C4" s="5" t="s">
        <v>5531</v>
      </c>
      <c r="E4" t="s">
        <v>2207</v>
      </c>
      <c r="F4" t="s">
        <v>389</v>
      </c>
      <c r="G4" t="s">
        <v>5531</v>
      </c>
    </row>
    <row r="5" spans="1:7" x14ac:dyDescent="0.25">
      <c r="A5" t="s">
        <v>19</v>
      </c>
      <c r="B5" s="5">
        <v>41780</v>
      </c>
      <c r="C5" s="5" t="s">
        <v>2989</v>
      </c>
      <c r="D5" t="s">
        <v>2989</v>
      </c>
      <c r="E5" t="s">
        <v>2031</v>
      </c>
      <c r="F5" t="s">
        <v>390</v>
      </c>
      <c r="G5" t="s">
        <v>2989</v>
      </c>
    </row>
    <row r="6" spans="1:7" x14ac:dyDescent="0.25">
      <c r="A6" t="s">
        <v>20</v>
      </c>
      <c r="B6" s="5">
        <v>39637</v>
      </c>
      <c r="C6" s="5" t="s">
        <v>5532</v>
      </c>
      <c r="E6" t="s">
        <v>1932</v>
      </c>
      <c r="F6" t="s">
        <v>391</v>
      </c>
      <c r="G6" t="s">
        <v>5532</v>
      </c>
    </row>
    <row r="7" spans="1:7" x14ac:dyDescent="0.25">
      <c r="A7" t="s">
        <v>21</v>
      </c>
      <c r="B7" s="5">
        <v>33792</v>
      </c>
      <c r="C7" s="5" t="s">
        <v>5533</v>
      </c>
      <c r="E7" t="s">
        <v>2411</v>
      </c>
      <c r="F7" t="s">
        <v>392</v>
      </c>
      <c r="G7" t="s">
        <v>5533</v>
      </c>
    </row>
    <row r="8" spans="1:7" x14ac:dyDescent="0.25">
      <c r="A8" t="s">
        <v>22</v>
      </c>
      <c r="B8" s="5">
        <v>34430</v>
      </c>
      <c r="C8" s="5" t="s">
        <v>5534</v>
      </c>
      <c r="E8" t="s">
        <v>2408</v>
      </c>
      <c r="F8" t="s">
        <v>393</v>
      </c>
      <c r="G8" t="s">
        <v>5534</v>
      </c>
    </row>
    <row r="9" spans="1:7" x14ac:dyDescent="0.25">
      <c r="A9" t="s">
        <v>23</v>
      </c>
      <c r="B9" s="5">
        <v>38133</v>
      </c>
      <c r="C9" s="5" t="s">
        <v>5535</v>
      </c>
      <c r="E9" t="s">
        <v>2070</v>
      </c>
      <c r="F9" t="s">
        <v>394</v>
      </c>
      <c r="G9" t="s">
        <v>5535</v>
      </c>
    </row>
    <row r="10" spans="1:7" x14ac:dyDescent="0.25">
      <c r="A10" t="s">
        <v>24</v>
      </c>
      <c r="B10" s="5">
        <v>34841</v>
      </c>
      <c r="C10" s="5" t="s">
        <v>5536</v>
      </c>
      <c r="F10" t="s">
        <v>395</v>
      </c>
      <c r="G10" t="s">
        <v>5536</v>
      </c>
    </row>
    <row r="11" spans="1:7" x14ac:dyDescent="0.25">
      <c r="A11" t="s">
        <v>25</v>
      </c>
      <c r="B11" s="5">
        <v>39224</v>
      </c>
      <c r="C11" s="5" t="s">
        <v>2990</v>
      </c>
      <c r="D11" t="s">
        <v>2990</v>
      </c>
      <c r="E11" t="s">
        <v>1541</v>
      </c>
      <c r="F11" t="s">
        <v>396</v>
      </c>
      <c r="G11" t="s">
        <v>2990</v>
      </c>
    </row>
    <row r="12" spans="1:7" x14ac:dyDescent="0.25">
      <c r="A12" t="s">
        <v>26</v>
      </c>
      <c r="B12" s="5">
        <v>40708</v>
      </c>
      <c r="C12" s="5" t="s">
        <v>2991</v>
      </c>
      <c r="D12" t="s">
        <v>2991</v>
      </c>
      <c r="E12" t="s">
        <v>1515</v>
      </c>
      <c r="F12" t="s">
        <v>397</v>
      </c>
      <c r="G12" t="s">
        <v>2991</v>
      </c>
    </row>
    <row r="13" spans="1:7" x14ac:dyDescent="0.25">
      <c r="A13" t="s">
        <v>27</v>
      </c>
      <c r="B13" s="5">
        <v>35922</v>
      </c>
      <c r="C13" s="5" t="s">
        <v>5537</v>
      </c>
      <c r="E13" t="s">
        <v>1798</v>
      </c>
      <c r="F13" t="s">
        <v>398</v>
      </c>
      <c r="G13" t="s">
        <v>5537</v>
      </c>
    </row>
    <row r="14" spans="1:7" x14ac:dyDescent="0.25">
      <c r="A14" t="s">
        <v>28</v>
      </c>
      <c r="B14" s="5">
        <v>41828</v>
      </c>
      <c r="C14" s="5" t="s">
        <v>2992</v>
      </c>
      <c r="D14" t="s">
        <v>2992</v>
      </c>
      <c r="E14" t="s">
        <v>1588</v>
      </c>
      <c r="F14" t="s">
        <v>399</v>
      </c>
      <c r="G14" t="s">
        <v>2992</v>
      </c>
    </row>
    <row r="15" spans="1:7" x14ac:dyDescent="0.25">
      <c r="A15" t="s">
        <v>29</v>
      </c>
      <c r="B15" s="5">
        <v>36654</v>
      </c>
      <c r="C15" s="5" t="s">
        <v>5538</v>
      </c>
      <c r="F15" t="s">
        <v>400</v>
      </c>
      <c r="G15" t="s">
        <v>5538</v>
      </c>
    </row>
    <row r="16" spans="1:7" x14ac:dyDescent="0.25">
      <c r="A16" t="s">
        <v>26</v>
      </c>
      <c r="B16" s="5">
        <v>35571</v>
      </c>
      <c r="C16" s="5" t="s">
        <v>5539</v>
      </c>
      <c r="E16" t="s">
        <v>1439</v>
      </c>
      <c r="F16" t="s">
        <v>401</v>
      </c>
      <c r="G16" t="s">
        <v>5539</v>
      </c>
    </row>
    <row r="17" spans="1:7" x14ac:dyDescent="0.25">
      <c r="A17" t="s">
        <v>30</v>
      </c>
      <c r="B17" s="5">
        <v>41779</v>
      </c>
      <c r="C17" s="5" t="s">
        <v>5540</v>
      </c>
      <c r="E17" t="s">
        <v>1625</v>
      </c>
      <c r="F17" t="s">
        <v>402</v>
      </c>
      <c r="G17" t="s">
        <v>5540</v>
      </c>
    </row>
    <row r="18" spans="1:7" x14ac:dyDescent="0.25">
      <c r="A18" t="s">
        <v>31</v>
      </c>
      <c r="B18" s="5">
        <v>42543</v>
      </c>
      <c r="C18" s="5" t="s">
        <v>2993</v>
      </c>
      <c r="D18" t="s">
        <v>2993</v>
      </c>
      <c r="E18" t="s">
        <v>2044</v>
      </c>
      <c r="F18" t="s">
        <v>403</v>
      </c>
      <c r="G18" t="s">
        <v>2993</v>
      </c>
    </row>
    <row r="19" spans="1:7" x14ac:dyDescent="0.25">
      <c r="A19" t="s">
        <v>32</v>
      </c>
      <c r="B19" s="5">
        <v>41801</v>
      </c>
      <c r="C19" s="5" t="s">
        <v>2994</v>
      </c>
      <c r="D19" t="s">
        <v>2994</v>
      </c>
      <c r="E19" t="s">
        <v>1958</v>
      </c>
      <c r="F19" t="s">
        <v>404</v>
      </c>
      <c r="G19" t="s">
        <v>2994</v>
      </c>
    </row>
    <row r="20" spans="1:7" x14ac:dyDescent="0.25">
      <c r="A20" t="s">
        <v>33</v>
      </c>
      <c r="B20" s="5">
        <v>34505</v>
      </c>
      <c r="C20" s="5" t="s">
        <v>5541</v>
      </c>
      <c r="E20" t="s">
        <v>2494</v>
      </c>
      <c r="F20" t="s">
        <v>405</v>
      </c>
      <c r="G20" t="s">
        <v>5541</v>
      </c>
    </row>
    <row r="21" spans="1:7" x14ac:dyDescent="0.25">
      <c r="A21" t="s">
        <v>34</v>
      </c>
      <c r="B21" s="5">
        <v>41758</v>
      </c>
      <c r="C21" s="5" t="s">
        <v>2995</v>
      </c>
      <c r="D21" t="s">
        <v>2995</v>
      </c>
      <c r="E21" t="s">
        <v>1751</v>
      </c>
      <c r="F21" t="s">
        <v>406</v>
      </c>
      <c r="G21" t="s">
        <v>2995</v>
      </c>
    </row>
    <row r="22" spans="1:7" x14ac:dyDescent="0.25">
      <c r="A22" t="s">
        <v>35</v>
      </c>
      <c r="B22" s="5">
        <v>35206</v>
      </c>
      <c r="C22" s="5" t="s">
        <v>5542</v>
      </c>
      <c r="E22" t="s">
        <v>2554</v>
      </c>
      <c r="F22" t="s">
        <v>407</v>
      </c>
      <c r="G22" t="s">
        <v>5542</v>
      </c>
    </row>
    <row r="23" spans="1:7" x14ac:dyDescent="0.25">
      <c r="A23" t="s">
        <v>36</v>
      </c>
      <c r="B23" s="5">
        <v>42541</v>
      </c>
      <c r="C23" s="5" t="s">
        <v>2996</v>
      </c>
      <c r="D23" t="s">
        <v>2996</v>
      </c>
      <c r="E23" t="s">
        <v>2158</v>
      </c>
      <c r="F23" t="s">
        <v>408</v>
      </c>
      <c r="G23" t="s">
        <v>2996</v>
      </c>
    </row>
    <row r="24" spans="1:7" x14ac:dyDescent="0.25">
      <c r="A24" t="s">
        <v>37</v>
      </c>
      <c r="B24" s="5">
        <v>38134</v>
      </c>
      <c r="C24" s="5" t="s">
        <v>5543</v>
      </c>
      <c r="E24" t="s">
        <v>1793</v>
      </c>
      <c r="F24" t="s">
        <v>409</v>
      </c>
      <c r="G24" t="s">
        <v>5543</v>
      </c>
    </row>
    <row r="25" spans="1:7" x14ac:dyDescent="0.25">
      <c r="A25" t="s">
        <v>38</v>
      </c>
      <c r="B25" s="5">
        <v>34506</v>
      </c>
      <c r="C25" s="5" t="s">
        <v>5544</v>
      </c>
      <c r="E25" t="s">
        <v>2657</v>
      </c>
      <c r="F25" t="s">
        <v>410</v>
      </c>
      <c r="G25" t="s">
        <v>5544</v>
      </c>
    </row>
    <row r="26" spans="1:7" x14ac:dyDescent="0.25">
      <c r="A26" t="s">
        <v>39</v>
      </c>
      <c r="B26" s="5">
        <v>34479</v>
      </c>
      <c r="C26" s="5" t="s">
        <v>5545</v>
      </c>
      <c r="E26" t="s">
        <v>2243</v>
      </c>
      <c r="F26" t="s">
        <v>411</v>
      </c>
      <c r="G26" t="s">
        <v>5545</v>
      </c>
    </row>
    <row r="27" spans="1:7" x14ac:dyDescent="0.25">
      <c r="A27" t="s">
        <v>37</v>
      </c>
      <c r="B27" s="5">
        <v>39609</v>
      </c>
      <c r="C27" s="5" t="s">
        <v>2997</v>
      </c>
      <c r="D27" t="s">
        <v>2997</v>
      </c>
      <c r="E27" t="s">
        <v>1612</v>
      </c>
      <c r="F27" t="s">
        <v>412</v>
      </c>
      <c r="G27" t="s">
        <v>2997</v>
      </c>
    </row>
    <row r="28" spans="1:7" x14ac:dyDescent="0.25">
      <c r="A28" t="s">
        <v>40</v>
      </c>
      <c r="B28" s="5">
        <v>34493</v>
      </c>
      <c r="C28" s="5" t="s">
        <v>5546</v>
      </c>
      <c r="E28" t="s">
        <v>2600</v>
      </c>
      <c r="F28" t="s">
        <v>413</v>
      </c>
      <c r="G28" t="s">
        <v>5546</v>
      </c>
    </row>
    <row r="29" spans="1:7" x14ac:dyDescent="0.25">
      <c r="A29" t="s">
        <v>41</v>
      </c>
      <c r="B29" s="5">
        <v>38519</v>
      </c>
      <c r="C29" s="5" t="s">
        <v>5547</v>
      </c>
      <c r="E29" t="s">
        <v>1365</v>
      </c>
      <c r="F29" t="s">
        <v>414</v>
      </c>
      <c r="G29" t="s">
        <v>5547</v>
      </c>
    </row>
    <row r="30" spans="1:7" x14ac:dyDescent="0.25">
      <c r="A30" t="s">
        <v>42</v>
      </c>
      <c r="B30" s="5">
        <v>40023</v>
      </c>
      <c r="C30" s="5" t="s">
        <v>2998</v>
      </c>
      <c r="D30" t="s">
        <v>2998</v>
      </c>
      <c r="F30" t="s">
        <v>415</v>
      </c>
      <c r="G30" t="s">
        <v>2998</v>
      </c>
    </row>
    <row r="31" spans="1:7" x14ac:dyDescent="0.25">
      <c r="A31" t="s">
        <v>43</v>
      </c>
      <c r="B31" s="5">
        <v>34485</v>
      </c>
      <c r="C31" s="5" t="s">
        <v>5548</v>
      </c>
      <c r="E31" t="s">
        <v>2280</v>
      </c>
      <c r="F31" t="s">
        <v>416</v>
      </c>
      <c r="G31" t="s">
        <v>5548</v>
      </c>
    </row>
    <row r="32" spans="1:7" x14ac:dyDescent="0.25">
      <c r="A32" t="s">
        <v>44</v>
      </c>
      <c r="B32" s="5">
        <v>33715</v>
      </c>
      <c r="C32" s="5" t="s">
        <v>5549</v>
      </c>
      <c r="E32" t="s">
        <v>2530</v>
      </c>
      <c r="F32" t="s">
        <v>417</v>
      </c>
      <c r="G32" t="s">
        <v>5549</v>
      </c>
    </row>
    <row r="33" spans="1:7" x14ac:dyDescent="0.25">
      <c r="A33" t="s">
        <v>45</v>
      </c>
      <c r="B33" s="5">
        <v>33735</v>
      </c>
      <c r="C33" s="5" t="s">
        <v>5550</v>
      </c>
      <c r="E33" t="s">
        <v>2474</v>
      </c>
      <c r="F33" t="s">
        <v>418</v>
      </c>
      <c r="G33" t="s">
        <v>5550</v>
      </c>
    </row>
    <row r="34" spans="1:7" x14ac:dyDescent="0.25">
      <c r="A34" t="s">
        <v>38</v>
      </c>
      <c r="B34" s="5">
        <v>40023</v>
      </c>
      <c r="C34" s="5" t="s">
        <v>2999</v>
      </c>
      <c r="D34" t="s">
        <v>2999</v>
      </c>
      <c r="E34" t="s">
        <v>1930</v>
      </c>
      <c r="F34" t="s">
        <v>419</v>
      </c>
      <c r="G34" t="s">
        <v>2999</v>
      </c>
    </row>
    <row r="35" spans="1:7" x14ac:dyDescent="0.25">
      <c r="A35" t="s">
        <v>46</v>
      </c>
      <c r="B35" s="5">
        <v>37425</v>
      </c>
      <c r="C35" s="5" t="s">
        <v>5551</v>
      </c>
      <c r="E35" t="s">
        <v>1939</v>
      </c>
      <c r="F35" t="s">
        <v>420</v>
      </c>
      <c r="G35" t="s">
        <v>5551</v>
      </c>
    </row>
    <row r="36" spans="1:7" x14ac:dyDescent="0.25">
      <c r="A36" t="s">
        <v>35</v>
      </c>
      <c r="B36" s="5">
        <v>41443</v>
      </c>
      <c r="C36" s="5" t="s">
        <v>3000</v>
      </c>
      <c r="D36" t="s">
        <v>3000</v>
      </c>
      <c r="E36" t="s">
        <v>1677</v>
      </c>
      <c r="F36" t="s">
        <v>421</v>
      </c>
      <c r="G36" t="s">
        <v>3000</v>
      </c>
    </row>
    <row r="37" spans="1:7" x14ac:dyDescent="0.25">
      <c r="A37" t="s">
        <v>47</v>
      </c>
      <c r="B37" s="5">
        <v>34428</v>
      </c>
      <c r="C37" s="5" t="s">
        <v>5552</v>
      </c>
      <c r="E37" t="s">
        <v>2636</v>
      </c>
      <c r="F37" t="s">
        <v>422</v>
      </c>
      <c r="G37" t="s">
        <v>5552</v>
      </c>
    </row>
    <row r="38" spans="1:7" x14ac:dyDescent="0.25">
      <c r="A38" t="s">
        <v>48</v>
      </c>
      <c r="B38" s="5">
        <v>34493</v>
      </c>
      <c r="C38" s="5" t="s">
        <v>5553</v>
      </c>
      <c r="E38" t="s">
        <v>2209</v>
      </c>
      <c r="F38" t="s">
        <v>423</v>
      </c>
      <c r="G38" t="s">
        <v>5553</v>
      </c>
    </row>
    <row r="39" spans="1:7" x14ac:dyDescent="0.25">
      <c r="A39" t="s">
        <v>49</v>
      </c>
      <c r="B39" s="5">
        <v>34841</v>
      </c>
      <c r="C39" s="5" t="s">
        <v>5554</v>
      </c>
      <c r="F39" t="s">
        <v>424</v>
      </c>
      <c r="G39" t="s">
        <v>5554</v>
      </c>
    </row>
    <row r="40" spans="1:7" x14ac:dyDescent="0.25">
      <c r="A40" t="s">
        <v>44</v>
      </c>
      <c r="B40" s="5">
        <v>34480</v>
      </c>
      <c r="C40" s="5" t="s">
        <v>5555</v>
      </c>
      <c r="E40" t="s">
        <v>2222</v>
      </c>
      <c r="F40" t="s">
        <v>425</v>
      </c>
      <c r="G40" t="s">
        <v>5555</v>
      </c>
    </row>
    <row r="41" spans="1:7" x14ac:dyDescent="0.25">
      <c r="A41" t="s">
        <v>50</v>
      </c>
      <c r="B41" s="5">
        <v>42543</v>
      </c>
      <c r="C41" s="5" t="s">
        <v>3001</v>
      </c>
      <c r="D41" t="s">
        <v>3001</v>
      </c>
      <c r="E41" t="s">
        <v>1447</v>
      </c>
      <c r="F41" t="s">
        <v>426</v>
      </c>
      <c r="G41" t="s">
        <v>3001</v>
      </c>
    </row>
    <row r="42" spans="1:7" x14ac:dyDescent="0.25">
      <c r="A42" t="s">
        <v>51</v>
      </c>
      <c r="B42" s="5">
        <v>42131</v>
      </c>
      <c r="C42" s="5" t="s">
        <v>3002</v>
      </c>
      <c r="D42" t="s">
        <v>3002</v>
      </c>
      <c r="E42" t="s">
        <v>1570</v>
      </c>
      <c r="F42" t="s">
        <v>427</v>
      </c>
      <c r="G42" t="s">
        <v>3002</v>
      </c>
    </row>
    <row r="43" spans="1:7" x14ac:dyDescent="0.25">
      <c r="A43" t="s">
        <v>37</v>
      </c>
      <c r="B43" s="5">
        <v>33737</v>
      </c>
      <c r="C43" s="5" t="s">
        <v>5556</v>
      </c>
      <c r="E43" t="s">
        <v>2526</v>
      </c>
      <c r="F43" t="s">
        <v>428</v>
      </c>
      <c r="G43" t="s">
        <v>5556</v>
      </c>
    </row>
    <row r="44" spans="1:7" x14ac:dyDescent="0.25">
      <c r="A44" t="s">
        <v>52</v>
      </c>
      <c r="B44" s="5">
        <v>37014</v>
      </c>
      <c r="C44" s="5" t="s">
        <v>5557</v>
      </c>
      <c r="E44" t="s">
        <v>1487</v>
      </c>
      <c r="F44" t="s">
        <v>429</v>
      </c>
      <c r="G44" t="s">
        <v>5557</v>
      </c>
    </row>
    <row r="45" spans="1:7" x14ac:dyDescent="0.25">
      <c r="A45" t="s">
        <v>53</v>
      </c>
      <c r="B45" s="5">
        <v>41793</v>
      </c>
      <c r="C45" s="5" t="s">
        <v>3003</v>
      </c>
      <c r="D45" t="s">
        <v>3003</v>
      </c>
      <c r="E45" t="s">
        <v>1743</v>
      </c>
      <c r="F45" t="s">
        <v>430</v>
      </c>
      <c r="G45" t="s">
        <v>3003</v>
      </c>
    </row>
    <row r="46" spans="1:7" x14ac:dyDescent="0.25">
      <c r="A46" t="s">
        <v>54</v>
      </c>
      <c r="B46" s="5">
        <v>39980</v>
      </c>
      <c r="C46" s="5" t="s">
        <v>3004</v>
      </c>
      <c r="D46" t="s">
        <v>3004</v>
      </c>
      <c r="E46" t="s">
        <v>2007</v>
      </c>
      <c r="F46" t="s">
        <v>431</v>
      </c>
      <c r="G46" t="s">
        <v>3004</v>
      </c>
    </row>
    <row r="47" spans="1:7" x14ac:dyDescent="0.25">
      <c r="A47" t="s">
        <v>18</v>
      </c>
      <c r="B47" s="5">
        <v>34436</v>
      </c>
      <c r="C47" s="5" t="s">
        <v>5558</v>
      </c>
      <c r="E47" t="s">
        <v>2275</v>
      </c>
      <c r="F47" t="s">
        <v>432</v>
      </c>
      <c r="G47" t="s">
        <v>5558</v>
      </c>
    </row>
    <row r="48" spans="1:7" x14ac:dyDescent="0.25">
      <c r="A48" t="s">
        <v>55</v>
      </c>
      <c r="B48" s="5">
        <v>39981</v>
      </c>
      <c r="C48" s="5" t="s">
        <v>3005</v>
      </c>
      <c r="D48" t="s">
        <v>3005</v>
      </c>
      <c r="E48" t="s">
        <v>1799</v>
      </c>
      <c r="F48" t="s">
        <v>433</v>
      </c>
      <c r="G48" t="s">
        <v>3005</v>
      </c>
    </row>
    <row r="49" spans="1:7" x14ac:dyDescent="0.25">
      <c r="A49" t="s">
        <v>56</v>
      </c>
      <c r="B49" s="5">
        <v>37061</v>
      </c>
      <c r="C49" s="5" t="s">
        <v>5559</v>
      </c>
      <c r="E49" t="s">
        <v>1434</v>
      </c>
      <c r="F49" t="s">
        <v>434</v>
      </c>
      <c r="G49" t="s">
        <v>5559</v>
      </c>
    </row>
    <row r="50" spans="1:7" x14ac:dyDescent="0.25">
      <c r="A50" t="s">
        <v>57</v>
      </c>
      <c r="B50" s="5">
        <v>34499</v>
      </c>
      <c r="C50" s="5" t="s">
        <v>5560</v>
      </c>
      <c r="E50" t="s">
        <v>2557</v>
      </c>
      <c r="F50" t="s">
        <v>435</v>
      </c>
      <c r="G50" t="s">
        <v>5560</v>
      </c>
    </row>
    <row r="51" spans="1:7" x14ac:dyDescent="0.25">
      <c r="A51" t="s">
        <v>44</v>
      </c>
      <c r="B51" s="5">
        <v>34108</v>
      </c>
      <c r="C51" s="5" t="s">
        <v>5561</v>
      </c>
      <c r="E51" t="s">
        <v>2593</v>
      </c>
      <c r="F51" t="s">
        <v>436</v>
      </c>
      <c r="G51" t="s">
        <v>5561</v>
      </c>
    </row>
    <row r="52" spans="1:7" x14ac:dyDescent="0.25">
      <c r="A52" t="s">
        <v>22</v>
      </c>
      <c r="B52" s="5">
        <v>35934</v>
      </c>
      <c r="C52" s="5" t="s">
        <v>5562</v>
      </c>
      <c r="E52" t="s">
        <v>1382</v>
      </c>
      <c r="F52" t="s">
        <v>437</v>
      </c>
      <c r="G52" t="s">
        <v>5562</v>
      </c>
    </row>
    <row r="53" spans="1:7" x14ac:dyDescent="0.25">
      <c r="A53" t="s">
        <v>58</v>
      </c>
      <c r="B53" s="5">
        <v>33793</v>
      </c>
      <c r="C53" s="5" t="s">
        <v>5563</v>
      </c>
      <c r="E53" t="s">
        <v>2302</v>
      </c>
      <c r="F53" t="s">
        <v>438</v>
      </c>
      <c r="G53" t="s">
        <v>5563</v>
      </c>
    </row>
    <row r="54" spans="1:7" x14ac:dyDescent="0.25">
      <c r="A54" t="s">
        <v>40</v>
      </c>
      <c r="B54" s="5">
        <v>33729</v>
      </c>
      <c r="C54" s="5" t="s">
        <v>5564</v>
      </c>
      <c r="E54" t="s">
        <v>2637</v>
      </c>
      <c r="F54" t="s">
        <v>439</v>
      </c>
      <c r="G54" t="s">
        <v>5564</v>
      </c>
    </row>
    <row r="55" spans="1:7" x14ac:dyDescent="0.25">
      <c r="A55" t="s">
        <v>59</v>
      </c>
      <c r="B55" s="5">
        <v>40680</v>
      </c>
      <c r="C55" s="5" t="s">
        <v>3006</v>
      </c>
      <c r="D55" t="s">
        <v>3006</v>
      </c>
      <c r="E55" t="s">
        <v>1473</v>
      </c>
      <c r="F55" t="s">
        <v>440</v>
      </c>
      <c r="G55" t="s">
        <v>3006</v>
      </c>
    </row>
    <row r="56" spans="1:7" x14ac:dyDescent="0.25">
      <c r="A56" t="s">
        <v>57</v>
      </c>
      <c r="B56" s="5">
        <v>34137</v>
      </c>
      <c r="C56" s="5" t="s">
        <v>5565</v>
      </c>
      <c r="E56" t="s">
        <v>2230</v>
      </c>
      <c r="F56" t="s">
        <v>441</v>
      </c>
      <c r="G56" t="s">
        <v>5565</v>
      </c>
    </row>
    <row r="57" spans="1:7" x14ac:dyDescent="0.25">
      <c r="A57" t="s">
        <v>60</v>
      </c>
      <c r="B57" s="5">
        <v>39623</v>
      </c>
      <c r="C57" s="5" t="s">
        <v>3007</v>
      </c>
      <c r="D57" t="s">
        <v>3007</v>
      </c>
      <c r="E57" t="s">
        <v>1966</v>
      </c>
      <c r="F57" t="s">
        <v>442</v>
      </c>
      <c r="G57" t="s">
        <v>3007</v>
      </c>
    </row>
    <row r="58" spans="1:7" x14ac:dyDescent="0.25">
      <c r="A58" t="s">
        <v>61</v>
      </c>
      <c r="B58" s="5">
        <v>39237</v>
      </c>
      <c r="C58" s="5" t="s">
        <v>3008</v>
      </c>
      <c r="D58" t="s">
        <v>3008</v>
      </c>
      <c r="E58" t="s">
        <v>1792</v>
      </c>
      <c r="F58" t="s">
        <v>443</v>
      </c>
      <c r="G58" t="s">
        <v>3008</v>
      </c>
    </row>
    <row r="59" spans="1:7" x14ac:dyDescent="0.25">
      <c r="A59" t="s">
        <v>33</v>
      </c>
      <c r="B59" s="5">
        <v>37047</v>
      </c>
      <c r="C59" s="5" t="s">
        <v>5566</v>
      </c>
      <c r="E59" t="s">
        <v>1392</v>
      </c>
      <c r="F59" t="s">
        <v>444</v>
      </c>
      <c r="G59" t="s">
        <v>5566</v>
      </c>
    </row>
    <row r="60" spans="1:7" x14ac:dyDescent="0.25">
      <c r="A60" t="s">
        <v>27</v>
      </c>
      <c r="B60" s="5">
        <v>34472</v>
      </c>
      <c r="C60" s="5" t="s">
        <v>5567</v>
      </c>
      <c r="E60" t="s">
        <v>2238</v>
      </c>
      <c r="F60" t="s">
        <v>445</v>
      </c>
      <c r="G60" t="s">
        <v>5567</v>
      </c>
    </row>
    <row r="61" spans="1:7" x14ac:dyDescent="0.25">
      <c r="A61" t="s">
        <v>62</v>
      </c>
      <c r="B61" s="5">
        <v>33778</v>
      </c>
      <c r="C61" s="5" t="s">
        <v>5568</v>
      </c>
      <c r="E61" t="s">
        <v>2701</v>
      </c>
      <c r="F61" t="s">
        <v>446</v>
      </c>
      <c r="G61" t="s">
        <v>5568</v>
      </c>
    </row>
    <row r="62" spans="1:7" x14ac:dyDescent="0.25">
      <c r="A62" t="s">
        <v>63</v>
      </c>
      <c r="B62" s="5">
        <v>34121</v>
      </c>
      <c r="C62" s="5" t="s">
        <v>5569</v>
      </c>
      <c r="E62" t="s">
        <v>2297</v>
      </c>
      <c r="F62" t="s">
        <v>447</v>
      </c>
      <c r="G62" t="s">
        <v>5569</v>
      </c>
    </row>
    <row r="63" spans="1:7" x14ac:dyDescent="0.25">
      <c r="A63" t="s">
        <v>64</v>
      </c>
      <c r="B63" s="5">
        <v>41436</v>
      </c>
      <c r="C63" s="5" t="s">
        <v>3009</v>
      </c>
      <c r="D63" t="s">
        <v>3009</v>
      </c>
      <c r="E63" t="s">
        <v>1585</v>
      </c>
      <c r="F63" t="s">
        <v>448</v>
      </c>
      <c r="G63" t="s">
        <v>3009</v>
      </c>
    </row>
    <row r="64" spans="1:7" x14ac:dyDescent="0.25">
      <c r="A64" t="s">
        <v>37</v>
      </c>
      <c r="B64" s="5">
        <v>34472</v>
      </c>
      <c r="C64" s="5" t="s">
        <v>5570</v>
      </c>
      <c r="E64" t="s">
        <v>2479</v>
      </c>
      <c r="F64" t="s">
        <v>449</v>
      </c>
      <c r="G64" t="s">
        <v>5570</v>
      </c>
    </row>
    <row r="65" spans="1:7" x14ac:dyDescent="0.25">
      <c r="A65" t="s">
        <v>49</v>
      </c>
      <c r="B65" s="5">
        <v>34129</v>
      </c>
      <c r="C65" s="5" t="s">
        <v>5571</v>
      </c>
      <c r="E65" t="s">
        <v>2278</v>
      </c>
      <c r="F65" t="s">
        <v>450</v>
      </c>
      <c r="G65" t="s">
        <v>5571</v>
      </c>
    </row>
    <row r="66" spans="1:7" x14ac:dyDescent="0.25">
      <c r="A66" t="s">
        <v>65</v>
      </c>
      <c r="B66" s="5">
        <v>37418</v>
      </c>
      <c r="C66" s="5" t="s">
        <v>5572</v>
      </c>
      <c r="E66" t="s">
        <v>2185</v>
      </c>
      <c r="F66" t="s">
        <v>451</v>
      </c>
      <c r="G66" t="s">
        <v>5572</v>
      </c>
    </row>
    <row r="67" spans="1:7" x14ac:dyDescent="0.25">
      <c r="A67" t="s">
        <v>66</v>
      </c>
      <c r="B67" s="5">
        <v>41444</v>
      </c>
      <c r="C67" s="5" t="s">
        <v>3010</v>
      </c>
      <c r="D67" t="s">
        <v>3010</v>
      </c>
      <c r="E67" t="s">
        <v>1607</v>
      </c>
      <c r="F67" t="s">
        <v>452</v>
      </c>
      <c r="G67" t="s">
        <v>3010</v>
      </c>
    </row>
    <row r="68" spans="1:7" x14ac:dyDescent="0.25">
      <c r="A68" t="s">
        <v>57</v>
      </c>
      <c r="B68" s="5">
        <v>41078</v>
      </c>
      <c r="C68" s="5" t="s">
        <v>3011</v>
      </c>
      <c r="D68" t="s">
        <v>3011</v>
      </c>
      <c r="E68" t="s">
        <v>1670</v>
      </c>
      <c r="F68" t="s">
        <v>453</v>
      </c>
      <c r="G68" t="s">
        <v>3011</v>
      </c>
    </row>
    <row r="69" spans="1:7" x14ac:dyDescent="0.25">
      <c r="A69" t="s">
        <v>67</v>
      </c>
      <c r="B69" s="5">
        <v>39240</v>
      </c>
      <c r="C69" s="5" t="s">
        <v>3012</v>
      </c>
      <c r="D69" t="s">
        <v>3012</v>
      </c>
      <c r="E69" t="s">
        <v>1693</v>
      </c>
      <c r="F69" t="s">
        <v>454</v>
      </c>
      <c r="G69" t="s">
        <v>3012</v>
      </c>
    </row>
    <row r="70" spans="1:7" x14ac:dyDescent="0.25">
      <c r="A70" t="s">
        <v>29</v>
      </c>
      <c r="B70" s="5">
        <v>34135</v>
      </c>
      <c r="C70" s="5" t="s">
        <v>5573</v>
      </c>
      <c r="F70" t="s">
        <v>455</v>
      </c>
      <c r="G70" t="s">
        <v>5573</v>
      </c>
    </row>
    <row r="71" spans="1:7" x14ac:dyDescent="0.25">
      <c r="A71" t="s">
        <v>38</v>
      </c>
      <c r="B71" s="5">
        <v>35205</v>
      </c>
      <c r="C71" s="5" t="s">
        <v>5574</v>
      </c>
      <c r="E71" t="s">
        <v>2652</v>
      </c>
      <c r="F71" t="s">
        <v>456</v>
      </c>
      <c r="G71" t="s">
        <v>5574</v>
      </c>
    </row>
    <row r="72" spans="1:7" x14ac:dyDescent="0.25">
      <c r="A72" t="s">
        <v>33</v>
      </c>
      <c r="B72" s="5">
        <v>33758</v>
      </c>
      <c r="C72" s="5" t="s">
        <v>5575</v>
      </c>
      <c r="E72" t="s">
        <v>2340</v>
      </c>
      <c r="F72" t="s">
        <v>457</v>
      </c>
      <c r="G72" t="s">
        <v>5575</v>
      </c>
    </row>
    <row r="73" spans="1:7" x14ac:dyDescent="0.25">
      <c r="A73" t="s">
        <v>68</v>
      </c>
      <c r="B73" s="5">
        <v>41435</v>
      </c>
      <c r="C73" s="5" t="s">
        <v>3013</v>
      </c>
      <c r="D73" t="s">
        <v>3013</v>
      </c>
      <c r="E73" t="s">
        <v>2180</v>
      </c>
      <c r="F73" t="s">
        <v>458</v>
      </c>
      <c r="G73" t="s">
        <v>3013</v>
      </c>
    </row>
    <row r="74" spans="1:7" x14ac:dyDescent="0.25">
      <c r="A74" t="s">
        <v>33</v>
      </c>
      <c r="B74" s="5">
        <v>39259</v>
      </c>
      <c r="C74" s="5" t="s">
        <v>3014</v>
      </c>
      <c r="D74" t="s">
        <v>3014</v>
      </c>
      <c r="E74" t="s">
        <v>2083</v>
      </c>
      <c r="F74" t="s">
        <v>459</v>
      </c>
      <c r="G74" t="s">
        <v>3014</v>
      </c>
    </row>
    <row r="75" spans="1:7" x14ac:dyDescent="0.25">
      <c r="A75" t="s">
        <v>49</v>
      </c>
      <c r="B75" s="5">
        <v>35170</v>
      </c>
      <c r="C75" s="5" t="s">
        <v>5576</v>
      </c>
      <c r="F75" t="s">
        <v>460</v>
      </c>
      <c r="G75" t="s">
        <v>5576</v>
      </c>
    </row>
    <row r="76" spans="1:7" x14ac:dyDescent="0.25">
      <c r="A76" t="s">
        <v>35</v>
      </c>
      <c r="B76" s="5">
        <v>41443</v>
      </c>
      <c r="C76" s="5" t="s">
        <v>3000</v>
      </c>
      <c r="D76" t="s">
        <v>3000</v>
      </c>
      <c r="E76" t="s">
        <v>1677</v>
      </c>
      <c r="F76" t="s">
        <v>461</v>
      </c>
      <c r="G76" t="s">
        <v>3000</v>
      </c>
    </row>
    <row r="77" spans="1:7" x14ac:dyDescent="0.25">
      <c r="A77" t="s">
        <v>49</v>
      </c>
      <c r="B77" s="5">
        <v>33729</v>
      </c>
      <c r="C77" s="5" t="s">
        <v>5577</v>
      </c>
      <c r="E77" t="s">
        <v>2539</v>
      </c>
      <c r="F77" t="s">
        <v>462</v>
      </c>
      <c r="G77" t="s">
        <v>5577</v>
      </c>
    </row>
    <row r="78" spans="1:7" x14ac:dyDescent="0.25">
      <c r="A78" t="s">
        <v>68</v>
      </c>
      <c r="B78" s="5">
        <v>39226</v>
      </c>
      <c r="C78" s="5" t="s">
        <v>3015</v>
      </c>
      <c r="D78" t="s">
        <v>3015</v>
      </c>
      <c r="E78" t="s">
        <v>2110</v>
      </c>
      <c r="F78" t="s">
        <v>463</v>
      </c>
      <c r="G78" t="s">
        <v>3015</v>
      </c>
    </row>
    <row r="79" spans="1:7" x14ac:dyDescent="0.25">
      <c r="A79" t="s">
        <v>39</v>
      </c>
      <c r="B79" s="5">
        <v>33715</v>
      </c>
      <c r="C79" s="5" t="s">
        <v>5578</v>
      </c>
      <c r="E79" t="s">
        <v>2396</v>
      </c>
      <c r="F79" t="s">
        <v>464</v>
      </c>
      <c r="G79" t="s">
        <v>5578</v>
      </c>
    </row>
    <row r="80" spans="1:7" x14ac:dyDescent="0.25">
      <c r="A80" t="s">
        <v>69</v>
      </c>
      <c r="B80" s="5">
        <v>41774</v>
      </c>
      <c r="C80" s="5" t="s">
        <v>3016</v>
      </c>
      <c r="D80" t="s">
        <v>3016</v>
      </c>
      <c r="E80" t="s">
        <v>2050</v>
      </c>
      <c r="F80" t="s">
        <v>465</v>
      </c>
      <c r="G80" t="s">
        <v>3016</v>
      </c>
    </row>
    <row r="81" spans="1:7" x14ac:dyDescent="0.25">
      <c r="A81" t="s">
        <v>62</v>
      </c>
      <c r="B81" s="5">
        <v>34491</v>
      </c>
      <c r="C81" s="5" t="s">
        <v>5579</v>
      </c>
      <c r="E81" t="s">
        <v>2586</v>
      </c>
      <c r="F81" t="s">
        <v>466</v>
      </c>
      <c r="G81" t="s">
        <v>5579</v>
      </c>
    </row>
    <row r="82" spans="1:7" x14ac:dyDescent="0.25">
      <c r="A82" t="s">
        <v>70</v>
      </c>
      <c r="B82" s="5">
        <v>41437</v>
      </c>
      <c r="C82" s="5" t="s">
        <v>3017</v>
      </c>
      <c r="D82" t="s">
        <v>3017</v>
      </c>
      <c r="E82" t="s">
        <v>1942</v>
      </c>
      <c r="F82" t="s">
        <v>467</v>
      </c>
      <c r="G82" t="s">
        <v>3017</v>
      </c>
    </row>
    <row r="83" spans="1:7" x14ac:dyDescent="0.25">
      <c r="A83" t="s">
        <v>62</v>
      </c>
      <c r="B83" s="5">
        <v>41780</v>
      </c>
      <c r="C83" s="5" t="s">
        <v>3018</v>
      </c>
      <c r="D83" t="s">
        <v>3018</v>
      </c>
      <c r="E83" t="s">
        <v>1804</v>
      </c>
      <c r="F83" t="s">
        <v>468</v>
      </c>
      <c r="G83" t="s">
        <v>3018</v>
      </c>
    </row>
    <row r="84" spans="1:7" x14ac:dyDescent="0.25">
      <c r="A84" t="s">
        <v>62</v>
      </c>
      <c r="B84" s="5">
        <v>35569</v>
      </c>
      <c r="C84" s="5" t="s">
        <v>5580</v>
      </c>
      <c r="E84" t="s">
        <v>2093</v>
      </c>
      <c r="F84" t="s">
        <v>469</v>
      </c>
      <c r="G84" t="s">
        <v>5580</v>
      </c>
    </row>
    <row r="85" spans="1:7" x14ac:dyDescent="0.25">
      <c r="A85" t="s">
        <v>45</v>
      </c>
      <c r="B85" s="5">
        <v>35194</v>
      </c>
      <c r="C85" s="5" t="s">
        <v>5581</v>
      </c>
      <c r="E85" t="s">
        <v>2552</v>
      </c>
      <c r="F85" t="s">
        <v>470</v>
      </c>
      <c r="G85" t="s">
        <v>5581</v>
      </c>
    </row>
    <row r="86" spans="1:7" x14ac:dyDescent="0.25">
      <c r="A86" t="s">
        <v>47</v>
      </c>
      <c r="B86" s="5">
        <v>35926</v>
      </c>
      <c r="C86" s="5" t="s">
        <v>5582</v>
      </c>
      <c r="E86" t="s">
        <v>1523</v>
      </c>
      <c r="F86" t="s">
        <v>471</v>
      </c>
      <c r="G86" t="s">
        <v>5582</v>
      </c>
    </row>
    <row r="87" spans="1:7" x14ac:dyDescent="0.25">
      <c r="A87" t="s">
        <v>71</v>
      </c>
      <c r="B87" s="5">
        <v>36648</v>
      </c>
      <c r="C87" s="5" t="s">
        <v>5583</v>
      </c>
      <c r="E87" t="s">
        <v>1974</v>
      </c>
      <c r="F87" t="s">
        <v>472</v>
      </c>
      <c r="G87" t="s">
        <v>5583</v>
      </c>
    </row>
    <row r="88" spans="1:7" x14ac:dyDescent="0.25">
      <c r="A88" t="s">
        <v>72</v>
      </c>
      <c r="B88" s="5">
        <v>34855</v>
      </c>
      <c r="C88" s="5" t="s">
        <v>5584</v>
      </c>
      <c r="E88" t="s">
        <v>2416</v>
      </c>
      <c r="F88" t="s">
        <v>473</v>
      </c>
      <c r="G88" t="s">
        <v>5584</v>
      </c>
    </row>
    <row r="89" spans="1:7" x14ac:dyDescent="0.25">
      <c r="A89" t="s">
        <v>73</v>
      </c>
      <c r="B89" s="5">
        <v>39245</v>
      </c>
      <c r="C89" s="5" t="s">
        <v>3019</v>
      </c>
      <c r="D89" t="s">
        <v>3019</v>
      </c>
      <c r="E89" t="s">
        <v>1373</v>
      </c>
      <c r="F89" t="s">
        <v>474</v>
      </c>
      <c r="G89" t="s">
        <v>3019</v>
      </c>
    </row>
    <row r="90" spans="1:7" x14ac:dyDescent="0.25">
      <c r="A90" t="s">
        <v>74</v>
      </c>
      <c r="B90" s="5">
        <v>41788</v>
      </c>
      <c r="C90" s="5" t="s">
        <v>3020</v>
      </c>
      <c r="D90" t="s">
        <v>3020</v>
      </c>
      <c r="E90" t="s">
        <v>1436</v>
      </c>
      <c r="F90" t="s">
        <v>475</v>
      </c>
      <c r="G90" t="s">
        <v>3020</v>
      </c>
    </row>
    <row r="91" spans="1:7" x14ac:dyDescent="0.25">
      <c r="A91" t="s">
        <v>75</v>
      </c>
      <c r="B91" s="5">
        <v>39617</v>
      </c>
      <c r="C91" s="5" t="s">
        <v>3021</v>
      </c>
      <c r="D91" t="s">
        <v>3021</v>
      </c>
      <c r="E91" t="s">
        <v>2005</v>
      </c>
      <c r="F91" t="s">
        <v>476</v>
      </c>
      <c r="G91" t="s">
        <v>3021</v>
      </c>
    </row>
    <row r="92" spans="1:7" x14ac:dyDescent="0.25">
      <c r="A92" t="s">
        <v>76</v>
      </c>
      <c r="B92" s="5">
        <v>37425</v>
      </c>
      <c r="C92" s="5" t="s">
        <v>5585</v>
      </c>
      <c r="E92" t="s">
        <v>1850</v>
      </c>
      <c r="F92" t="s">
        <v>477</v>
      </c>
      <c r="G92" t="s">
        <v>5585</v>
      </c>
    </row>
    <row r="93" spans="1:7" x14ac:dyDescent="0.25">
      <c r="A93" t="s">
        <v>43</v>
      </c>
      <c r="B93" s="5">
        <v>41745</v>
      </c>
      <c r="C93" s="5" t="s">
        <v>3022</v>
      </c>
      <c r="D93" t="s">
        <v>3022</v>
      </c>
      <c r="E93" t="s">
        <v>2021</v>
      </c>
      <c r="F93" t="s">
        <v>478</v>
      </c>
      <c r="G93" t="s">
        <v>3022</v>
      </c>
    </row>
    <row r="94" spans="1:7" x14ac:dyDescent="0.25">
      <c r="A94" t="s">
        <v>57</v>
      </c>
      <c r="B94" s="5">
        <v>33763</v>
      </c>
      <c r="C94" s="5" t="s">
        <v>5586</v>
      </c>
      <c r="E94" t="s">
        <v>2256</v>
      </c>
      <c r="F94" t="s">
        <v>479</v>
      </c>
      <c r="G94" t="s">
        <v>5586</v>
      </c>
    </row>
    <row r="95" spans="1:7" x14ac:dyDescent="0.25">
      <c r="A95" t="s">
        <v>77</v>
      </c>
      <c r="B95" s="5">
        <v>35935</v>
      </c>
      <c r="C95" s="5" t="s">
        <v>5587</v>
      </c>
      <c r="E95" t="s">
        <v>1833</v>
      </c>
      <c r="F95" t="s">
        <v>480</v>
      </c>
      <c r="G95" t="s">
        <v>5587</v>
      </c>
    </row>
    <row r="96" spans="1:7" x14ac:dyDescent="0.25">
      <c r="A96" t="s">
        <v>78</v>
      </c>
      <c r="B96" s="5">
        <v>37419</v>
      </c>
      <c r="C96" s="5" t="s">
        <v>5588</v>
      </c>
      <c r="E96" t="s">
        <v>1656</v>
      </c>
      <c r="F96" t="s">
        <v>481</v>
      </c>
      <c r="G96" t="s">
        <v>5588</v>
      </c>
    </row>
    <row r="97" spans="1:7" x14ac:dyDescent="0.25">
      <c r="A97" t="s">
        <v>42</v>
      </c>
      <c r="B97" s="5">
        <v>34506</v>
      </c>
      <c r="C97" s="5" t="s">
        <v>5589</v>
      </c>
      <c r="E97" t="s">
        <v>2619</v>
      </c>
      <c r="F97" t="s">
        <v>482</v>
      </c>
      <c r="G97" t="s">
        <v>5589</v>
      </c>
    </row>
    <row r="98" spans="1:7" x14ac:dyDescent="0.25">
      <c r="A98" t="s">
        <v>39</v>
      </c>
      <c r="B98" s="5">
        <v>34108</v>
      </c>
      <c r="C98" s="5" t="s">
        <v>5590</v>
      </c>
      <c r="E98" t="s">
        <v>2597</v>
      </c>
      <c r="F98" t="s">
        <v>483</v>
      </c>
      <c r="G98" t="s">
        <v>5590</v>
      </c>
    </row>
    <row r="99" spans="1:7" x14ac:dyDescent="0.25">
      <c r="A99" t="s">
        <v>79</v>
      </c>
      <c r="B99" s="5">
        <v>34429</v>
      </c>
      <c r="C99" s="5" t="s">
        <v>5591</v>
      </c>
      <c r="E99" t="s">
        <v>2402</v>
      </c>
      <c r="F99" t="s">
        <v>484</v>
      </c>
      <c r="G99" t="s">
        <v>5591</v>
      </c>
    </row>
    <row r="100" spans="1:7" x14ac:dyDescent="0.25">
      <c r="A100" t="s">
        <v>63</v>
      </c>
      <c r="B100" s="5">
        <v>40352</v>
      </c>
      <c r="C100" s="5" t="s">
        <v>3023</v>
      </c>
      <c r="D100" t="s">
        <v>3023</v>
      </c>
      <c r="E100" t="s">
        <v>2135</v>
      </c>
      <c r="F100" t="s">
        <v>485</v>
      </c>
      <c r="G100" t="s">
        <v>3023</v>
      </c>
    </row>
    <row r="101" spans="1:7" x14ac:dyDescent="0.25">
      <c r="A101" t="s">
        <v>58</v>
      </c>
      <c r="B101" s="5">
        <v>37069</v>
      </c>
      <c r="C101" s="5" t="s">
        <v>5592</v>
      </c>
      <c r="E101" t="s">
        <v>1896</v>
      </c>
      <c r="F101" t="s">
        <v>486</v>
      </c>
      <c r="G101" t="s">
        <v>5592</v>
      </c>
    </row>
    <row r="102" spans="1:7" x14ac:dyDescent="0.25">
      <c r="A102" t="s">
        <v>80</v>
      </c>
      <c r="B102" s="5">
        <v>37425</v>
      </c>
      <c r="C102" s="5" t="s">
        <v>5593</v>
      </c>
      <c r="E102" t="s">
        <v>1566</v>
      </c>
      <c r="F102" t="s">
        <v>487</v>
      </c>
      <c r="G102" t="s">
        <v>5593</v>
      </c>
    </row>
    <row r="103" spans="1:7" x14ac:dyDescent="0.25">
      <c r="A103" t="s">
        <v>52</v>
      </c>
      <c r="B103" s="5">
        <v>36324</v>
      </c>
      <c r="C103" s="5" t="s">
        <v>5594</v>
      </c>
      <c r="F103" t="s">
        <v>488</v>
      </c>
      <c r="G103" t="s">
        <v>5594</v>
      </c>
    </row>
    <row r="104" spans="1:7" x14ac:dyDescent="0.25">
      <c r="A104" t="s">
        <v>81</v>
      </c>
      <c r="B104" s="5">
        <v>34793</v>
      </c>
      <c r="C104" s="5" t="s">
        <v>5595</v>
      </c>
      <c r="E104" t="s">
        <v>2535</v>
      </c>
      <c r="F104" t="s">
        <v>489</v>
      </c>
      <c r="G104" t="s">
        <v>5595</v>
      </c>
    </row>
    <row r="105" spans="1:7" x14ac:dyDescent="0.25">
      <c r="A105" t="s">
        <v>39</v>
      </c>
      <c r="B105" s="5">
        <v>35200</v>
      </c>
      <c r="C105" s="5" t="s">
        <v>5596</v>
      </c>
      <c r="F105" t="s">
        <v>490</v>
      </c>
      <c r="G105" t="s">
        <v>5596</v>
      </c>
    </row>
    <row r="106" spans="1:7" x14ac:dyDescent="0.25">
      <c r="A106" t="s">
        <v>54</v>
      </c>
      <c r="B106" s="5">
        <v>42158</v>
      </c>
      <c r="C106" s="5" t="s">
        <v>3024</v>
      </c>
      <c r="D106" t="s">
        <v>3024</v>
      </c>
      <c r="E106" t="s">
        <v>1466</v>
      </c>
      <c r="F106" t="s">
        <v>491</v>
      </c>
      <c r="G106" t="s">
        <v>3024</v>
      </c>
    </row>
    <row r="107" spans="1:7" x14ac:dyDescent="0.25">
      <c r="A107" t="s">
        <v>38</v>
      </c>
      <c r="B107" s="5">
        <v>36690</v>
      </c>
      <c r="C107" s="5" t="s">
        <v>5597</v>
      </c>
      <c r="E107" t="s">
        <v>1802</v>
      </c>
      <c r="F107" t="s">
        <v>492</v>
      </c>
      <c r="G107" t="s">
        <v>5597</v>
      </c>
    </row>
    <row r="108" spans="1:7" x14ac:dyDescent="0.25">
      <c r="A108" t="s">
        <v>82</v>
      </c>
      <c r="B108" s="5">
        <v>34857</v>
      </c>
      <c r="C108" s="5" t="s">
        <v>5598</v>
      </c>
      <c r="E108" t="s">
        <v>2464</v>
      </c>
      <c r="F108" t="s">
        <v>493</v>
      </c>
      <c r="G108" t="s">
        <v>5598</v>
      </c>
    </row>
    <row r="109" spans="1:7" x14ac:dyDescent="0.25">
      <c r="A109" t="s">
        <v>26</v>
      </c>
      <c r="B109" s="5">
        <v>34842</v>
      </c>
      <c r="C109" s="5" t="s">
        <v>5599</v>
      </c>
      <c r="E109" t="s">
        <v>2337</v>
      </c>
      <c r="F109" t="s">
        <v>494</v>
      </c>
      <c r="G109" t="s">
        <v>5599</v>
      </c>
    </row>
    <row r="110" spans="1:7" x14ac:dyDescent="0.25">
      <c r="A110" t="s">
        <v>23</v>
      </c>
      <c r="B110" s="5">
        <v>33737</v>
      </c>
      <c r="C110" s="5" t="s">
        <v>5600</v>
      </c>
      <c r="F110" t="s">
        <v>495</v>
      </c>
      <c r="G110" t="s">
        <v>5600</v>
      </c>
    </row>
    <row r="111" spans="1:7" x14ac:dyDescent="0.25">
      <c r="A111" t="s">
        <v>21</v>
      </c>
      <c r="B111" s="5">
        <v>34501</v>
      </c>
      <c r="C111" s="5" t="s">
        <v>5601</v>
      </c>
      <c r="E111" t="s">
        <v>2591</v>
      </c>
      <c r="F111" t="s">
        <v>496</v>
      </c>
      <c r="G111" t="s">
        <v>5601</v>
      </c>
    </row>
    <row r="112" spans="1:7" x14ac:dyDescent="0.25">
      <c r="A112" t="s">
        <v>82</v>
      </c>
      <c r="B112" s="5">
        <v>33793</v>
      </c>
      <c r="C112" s="5" t="s">
        <v>5602</v>
      </c>
      <c r="E112" t="s">
        <v>2287</v>
      </c>
      <c r="F112" t="s">
        <v>497</v>
      </c>
      <c r="G112" t="s">
        <v>5602</v>
      </c>
    </row>
    <row r="113" spans="1:7" x14ac:dyDescent="0.25">
      <c r="A113" t="s">
        <v>81</v>
      </c>
      <c r="B113" s="5">
        <v>40004</v>
      </c>
      <c r="C113" s="5" t="s">
        <v>3025</v>
      </c>
      <c r="D113" t="s">
        <v>3025</v>
      </c>
      <c r="E113" t="s">
        <v>1415</v>
      </c>
      <c r="F113" t="s">
        <v>498</v>
      </c>
      <c r="G113" t="s">
        <v>3025</v>
      </c>
    </row>
    <row r="114" spans="1:7" x14ac:dyDescent="0.25">
      <c r="A114" t="s">
        <v>82</v>
      </c>
      <c r="B114" s="5">
        <v>34501</v>
      </c>
      <c r="C114" s="5" t="s">
        <v>5603</v>
      </c>
      <c r="E114" t="s">
        <v>2332</v>
      </c>
      <c r="F114" t="s">
        <v>499</v>
      </c>
      <c r="G114" t="s">
        <v>5603</v>
      </c>
    </row>
    <row r="115" spans="1:7" x14ac:dyDescent="0.25">
      <c r="A115" t="s">
        <v>83</v>
      </c>
      <c r="B115" s="5">
        <v>40353</v>
      </c>
      <c r="C115" s="5" t="s">
        <v>3026</v>
      </c>
      <c r="D115" t="s">
        <v>3026</v>
      </c>
      <c r="E115" t="s">
        <v>1891</v>
      </c>
      <c r="F115" t="s">
        <v>500</v>
      </c>
      <c r="G115" t="s">
        <v>3026</v>
      </c>
    </row>
    <row r="116" spans="1:7" x14ac:dyDescent="0.25">
      <c r="A116" t="s">
        <v>84</v>
      </c>
      <c r="B116" s="5">
        <v>34500</v>
      </c>
      <c r="C116" s="5" t="s">
        <v>5604</v>
      </c>
      <c r="E116" t="s">
        <v>2633</v>
      </c>
      <c r="F116" t="s">
        <v>501</v>
      </c>
      <c r="G116" t="s">
        <v>5604</v>
      </c>
    </row>
    <row r="117" spans="1:7" x14ac:dyDescent="0.25">
      <c r="A117" t="s">
        <v>45</v>
      </c>
      <c r="B117" s="5">
        <v>34094</v>
      </c>
      <c r="C117" s="5" t="s">
        <v>5605</v>
      </c>
      <c r="E117" t="s">
        <v>2267</v>
      </c>
      <c r="F117" t="s">
        <v>502</v>
      </c>
      <c r="G117" t="s">
        <v>5605</v>
      </c>
    </row>
    <row r="118" spans="1:7" x14ac:dyDescent="0.25">
      <c r="A118" t="s">
        <v>85</v>
      </c>
      <c r="B118" s="5">
        <v>35955</v>
      </c>
      <c r="C118" s="5" t="s">
        <v>5606</v>
      </c>
      <c r="E118" t="s">
        <v>1871</v>
      </c>
      <c r="F118" t="s">
        <v>503</v>
      </c>
      <c r="G118" t="s">
        <v>5606</v>
      </c>
    </row>
    <row r="119" spans="1:7" x14ac:dyDescent="0.25">
      <c r="A119" t="s">
        <v>86</v>
      </c>
      <c r="B119" s="5">
        <v>34856</v>
      </c>
      <c r="C119" s="5" t="s">
        <v>5607</v>
      </c>
      <c r="E119" t="s">
        <v>2359</v>
      </c>
      <c r="F119" t="s">
        <v>504</v>
      </c>
      <c r="G119" t="s">
        <v>5607</v>
      </c>
    </row>
    <row r="120" spans="1:7" x14ac:dyDescent="0.25">
      <c r="A120" t="s">
        <v>74</v>
      </c>
      <c r="B120" s="5">
        <v>39617</v>
      </c>
      <c r="C120" s="5" t="s">
        <v>3027</v>
      </c>
      <c r="D120" t="s">
        <v>3027</v>
      </c>
      <c r="E120" t="s">
        <v>2141</v>
      </c>
      <c r="F120" t="s">
        <v>505</v>
      </c>
      <c r="G120" t="s">
        <v>3027</v>
      </c>
    </row>
    <row r="121" spans="1:7" x14ac:dyDescent="0.25">
      <c r="A121" t="s">
        <v>87</v>
      </c>
      <c r="B121" s="5">
        <v>37061</v>
      </c>
      <c r="C121" s="5" t="s">
        <v>5608</v>
      </c>
      <c r="E121" t="s">
        <v>1418</v>
      </c>
      <c r="F121" t="s">
        <v>506</v>
      </c>
      <c r="G121" t="s">
        <v>5608</v>
      </c>
    </row>
    <row r="122" spans="1:7" x14ac:dyDescent="0.25">
      <c r="A122" t="s">
        <v>52</v>
      </c>
      <c r="B122" s="5">
        <v>37405</v>
      </c>
      <c r="C122" s="5" t="s">
        <v>5609</v>
      </c>
      <c r="E122" t="s">
        <v>1900</v>
      </c>
      <c r="F122" t="s">
        <v>507</v>
      </c>
      <c r="G122" t="s">
        <v>5609</v>
      </c>
    </row>
    <row r="123" spans="1:7" x14ac:dyDescent="0.25">
      <c r="A123" t="s">
        <v>88</v>
      </c>
      <c r="B123" s="5">
        <v>33792</v>
      </c>
      <c r="C123" s="5" t="s">
        <v>5610</v>
      </c>
      <c r="E123" t="s">
        <v>2548</v>
      </c>
      <c r="F123" t="s">
        <v>508</v>
      </c>
      <c r="G123" t="s">
        <v>5610</v>
      </c>
    </row>
    <row r="124" spans="1:7" x14ac:dyDescent="0.25">
      <c r="A124" t="s">
        <v>89</v>
      </c>
      <c r="B124" s="5">
        <v>34064</v>
      </c>
      <c r="C124" s="5" t="s">
        <v>5611</v>
      </c>
      <c r="E124" t="s">
        <v>2676</v>
      </c>
      <c r="F124" t="s">
        <v>509</v>
      </c>
      <c r="G124" t="s">
        <v>5611</v>
      </c>
    </row>
    <row r="125" spans="1:7" x14ac:dyDescent="0.25">
      <c r="A125" t="s">
        <v>35</v>
      </c>
      <c r="B125" s="5">
        <v>36704</v>
      </c>
      <c r="C125" s="5" t="s">
        <v>5612</v>
      </c>
      <c r="E125" t="s">
        <v>1475</v>
      </c>
      <c r="F125" t="s">
        <v>510</v>
      </c>
      <c r="G125" t="s">
        <v>5612</v>
      </c>
    </row>
    <row r="126" spans="1:7" x14ac:dyDescent="0.25">
      <c r="A126" t="s">
        <v>90</v>
      </c>
      <c r="B126" s="5">
        <v>40351</v>
      </c>
      <c r="C126" s="5" t="s">
        <v>3028</v>
      </c>
      <c r="D126" t="s">
        <v>3028</v>
      </c>
      <c r="E126" t="s">
        <v>1758</v>
      </c>
      <c r="F126" t="s">
        <v>511</v>
      </c>
      <c r="G126" t="s">
        <v>3028</v>
      </c>
    </row>
    <row r="127" spans="1:7" x14ac:dyDescent="0.25">
      <c r="A127" t="s">
        <v>86</v>
      </c>
      <c r="B127" s="5">
        <v>39616</v>
      </c>
      <c r="C127" s="5" t="s">
        <v>3029</v>
      </c>
      <c r="D127" t="s">
        <v>3029</v>
      </c>
      <c r="E127" t="s">
        <v>1654</v>
      </c>
      <c r="F127" t="s">
        <v>512</v>
      </c>
      <c r="G127" t="s">
        <v>3029</v>
      </c>
    </row>
    <row r="128" spans="1:7" x14ac:dyDescent="0.25">
      <c r="A128" t="s">
        <v>66</v>
      </c>
      <c r="B128" s="5">
        <v>39639</v>
      </c>
      <c r="C128" s="5" t="s">
        <v>3030</v>
      </c>
      <c r="D128" t="s">
        <v>3030</v>
      </c>
      <c r="E128" t="s">
        <v>1808</v>
      </c>
      <c r="F128" t="s">
        <v>513</v>
      </c>
      <c r="G128" t="s">
        <v>3030</v>
      </c>
    </row>
    <row r="129" spans="1:7" x14ac:dyDescent="0.25">
      <c r="A129" t="s">
        <v>91</v>
      </c>
      <c r="B129" s="5">
        <v>41793</v>
      </c>
      <c r="C129" s="5" t="s">
        <v>3031</v>
      </c>
      <c r="D129" t="s">
        <v>3031</v>
      </c>
      <c r="E129" t="s">
        <v>1784</v>
      </c>
      <c r="F129" t="s">
        <v>514</v>
      </c>
      <c r="G129" t="s">
        <v>3031</v>
      </c>
    </row>
    <row r="130" spans="1:7" x14ac:dyDescent="0.25">
      <c r="A130" t="s">
        <v>72</v>
      </c>
      <c r="B130" s="5">
        <v>33766</v>
      </c>
      <c r="C130" s="5" t="s">
        <v>5613</v>
      </c>
      <c r="E130" t="s">
        <v>2216</v>
      </c>
      <c r="F130" t="s">
        <v>515</v>
      </c>
      <c r="G130" t="s">
        <v>5613</v>
      </c>
    </row>
    <row r="131" spans="1:7" x14ac:dyDescent="0.25">
      <c r="A131" t="s">
        <v>92</v>
      </c>
      <c r="B131" s="5">
        <v>34124</v>
      </c>
      <c r="C131" s="5" t="s">
        <v>5614</v>
      </c>
      <c r="E131" t="s">
        <v>2368</v>
      </c>
      <c r="F131" t="s">
        <v>516</v>
      </c>
      <c r="G131" t="s">
        <v>5614</v>
      </c>
    </row>
    <row r="132" spans="1:7" x14ac:dyDescent="0.25">
      <c r="A132" t="s">
        <v>90</v>
      </c>
      <c r="B132" s="5">
        <v>33759</v>
      </c>
      <c r="C132" s="5" t="s">
        <v>5615</v>
      </c>
      <c r="E132" t="s">
        <v>2309</v>
      </c>
      <c r="F132" t="s">
        <v>517</v>
      </c>
      <c r="G132" t="s">
        <v>5615</v>
      </c>
    </row>
    <row r="133" spans="1:7" x14ac:dyDescent="0.25">
      <c r="A133" t="s">
        <v>93</v>
      </c>
      <c r="B133" s="5">
        <v>42542</v>
      </c>
      <c r="C133" s="5" t="s">
        <v>3032</v>
      </c>
      <c r="D133" t="s">
        <v>3032</v>
      </c>
      <c r="E133" t="s">
        <v>1428</v>
      </c>
      <c r="F133" t="s">
        <v>518</v>
      </c>
      <c r="G133" t="s">
        <v>3032</v>
      </c>
    </row>
    <row r="134" spans="1:7" x14ac:dyDescent="0.25">
      <c r="A134" t="s">
        <v>54</v>
      </c>
      <c r="B134" s="5">
        <v>34507</v>
      </c>
      <c r="C134" s="5" t="s">
        <v>5616</v>
      </c>
      <c r="E134" t="s">
        <v>2651</v>
      </c>
      <c r="F134" t="s">
        <v>519</v>
      </c>
      <c r="G134" t="s">
        <v>5616</v>
      </c>
    </row>
    <row r="135" spans="1:7" x14ac:dyDescent="0.25">
      <c r="A135" t="s">
        <v>94</v>
      </c>
      <c r="B135" s="5">
        <v>40353</v>
      </c>
      <c r="C135" s="5" t="s">
        <v>3033</v>
      </c>
      <c r="D135" t="s">
        <v>3033</v>
      </c>
      <c r="E135" t="s">
        <v>2103</v>
      </c>
      <c r="F135" t="s">
        <v>520</v>
      </c>
      <c r="G135" t="s">
        <v>3033</v>
      </c>
    </row>
    <row r="136" spans="1:7" x14ac:dyDescent="0.25">
      <c r="A136" t="s">
        <v>47</v>
      </c>
      <c r="B136" s="5">
        <v>33702</v>
      </c>
      <c r="C136" s="5" t="s">
        <v>5617</v>
      </c>
      <c r="E136" t="s">
        <v>2324</v>
      </c>
      <c r="F136" t="s">
        <v>521</v>
      </c>
      <c r="G136" t="s">
        <v>5617</v>
      </c>
    </row>
    <row r="137" spans="1:7" x14ac:dyDescent="0.25">
      <c r="A137" t="s">
        <v>63</v>
      </c>
      <c r="B137" s="5">
        <v>33794</v>
      </c>
      <c r="C137" s="5" t="s">
        <v>5618</v>
      </c>
      <c r="E137" t="s">
        <v>2412</v>
      </c>
      <c r="F137" t="s">
        <v>522</v>
      </c>
      <c r="G137" t="s">
        <v>5618</v>
      </c>
    </row>
    <row r="138" spans="1:7" x14ac:dyDescent="0.25">
      <c r="A138" t="s">
        <v>95</v>
      </c>
      <c r="B138" s="5">
        <v>40360</v>
      </c>
      <c r="C138" s="5" t="s">
        <v>3034</v>
      </c>
      <c r="D138" t="s">
        <v>3034</v>
      </c>
      <c r="E138" t="s">
        <v>1913</v>
      </c>
      <c r="F138" t="s">
        <v>523</v>
      </c>
      <c r="G138" t="s">
        <v>3034</v>
      </c>
    </row>
    <row r="139" spans="1:7" x14ac:dyDescent="0.25">
      <c r="A139" t="s">
        <v>90</v>
      </c>
      <c r="B139" s="5">
        <v>34507</v>
      </c>
      <c r="C139" s="5" t="s">
        <v>5619</v>
      </c>
      <c r="E139" t="s">
        <v>2705</v>
      </c>
      <c r="F139" t="s">
        <v>524</v>
      </c>
      <c r="G139" t="s">
        <v>5619</v>
      </c>
    </row>
    <row r="140" spans="1:7" x14ac:dyDescent="0.25">
      <c r="A140" t="s">
        <v>43</v>
      </c>
      <c r="B140" s="5">
        <v>33771</v>
      </c>
      <c r="C140" s="5" t="s">
        <v>5620</v>
      </c>
      <c r="E140" t="s">
        <v>2358</v>
      </c>
      <c r="F140" t="s">
        <v>525</v>
      </c>
      <c r="G140" t="s">
        <v>5620</v>
      </c>
    </row>
    <row r="141" spans="1:7" x14ac:dyDescent="0.25">
      <c r="A141" t="s">
        <v>49</v>
      </c>
      <c r="B141" s="5">
        <v>39638</v>
      </c>
      <c r="C141" s="5" t="s">
        <v>3035</v>
      </c>
      <c r="D141" t="s">
        <v>3035</v>
      </c>
      <c r="E141" t="s">
        <v>1467</v>
      </c>
      <c r="F141" t="s">
        <v>526</v>
      </c>
      <c r="G141" t="s">
        <v>3035</v>
      </c>
    </row>
    <row r="142" spans="1:7" x14ac:dyDescent="0.25">
      <c r="A142" t="s">
        <v>43</v>
      </c>
      <c r="B142" s="5">
        <v>35564</v>
      </c>
      <c r="C142" s="5" t="s">
        <v>5621</v>
      </c>
      <c r="E142" t="s">
        <v>1389</v>
      </c>
      <c r="F142" t="s">
        <v>527</v>
      </c>
      <c r="G142" t="s">
        <v>5621</v>
      </c>
    </row>
    <row r="143" spans="1:7" x14ac:dyDescent="0.25">
      <c r="A143" t="s">
        <v>69</v>
      </c>
      <c r="B143" s="5">
        <v>34464</v>
      </c>
      <c r="C143" s="5" t="s">
        <v>5622</v>
      </c>
      <c r="E143" t="s">
        <v>2417</v>
      </c>
      <c r="F143" t="s">
        <v>528</v>
      </c>
      <c r="G143" t="s">
        <v>5622</v>
      </c>
    </row>
    <row r="144" spans="1:7" x14ac:dyDescent="0.25">
      <c r="A144" t="s">
        <v>69</v>
      </c>
      <c r="B144" s="5">
        <v>34095</v>
      </c>
      <c r="C144" s="5" t="s">
        <v>5623</v>
      </c>
      <c r="E144" t="s">
        <v>2237</v>
      </c>
      <c r="F144" t="s">
        <v>529</v>
      </c>
      <c r="G144" t="s">
        <v>5623</v>
      </c>
    </row>
    <row r="145" spans="1:7" x14ac:dyDescent="0.25">
      <c r="A145" t="s">
        <v>86</v>
      </c>
      <c r="B145" s="5">
        <v>34135</v>
      </c>
      <c r="C145" s="5" t="s">
        <v>5624</v>
      </c>
      <c r="E145" t="s">
        <v>2226</v>
      </c>
      <c r="F145" t="s">
        <v>530</v>
      </c>
      <c r="G145" t="s">
        <v>5624</v>
      </c>
    </row>
    <row r="146" spans="1:7" x14ac:dyDescent="0.25">
      <c r="A146" t="s">
        <v>94</v>
      </c>
      <c r="B146" s="5">
        <v>34124</v>
      </c>
      <c r="C146" s="5" t="s">
        <v>5625</v>
      </c>
      <c r="E146" t="s">
        <v>2418</v>
      </c>
      <c r="F146" t="s">
        <v>531</v>
      </c>
      <c r="G146" t="s">
        <v>5625</v>
      </c>
    </row>
    <row r="147" spans="1:7" x14ac:dyDescent="0.25">
      <c r="A147" t="s">
        <v>37</v>
      </c>
      <c r="B147" s="5">
        <v>35922</v>
      </c>
      <c r="C147" s="5" t="s">
        <v>5626</v>
      </c>
      <c r="E147" t="s">
        <v>1620</v>
      </c>
      <c r="F147" t="s">
        <v>532</v>
      </c>
      <c r="G147" t="s">
        <v>5626</v>
      </c>
    </row>
    <row r="148" spans="1:7" x14ac:dyDescent="0.25">
      <c r="A148" t="s">
        <v>38</v>
      </c>
      <c r="B148" s="5">
        <v>33742</v>
      </c>
      <c r="C148" s="5" t="s">
        <v>5627</v>
      </c>
      <c r="E148" t="s">
        <v>2233</v>
      </c>
      <c r="F148" t="s">
        <v>533</v>
      </c>
      <c r="G148" t="s">
        <v>5627</v>
      </c>
    </row>
    <row r="149" spans="1:7" x14ac:dyDescent="0.25">
      <c r="A149" t="s">
        <v>94</v>
      </c>
      <c r="B149" s="5">
        <v>35186</v>
      </c>
      <c r="C149" s="5" t="s">
        <v>5628</v>
      </c>
      <c r="F149" t="s">
        <v>534</v>
      </c>
      <c r="G149" t="s">
        <v>5628</v>
      </c>
    </row>
    <row r="150" spans="1:7" x14ac:dyDescent="0.25">
      <c r="A150" t="s">
        <v>94</v>
      </c>
      <c r="B150" s="5">
        <v>33744</v>
      </c>
      <c r="C150" s="5" t="s">
        <v>5629</v>
      </c>
      <c r="E150" t="s">
        <v>2245</v>
      </c>
      <c r="F150" t="s">
        <v>535</v>
      </c>
      <c r="G150" t="s">
        <v>5629</v>
      </c>
    </row>
    <row r="151" spans="1:7" x14ac:dyDescent="0.25">
      <c r="A151" t="s">
        <v>85</v>
      </c>
      <c r="B151" s="5">
        <v>39623</v>
      </c>
      <c r="C151" s="5" t="s">
        <v>3036</v>
      </c>
      <c r="D151" t="s">
        <v>3036</v>
      </c>
      <c r="E151" t="s">
        <v>2124</v>
      </c>
      <c r="F151" t="s">
        <v>536</v>
      </c>
      <c r="G151" t="s">
        <v>3036</v>
      </c>
    </row>
    <row r="152" spans="1:7" x14ac:dyDescent="0.25">
      <c r="A152" t="s">
        <v>63</v>
      </c>
      <c r="B152" s="5">
        <v>39260</v>
      </c>
      <c r="C152" s="5" t="s">
        <v>3037</v>
      </c>
      <c r="D152" t="s">
        <v>3037</v>
      </c>
      <c r="E152" t="s">
        <v>1474</v>
      </c>
      <c r="F152" t="s">
        <v>537</v>
      </c>
      <c r="G152" t="s">
        <v>3037</v>
      </c>
    </row>
    <row r="153" spans="1:7" x14ac:dyDescent="0.25">
      <c r="A153" t="s">
        <v>35</v>
      </c>
      <c r="B153" s="5">
        <v>34507</v>
      </c>
      <c r="C153" s="5" t="s">
        <v>5630</v>
      </c>
      <c r="E153" t="s">
        <v>2671</v>
      </c>
      <c r="F153" t="s">
        <v>538</v>
      </c>
      <c r="G153" t="s">
        <v>5630</v>
      </c>
    </row>
    <row r="154" spans="1:7" x14ac:dyDescent="0.25">
      <c r="A154" t="s">
        <v>43</v>
      </c>
      <c r="B154" s="5">
        <v>37398</v>
      </c>
      <c r="C154" s="5" t="s">
        <v>5631</v>
      </c>
      <c r="F154" t="s">
        <v>539</v>
      </c>
      <c r="G154" t="s">
        <v>5631</v>
      </c>
    </row>
    <row r="155" spans="1:7" x14ac:dyDescent="0.25">
      <c r="A155" t="s">
        <v>82</v>
      </c>
      <c r="B155" s="5">
        <v>35948</v>
      </c>
      <c r="C155" s="5" t="s">
        <v>5632</v>
      </c>
      <c r="E155" t="s">
        <v>1562</v>
      </c>
      <c r="F155" t="s">
        <v>540</v>
      </c>
      <c r="G155" t="s">
        <v>5632</v>
      </c>
    </row>
    <row r="156" spans="1:7" x14ac:dyDescent="0.25">
      <c r="A156" t="s">
        <v>96</v>
      </c>
      <c r="B156" s="5">
        <v>39211</v>
      </c>
      <c r="C156" s="5" t="s">
        <v>3038</v>
      </c>
      <c r="D156" t="s">
        <v>3038</v>
      </c>
      <c r="E156" t="s">
        <v>1716</v>
      </c>
      <c r="F156" t="s">
        <v>541</v>
      </c>
      <c r="G156" t="s">
        <v>3038</v>
      </c>
    </row>
    <row r="157" spans="1:7" x14ac:dyDescent="0.25">
      <c r="A157" t="s">
        <v>35</v>
      </c>
      <c r="B157" s="5">
        <v>38888</v>
      </c>
      <c r="C157" s="5" t="s">
        <v>3039</v>
      </c>
      <c r="D157" t="s">
        <v>3039</v>
      </c>
      <c r="E157" t="s">
        <v>1728</v>
      </c>
      <c r="F157" t="s">
        <v>542</v>
      </c>
      <c r="G157" t="s">
        <v>3039</v>
      </c>
    </row>
    <row r="158" spans="1:7" x14ac:dyDescent="0.25">
      <c r="A158" t="s">
        <v>97</v>
      </c>
      <c r="B158" s="5">
        <v>37070</v>
      </c>
      <c r="C158" s="5" t="s">
        <v>5633</v>
      </c>
      <c r="E158" t="s">
        <v>1595</v>
      </c>
      <c r="F158" t="s">
        <v>543</v>
      </c>
      <c r="G158" t="s">
        <v>5633</v>
      </c>
    </row>
    <row r="159" spans="1:7" x14ac:dyDescent="0.25">
      <c r="A159" t="s">
        <v>98</v>
      </c>
      <c r="B159" s="5">
        <v>40358</v>
      </c>
      <c r="C159" s="5" t="s">
        <v>3040</v>
      </c>
      <c r="D159" t="s">
        <v>3040</v>
      </c>
      <c r="E159" t="s">
        <v>1383</v>
      </c>
      <c r="F159" t="s">
        <v>544</v>
      </c>
      <c r="G159" t="s">
        <v>3040</v>
      </c>
    </row>
    <row r="160" spans="1:7" x14ac:dyDescent="0.25">
      <c r="A160" t="s">
        <v>79</v>
      </c>
      <c r="B160" s="5">
        <v>39981</v>
      </c>
      <c r="C160" s="5" t="s">
        <v>5634</v>
      </c>
      <c r="F160" t="s">
        <v>545</v>
      </c>
      <c r="G160" t="s">
        <v>5634</v>
      </c>
    </row>
    <row r="161" spans="1:7" x14ac:dyDescent="0.25">
      <c r="A161" t="s">
        <v>94</v>
      </c>
      <c r="B161" s="5">
        <v>34508</v>
      </c>
      <c r="C161" s="5" t="s">
        <v>5635</v>
      </c>
      <c r="E161" t="s">
        <v>2700</v>
      </c>
      <c r="F161" t="s">
        <v>546</v>
      </c>
      <c r="G161" t="s">
        <v>5635</v>
      </c>
    </row>
    <row r="162" spans="1:7" x14ac:dyDescent="0.25">
      <c r="A162" t="s">
        <v>54</v>
      </c>
      <c r="B162" s="5">
        <v>33744</v>
      </c>
      <c r="C162" s="5" t="s">
        <v>5636</v>
      </c>
      <c r="E162" t="s">
        <v>2547</v>
      </c>
      <c r="F162" t="s">
        <v>547</v>
      </c>
      <c r="G162" t="s">
        <v>5636</v>
      </c>
    </row>
    <row r="163" spans="1:7" x14ac:dyDescent="0.25">
      <c r="A163" t="s">
        <v>47</v>
      </c>
      <c r="B163" s="5">
        <v>34064</v>
      </c>
      <c r="C163" s="5" t="s">
        <v>5637</v>
      </c>
      <c r="E163" t="s">
        <v>2384</v>
      </c>
      <c r="F163" t="s">
        <v>548</v>
      </c>
      <c r="G163" t="s">
        <v>5637</v>
      </c>
    </row>
    <row r="164" spans="1:7" x14ac:dyDescent="0.25">
      <c r="A164" t="s">
        <v>99</v>
      </c>
      <c r="B164" s="5">
        <v>40352</v>
      </c>
      <c r="C164" s="5" t="s">
        <v>3041</v>
      </c>
      <c r="D164" t="s">
        <v>3041</v>
      </c>
      <c r="E164" t="s">
        <v>1684</v>
      </c>
      <c r="F164" t="s">
        <v>549</v>
      </c>
      <c r="G164" t="s">
        <v>3041</v>
      </c>
    </row>
    <row r="165" spans="1:7" x14ac:dyDescent="0.25">
      <c r="A165" t="s">
        <v>92</v>
      </c>
      <c r="B165" s="5">
        <v>33759</v>
      </c>
      <c r="C165" s="5" t="s">
        <v>5638</v>
      </c>
      <c r="E165" t="s">
        <v>2685</v>
      </c>
      <c r="F165" t="s">
        <v>550</v>
      </c>
      <c r="G165" t="s">
        <v>5638</v>
      </c>
    </row>
    <row r="166" spans="1:7" x14ac:dyDescent="0.25">
      <c r="A166" t="s">
        <v>37</v>
      </c>
      <c r="B166" s="5">
        <v>34834</v>
      </c>
      <c r="C166" s="5" t="s">
        <v>5639</v>
      </c>
      <c r="E166" t="s">
        <v>2271</v>
      </c>
      <c r="F166" t="s">
        <v>551</v>
      </c>
      <c r="G166" t="s">
        <v>5639</v>
      </c>
    </row>
    <row r="167" spans="1:7" x14ac:dyDescent="0.25">
      <c r="A167" t="s">
        <v>100</v>
      </c>
      <c r="B167" s="5">
        <v>37418</v>
      </c>
      <c r="C167" s="5" t="s">
        <v>5640</v>
      </c>
      <c r="F167" t="s">
        <v>552</v>
      </c>
      <c r="G167" t="s">
        <v>5640</v>
      </c>
    </row>
    <row r="168" spans="1:7" x14ac:dyDescent="0.25">
      <c r="A168" t="s">
        <v>101</v>
      </c>
      <c r="B168" s="5">
        <v>39238</v>
      </c>
      <c r="C168" s="5" t="s">
        <v>3042</v>
      </c>
      <c r="D168" t="s">
        <v>3042</v>
      </c>
      <c r="E168" t="s">
        <v>2041</v>
      </c>
      <c r="F168" t="s">
        <v>553</v>
      </c>
      <c r="G168" t="s">
        <v>3042</v>
      </c>
    </row>
    <row r="169" spans="1:7" x14ac:dyDescent="0.25">
      <c r="A169" t="s">
        <v>52</v>
      </c>
      <c r="B169" s="5">
        <v>35930</v>
      </c>
      <c r="C169" s="5" t="s">
        <v>5641</v>
      </c>
      <c r="E169" t="s">
        <v>2743</v>
      </c>
      <c r="F169" t="s">
        <v>554</v>
      </c>
      <c r="G169" t="s">
        <v>5641</v>
      </c>
    </row>
    <row r="170" spans="1:7" x14ac:dyDescent="0.25">
      <c r="A170" t="s">
        <v>19</v>
      </c>
      <c r="B170" s="5">
        <v>37053</v>
      </c>
      <c r="C170" s="5" t="s">
        <v>5642</v>
      </c>
      <c r="E170" t="s">
        <v>2052</v>
      </c>
      <c r="F170" t="s">
        <v>555</v>
      </c>
      <c r="G170" t="s">
        <v>5642</v>
      </c>
    </row>
    <row r="171" spans="1:7" x14ac:dyDescent="0.25">
      <c r="A171" t="s">
        <v>16</v>
      </c>
      <c r="B171" s="5">
        <v>34501</v>
      </c>
      <c r="C171" s="5" t="s">
        <v>5643</v>
      </c>
      <c r="E171" t="s">
        <v>2415</v>
      </c>
      <c r="F171" t="s">
        <v>556</v>
      </c>
      <c r="G171" t="s">
        <v>5643</v>
      </c>
    </row>
    <row r="172" spans="1:7" x14ac:dyDescent="0.25">
      <c r="A172" t="s">
        <v>102</v>
      </c>
      <c r="B172" s="5">
        <v>40024</v>
      </c>
      <c r="C172" s="5" t="s">
        <v>3043</v>
      </c>
      <c r="D172" t="s">
        <v>3043</v>
      </c>
      <c r="E172" t="s">
        <v>2023</v>
      </c>
      <c r="F172" t="s">
        <v>557</v>
      </c>
      <c r="G172" t="s">
        <v>3043</v>
      </c>
    </row>
    <row r="173" spans="1:7" x14ac:dyDescent="0.25">
      <c r="A173" t="s">
        <v>68</v>
      </c>
      <c r="B173" s="5">
        <v>35948</v>
      </c>
      <c r="C173" s="5" t="s">
        <v>5644</v>
      </c>
      <c r="E173" t="s">
        <v>1729</v>
      </c>
      <c r="F173" t="s">
        <v>558</v>
      </c>
      <c r="G173" t="s">
        <v>5644</v>
      </c>
    </row>
    <row r="174" spans="1:7" x14ac:dyDescent="0.25">
      <c r="A174" t="s">
        <v>68</v>
      </c>
      <c r="B174" s="5">
        <v>34501</v>
      </c>
      <c r="C174" s="5" t="s">
        <v>5645</v>
      </c>
      <c r="E174" t="s">
        <v>2399</v>
      </c>
      <c r="F174" t="s">
        <v>559</v>
      </c>
      <c r="G174" t="s">
        <v>5645</v>
      </c>
    </row>
    <row r="175" spans="1:7" x14ac:dyDescent="0.25">
      <c r="A175" t="s">
        <v>87</v>
      </c>
      <c r="B175" s="5">
        <v>39246</v>
      </c>
      <c r="C175" s="5" t="s">
        <v>3044</v>
      </c>
      <c r="D175" t="s">
        <v>3044</v>
      </c>
      <c r="E175" t="s">
        <v>1738</v>
      </c>
      <c r="F175" t="s">
        <v>560</v>
      </c>
      <c r="G175" t="s">
        <v>3044</v>
      </c>
    </row>
    <row r="176" spans="1:7" x14ac:dyDescent="0.25">
      <c r="A176" t="s">
        <v>63</v>
      </c>
      <c r="B176" s="5">
        <v>35207</v>
      </c>
      <c r="C176" s="5" t="s">
        <v>5646</v>
      </c>
      <c r="E176" t="s">
        <v>2327</v>
      </c>
      <c r="F176" t="s">
        <v>561</v>
      </c>
      <c r="G176" t="s">
        <v>5646</v>
      </c>
    </row>
    <row r="177" spans="1:7" x14ac:dyDescent="0.25">
      <c r="A177" t="s">
        <v>72</v>
      </c>
      <c r="B177" s="5">
        <v>34498</v>
      </c>
      <c r="C177" s="5" t="s">
        <v>5647</v>
      </c>
      <c r="E177" t="s">
        <v>2541</v>
      </c>
      <c r="F177" t="s">
        <v>562</v>
      </c>
      <c r="G177" t="s">
        <v>5647</v>
      </c>
    </row>
    <row r="178" spans="1:7" x14ac:dyDescent="0.25">
      <c r="A178" t="s">
        <v>62</v>
      </c>
      <c r="B178" s="5">
        <v>34131</v>
      </c>
      <c r="C178" s="5" t="s">
        <v>5648</v>
      </c>
      <c r="E178" t="s">
        <v>2224</v>
      </c>
      <c r="F178" t="s">
        <v>563</v>
      </c>
      <c r="G178" t="s">
        <v>5648</v>
      </c>
    </row>
    <row r="179" spans="1:7" x14ac:dyDescent="0.25">
      <c r="A179" t="s">
        <v>78</v>
      </c>
      <c r="B179" s="5">
        <v>39616</v>
      </c>
      <c r="C179" s="5" t="s">
        <v>3045</v>
      </c>
      <c r="D179" t="s">
        <v>3045</v>
      </c>
      <c r="E179" t="s">
        <v>2181</v>
      </c>
      <c r="F179" t="s">
        <v>564</v>
      </c>
      <c r="G179" t="s">
        <v>3045</v>
      </c>
    </row>
    <row r="180" spans="1:7" x14ac:dyDescent="0.25">
      <c r="A180" t="s">
        <v>103</v>
      </c>
      <c r="B180" s="5">
        <v>39254</v>
      </c>
      <c r="C180" s="5" t="s">
        <v>3046</v>
      </c>
      <c r="D180" t="s">
        <v>3046</v>
      </c>
      <c r="E180" t="s">
        <v>1449</v>
      </c>
      <c r="F180" t="s">
        <v>565</v>
      </c>
      <c r="G180" t="s">
        <v>3046</v>
      </c>
    </row>
    <row r="181" spans="1:7" x14ac:dyDescent="0.25">
      <c r="A181" t="s">
        <v>104</v>
      </c>
      <c r="B181" s="5">
        <v>41080</v>
      </c>
      <c r="C181" s="5" t="s">
        <v>3047</v>
      </c>
      <c r="D181" t="s">
        <v>3047</v>
      </c>
      <c r="E181" t="s">
        <v>1678</v>
      </c>
      <c r="F181" t="s">
        <v>566</v>
      </c>
      <c r="G181" t="s">
        <v>3047</v>
      </c>
    </row>
    <row r="182" spans="1:7" x14ac:dyDescent="0.25">
      <c r="A182" t="s">
        <v>35</v>
      </c>
      <c r="B182" s="5">
        <v>33742</v>
      </c>
      <c r="C182" s="5" t="s">
        <v>5649</v>
      </c>
      <c r="E182" t="s">
        <v>2413</v>
      </c>
      <c r="F182" t="s">
        <v>567</v>
      </c>
      <c r="G182" t="s">
        <v>5649</v>
      </c>
    </row>
    <row r="183" spans="1:7" x14ac:dyDescent="0.25">
      <c r="A183" t="s">
        <v>102</v>
      </c>
      <c r="B183" s="5">
        <v>42144</v>
      </c>
      <c r="C183" s="5" t="s">
        <v>3048</v>
      </c>
      <c r="D183" t="s">
        <v>3048</v>
      </c>
      <c r="E183" t="s">
        <v>1813</v>
      </c>
      <c r="F183" t="s">
        <v>568</v>
      </c>
      <c r="G183" t="s">
        <v>3048</v>
      </c>
    </row>
    <row r="184" spans="1:7" x14ac:dyDescent="0.25">
      <c r="A184" t="s">
        <v>64</v>
      </c>
      <c r="B184" s="5">
        <v>33764</v>
      </c>
      <c r="C184" s="5" t="s">
        <v>5650</v>
      </c>
      <c r="E184" t="s">
        <v>2649</v>
      </c>
      <c r="F184" t="s">
        <v>569</v>
      </c>
      <c r="G184" t="s">
        <v>5650</v>
      </c>
    </row>
    <row r="185" spans="1:7" x14ac:dyDescent="0.25">
      <c r="A185" t="s">
        <v>68</v>
      </c>
      <c r="B185" s="5">
        <v>33793</v>
      </c>
      <c r="C185" s="5" t="s">
        <v>5651</v>
      </c>
      <c r="E185" t="s">
        <v>2471</v>
      </c>
      <c r="F185" t="s">
        <v>570</v>
      </c>
      <c r="G185" t="s">
        <v>5651</v>
      </c>
    </row>
    <row r="186" spans="1:7" x14ac:dyDescent="0.25">
      <c r="A186" t="s">
        <v>63</v>
      </c>
      <c r="B186" s="5">
        <v>34505</v>
      </c>
      <c r="C186" s="5" t="s">
        <v>5652</v>
      </c>
      <c r="E186" t="s">
        <v>2654</v>
      </c>
      <c r="F186" t="s">
        <v>571</v>
      </c>
      <c r="G186" t="s">
        <v>5652</v>
      </c>
    </row>
    <row r="187" spans="1:7" x14ac:dyDescent="0.25">
      <c r="A187" t="s">
        <v>35</v>
      </c>
      <c r="B187" s="5">
        <v>34123</v>
      </c>
      <c r="C187" s="5" t="s">
        <v>5653</v>
      </c>
      <c r="E187" t="s">
        <v>2485</v>
      </c>
      <c r="F187" t="s">
        <v>572</v>
      </c>
      <c r="G187" t="s">
        <v>5653</v>
      </c>
    </row>
    <row r="188" spans="1:7" x14ac:dyDescent="0.25">
      <c r="A188" t="s">
        <v>105</v>
      </c>
      <c r="B188" s="5">
        <v>33743</v>
      </c>
      <c r="C188" s="5" t="s">
        <v>5654</v>
      </c>
      <c r="E188" t="s">
        <v>2254</v>
      </c>
      <c r="F188" t="s">
        <v>573</v>
      </c>
      <c r="G188" t="s">
        <v>5654</v>
      </c>
    </row>
    <row r="189" spans="1:7" x14ac:dyDescent="0.25">
      <c r="A189" t="s">
        <v>90</v>
      </c>
      <c r="B189" s="5">
        <v>34123</v>
      </c>
      <c r="C189" s="5" t="s">
        <v>5655</v>
      </c>
      <c r="E189" t="s">
        <v>2249</v>
      </c>
      <c r="F189" t="s">
        <v>574</v>
      </c>
      <c r="G189" t="s">
        <v>5655</v>
      </c>
    </row>
    <row r="190" spans="1:7" x14ac:dyDescent="0.25">
      <c r="A190" t="s">
        <v>106</v>
      </c>
      <c r="B190" s="5">
        <v>41759</v>
      </c>
      <c r="C190" s="5" t="s">
        <v>3049</v>
      </c>
      <c r="D190" t="s">
        <v>3049</v>
      </c>
      <c r="E190" t="s">
        <v>1950</v>
      </c>
      <c r="F190" t="s">
        <v>575</v>
      </c>
      <c r="G190" t="s">
        <v>3049</v>
      </c>
    </row>
    <row r="191" spans="1:7" x14ac:dyDescent="0.25">
      <c r="A191" t="s">
        <v>107</v>
      </c>
      <c r="B191" s="5">
        <v>39246</v>
      </c>
      <c r="C191" s="5" t="s">
        <v>3050</v>
      </c>
      <c r="D191" t="s">
        <v>3050</v>
      </c>
      <c r="E191" t="s">
        <v>1369</v>
      </c>
      <c r="F191" t="s">
        <v>576</v>
      </c>
      <c r="G191" t="s">
        <v>3050</v>
      </c>
    </row>
    <row r="192" spans="1:7" x14ac:dyDescent="0.25">
      <c r="A192" t="s">
        <v>21</v>
      </c>
      <c r="B192" s="5">
        <v>34136</v>
      </c>
      <c r="C192" s="5" t="s">
        <v>5656</v>
      </c>
      <c r="E192" t="s">
        <v>2508</v>
      </c>
      <c r="F192" t="s">
        <v>577</v>
      </c>
      <c r="G192" t="s">
        <v>5656</v>
      </c>
    </row>
    <row r="193" spans="1:7" x14ac:dyDescent="0.25">
      <c r="A193" t="s">
        <v>108</v>
      </c>
      <c r="B193" s="5">
        <v>35956</v>
      </c>
      <c r="C193" s="5" t="s">
        <v>5657</v>
      </c>
      <c r="E193" t="s">
        <v>1529</v>
      </c>
      <c r="F193" t="s">
        <v>578</v>
      </c>
      <c r="G193" t="s">
        <v>5657</v>
      </c>
    </row>
    <row r="194" spans="1:7" x14ac:dyDescent="0.25">
      <c r="A194" t="s">
        <v>30</v>
      </c>
      <c r="B194" s="5">
        <v>40360</v>
      </c>
      <c r="C194" s="5" t="s">
        <v>5658</v>
      </c>
      <c r="E194" t="s">
        <v>2138</v>
      </c>
      <c r="F194" t="s">
        <v>579</v>
      </c>
      <c r="G194" t="s">
        <v>5658</v>
      </c>
    </row>
    <row r="195" spans="1:7" x14ac:dyDescent="0.25">
      <c r="A195" t="s">
        <v>83</v>
      </c>
      <c r="B195" s="5">
        <v>41758</v>
      </c>
      <c r="C195" s="5" t="s">
        <v>3051</v>
      </c>
      <c r="D195" t="s">
        <v>3051</v>
      </c>
      <c r="E195" t="s">
        <v>2076</v>
      </c>
      <c r="F195" t="s">
        <v>580</v>
      </c>
      <c r="G195" t="s">
        <v>3051</v>
      </c>
    </row>
    <row r="196" spans="1:7" x14ac:dyDescent="0.25">
      <c r="A196" t="s">
        <v>70</v>
      </c>
      <c r="B196" s="5">
        <v>41800</v>
      </c>
      <c r="C196" s="5" t="s">
        <v>3052</v>
      </c>
      <c r="D196" t="s">
        <v>3052</v>
      </c>
      <c r="E196" t="s">
        <v>1945</v>
      </c>
      <c r="F196" t="s">
        <v>581</v>
      </c>
      <c r="G196" t="s">
        <v>3052</v>
      </c>
    </row>
    <row r="197" spans="1:7" x14ac:dyDescent="0.25">
      <c r="A197" t="s">
        <v>69</v>
      </c>
      <c r="B197" s="5">
        <v>35192</v>
      </c>
      <c r="C197" s="5" t="s">
        <v>5659</v>
      </c>
      <c r="E197" t="s">
        <v>2493</v>
      </c>
      <c r="F197" t="s">
        <v>582</v>
      </c>
      <c r="G197" t="s">
        <v>5659</v>
      </c>
    </row>
    <row r="198" spans="1:7" x14ac:dyDescent="0.25">
      <c r="A198" t="s">
        <v>86</v>
      </c>
      <c r="B198" s="5">
        <v>34499</v>
      </c>
      <c r="C198" s="5" t="s">
        <v>5660</v>
      </c>
      <c r="E198" t="s">
        <v>2292</v>
      </c>
      <c r="F198" t="s">
        <v>583</v>
      </c>
      <c r="G198" t="s">
        <v>5660</v>
      </c>
    </row>
    <row r="199" spans="1:7" x14ac:dyDescent="0.25">
      <c r="A199" t="s">
        <v>92</v>
      </c>
      <c r="B199" s="5">
        <v>40353</v>
      </c>
      <c r="C199" s="5" t="s">
        <v>3053</v>
      </c>
      <c r="D199" t="s">
        <v>3053</v>
      </c>
      <c r="E199" t="s">
        <v>1982</v>
      </c>
      <c r="F199" t="s">
        <v>584</v>
      </c>
      <c r="G199" t="s">
        <v>3053</v>
      </c>
    </row>
    <row r="200" spans="1:7" x14ac:dyDescent="0.25">
      <c r="A200" t="s">
        <v>54</v>
      </c>
      <c r="B200" s="5">
        <v>34123</v>
      </c>
      <c r="C200" s="5" t="s">
        <v>5661</v>
      </c>
      <c r="E200" t="s">
        <v>2616</v>
      </c>
      <c r="F200" t="s">
        <v>585</v>
      </c>
      <c r="G200" t="s">
        <v>5661</v>
      </c>
    </row>
    <row r="201" spans="1:7" x14ac:dyDescent="0.25">
      <c r="A201" t="s">
        <v>79</v>
      </c>
      <c r="B201" s="5">
        <v>33703</v>
      </c>
      <c r="C201" s="5" t="s">
        <v>5662</v>
      </c>
      <c r="E201" t="s">
        <v>2517</v>
      </c>
      <c r="F201" t="s">
        <v>586</v>
      </c>
      <c r="G201" t="s">
        <v>5662</v>
      </c>
    </row>
    <row r="202" spans="1:7" x14ac:dyDescent="0.25">
      <c r="A202" t="s">
        <v>54</v>
      </c>
      <c r="B202" s="5">
        <v>35206</v>
      </c>
      <c r="C202" s="5" t="s">
        <v>5663</v>
      </c>
      <c r="E202" t="s">
        <v>2693</v>
      </c>
      <c r="F202" t="s">
        <v>587</v>
      </c>
      <c r="G202" t="s">
        <v>5663</v>
      </c>
    </row>
    <row r="203" spans="1:7" x14ac:dyDescent="0.25">
      <c r="A203" t="s">
        <v>22</v>
      </c>
      <c r="B203" s="5">
        <v>33710</v>
      </c>
      <c r="C203" s="5" t="s">
        <v>5664</v>
      </c>
      <c r="E203" t="s">
        <v>2401</v>
      </c>
      <c r="F203" t="s">
        <v>588</v>
      </c>
      <c r="G203" t="s">
        <v>5664</v>
      </c>
    </row>
    <row r="204" spans="1:7" x14ac:dyDescent="0.25">
      <c r="A204" t="s">
        <v>72</v>
      </c>
      <c r="B204" s="5">
        <v>34138</v>
      </c>
      <c r="C204" s="5" t="s">
        <v>5665</v>
      </c>
      <c r="E204" t="s">
        <v>2331</v>
      </c>
      <c r="F204" t="s">
        <v>589</v>
      </c>
      <c r="G204" t="s">
        <v>5665</v>
      </c>
    </row>
    <row r="205" spans="1:7" x14ac:dyDescent="0.25">
      <c r="A205" t="s">
        <v>79</v>
      </c>
      <c r="B205" s="5">
        <v>34065</v>
      </c>
      <c r="C205" s="5" t="s">
        <v>5666</v>
      </c>
      <c r="E205" t="s">
        <v>2403</v>
      </c>
      <c r="F205" t="s">
        <v>590</v>
      </c>
      <c r="G205" t="s">
        <v>5666</v>
      </c>
    </row>
    <row r="206" spans="1:7" x14ac:dyDescent="0.25">
      <c r="A206" t="s">
        <v>52</v>
      </c>
      <c r="B206" s="5">
        <v>39982</v>
      </c>
      <c r="C206" s="5" t="s">
        <v>3054</v>
      </c>
      <c r="D206" t="s">
        <v>3054</v>
      </c>
      <c r="E206" t="s">
        <v>1665</v>
      </c>
      <c r="F206" t="s">
        <v>591</v>
      </c>
      <c r="G206" t="s">
        <v>3054</v>
      </c>
    </row>
    <row r="207" spans="1:7" x14ac:dyDescent="0.25">
      <c r="A207" t="s">
        <v>104</v>
      </c>
      <c r="B207" s="5">
        <v>37070</v>
      </c>
      <c r="C207" s="5" t="s">
        <v>5667</v>
      </c>
      <c r="E207" t="s">
        <v>1563</v>
      </c>
      <c r="F207" t="s">
        <v>592</v>
      </c>
      <c r="G207" t="s">
        <v>5667</v>
      </c>
    </row>
    <row r="208" spans="1:7" x14ac:dyDescent="0.25">
      <c r="A208" t="s">
        <v>84</v>
      </c>
      <c r="B208" s="5">
        <v>35956</v>
      </c>
      <c r="C208" s="5" t="s">
        <v>5668</v>
      </c>
      <c r="E208" t="s">
        <v>1689</v>
      </c>
      <c r="F208" t="s">
        <v>593</v>
      </c>
      <c r="G208" t="s">
        <v>5668</v>
      </c>
    </row>
    <row r="209" spans="1:7" x14ac:dyDescent="0.25">
      <c r="A209" t="s">
        <v>16</v>
      </c>
      <c r="B209" s="5">
        <v>34136</v>
      </c>
      <c r="C209" s="5" t="s">
        <v>5669</v>
      </c>
      <c r="E209" t="s">
        <v>2626</v>
      </c>
      <c r="F209" t="s">
        <v>594</v>
      </c>
      <c r="G209" t="s">
        <v>5669</v>
      </c>
    </row>
    <row r="210" spans="1:7" x14ac:dyDescent="0.25">
      <c r="A210" t="s">
        <v>103</v>
      </c>
      <c r="B210" s="5">
        <v>40359</v>
      </c>
      <c r="C210" s="5" t="s">
        <v>3055</v>
      </c>
      <c r="D210" t="s">
        <v>3055</v>
      </c>
      <c r="E210" t="s">
        <v>1457</v>
      </c>
      <c r="F210" t="s">
        <v>595</v>
      </c>
      <c r="G210" t="s">
        <v>3055</v>
      </c>
    </row>
    <row r="211" spans="1:7" x14ac:dyDescent="0.25">
      <c r="A211" t="s">
        <v>86</v>
      </c>
      <c r="B211" s="5">
        <v>33763</v>
      </c>
      <c r="C211" s="5" t="s">
        <v>5670</v>
      </c>
      <c r="E211" t="s">
        <v>2536</v>
      </c>
      <c r="F211" t="s">
        <v>596</v>
      </c>
      <c r="G211" t="s">
        <v>5670</v>
      </c>
    </row>
    <row r="212" spans="1:7" x14ac:dyDescent="0.25">
      <c r="A212" t="s">
        <v>72</v>
      </c>
      <c r="B212" s="5">
        <v>35957</v>
      </c>
      <c r="C212" s="5" t="s">
        <v>5671</v>
      </c>
      <c r="E212" t="s">
        <v>1761</v>
      </c>
      <c r="F212" t="s">
        <v>597</v>
      </c>
      <c r="G212" t="s">
        <v>5671</v>
      </c>
    </row>
    <row r="213" spans="1:7" x14ac:dyDescent="0.25">
      <c r="A213" t="s">
        <v>16</v>
      </c>
      <c r="B213" s="5">
        <v>35947</v>
      </c>
      <c r="C213" s="5" t="s">
        <v>5672</v>
      </c>
      <c r="E213" t="s">
        <v>1427</v>
      </c>
      <c r="F213" t="s">
        <v>598</v>
      </c>
      <c r="G213" t="s">
        <v>5672</v>
      </c>
    </row>
    <row r="214" spans="1:7" x14ac:dyDescent="0.25">
      <c r="A214" t="s">
        <v>82</v>
      </c>
      <c r="B214" s="5">
        <v>34134</v>
      </c>
      <c r="C214" s="5" t="s">
        <v>5673</v>
      </c>
      <c r="E214" t="s">
        <v>2210</v>
      </c>
      <c r="F214" t="s">
        <v>599</v>
      </c>
      <c r="G214" t="s">
        <v>5673</v>
      </c>
    </row>
    <row r="215" spans="1:7" x14ac:dyDescent="0.25">
      <c r="A215" t="s">
        <v>70</v>
      </c>
      <c r="B215" s="5">
        <v>41800</v>
      </c>
      <c r="C215" s="5" t="s">
        <v>3052</v>
      </c>
      <c r="D215" t="s">
        <v>3052</v>
      </c>
      <c r="E215" t="s">
        <v>1945</v>
      </c>
      <c r="F215" t="s">
        <v>600</v>
      </c>
      <c r="G215" t="s">
        <v>3052</v>
      </c>
    </row>
    <row r="216" spans="1:7" x14ac:dyDescent="0.25">
      <c r="A216" t="s">
        <v>104</v>
      </c>
      <c r="B216" s="5">
        <v>37782</v>
      </c>
      <c r="C216" s="5" t="s">
        <v>5674</v>
      </c>
      <c r="E216" t="s">
        <v>1384</v>
      </c>
      <c r="F216" t="s">
        <v>601</v>
      </c>
      <c r="G216" t="s">
        <v>5674</v>
      </c>
    </row>
    <row r="217" spans="1:7" x14ac:dyDescent="0.25">
      <c r="A217" t="s">
        <v>104</v>
      </c>
      <c r="B217" s="5">
        <v>38511</v>
      </c>
      <c r="C217" s="5" t="s">
        <v>5675</v>
      </c>
      <c r="E217" t="s">
        <v>2073</v>
      </c>
      <c r="F217" t="s">
        <v>602</v>
      </c>
      <c r="G217" t="s">
        <v>5675</v>
      </c>
    </row>
    <row r="218" spans="1:7" x14ac:dyDescent="0.25">
      <c r="A218" t="s">
        <v>68</v>
      </c>
      <c r="B218" s="5">
        <v>34858</v>
      </c>
      <c r="C218" s="5" t="s">
        <v>5676</v>
      </c>
      <c r="E218" t="s">
        <v>2389</v>
      </c>
      <c r="F218" t="s">
        <v>603</v>
      </c>
      <c r="G218" t="s">
        <v>5676</v>
      </c>
    </row>
    <row r="219" spans="1:7" x14ac:dyDescent="0.25">
      <c r="A219" t="s">
        <v>21</v>
      </c>
      <c r="B219" s="5">
        <v>35947</v>
      </c>
      <c r="C219" s="5" t="s">
        <v>5677</v>
      </c>
      <c r="F219" t="s">
        <v>604</v>
      </c>
      <c r="G219" t="s">
        <v>5677</v>
      </c>
    </row>
    <row r="220" spans="1:7" x14ac:dyDescent="0.25">
      <c r="A220" t="s">
        <v>60</v>
      </c>
      <c r="B220" s="5">
        <v>34830</v>
      </c>
      <c r="C220" s="5" t="s">
        <v>5678</v>
      </c>
      <c r="E220" t="s">
        <v>2428</v>
      </c>
      <c r="F220" t="s">
        <v>605</v>
      </c>
      <c r="G220" t="s">
        <v>5678</v>
      </c>
    </row>
    <row r="221" spans="1:7" x14ac:dyDescent="0.25">
      <c r="A221" t="s">
        <v>104</v>
      </c>
      <c r="B221" s="5">
        <v>36705</v>
      </c>
      <c r="C221" s="5" t="s">
        <v>5679</v>
      </c>
      <c r="E221" t="s">
        <v>1988</v>
      </c>
      <c r="F221" t="s">
        <v>606</v>
      </c>
      <c r="G221" t="s">
        <v>5679</v>
      </c>
    </row>
    <row r="222" spans="1:7" x14ac:dyDescent="0.25">
      <c r="A222" t="s">
        <v>99</v>
      </c>
      <c r="B222" s="5">
        <v>37069</v>
      </c>
      <c r="C222" s="5" t="s">
        <v>5680</v>
      </c>
      <c r="E222" t="s">
        <v>1719</v>
      </c>
      <c r="F222" t="s">
        <v>607</v>
      </c>
      <c r="G222" t="s">
        <v>5680</v>
      </c>
    </row>
    <row r="223" spans="1:7" x14ac:dyDescent="0.25">
      <c r="A223" t="s">
        <v>98</v>
      </c>
      <c r="B223" s="5">
        <v>37060</v>
      </c>
      <c r="C223" s="5" t="s">
        <v>5681</v>
      </c>
      <c r="E223" t="s">
        <v>1443</v>
      </c>
      <c r="F223" t="s">
        <v>608</v>
      </c>
      <c r="G223" t="s">
        <v>5681</v>
      </c>
    </row>
    <row r="224" spans="1:7" x14ac:dyDescent="0.25">
      <c r="A224" t="s">
        <v>16</v>
      </c>
      <c r="B224" s="5">
        <v>34857</v>
      </c>
      <c r="C224" s="5" t="s">
        <v>5682</v>
      </c>
      <c r="E224" t="s">
        <v>2667</v>
      </c>
      <c r="F224" t="s">
        <v>609</v>
      </c>
      <c r="G224" t="s">
        <v>5682</v>
      </c>
    </row>
    <row r="225" spans="1:7" x14ac:dyDescent="0.25">
      <c r="A225" t="s">
        <v>104</v>
      </c>
      <c r="B225" s="5">
        <v>41435</v>
      </c>
      <c r="C225" s="5" t="s">
        <v>3056</v>
      </c>
      <c r="D225" t="s">
        <v>3056</v>
      </c>
      <c r="E225" t="s">
        <v>1837</v>
      </c>
      <c r="F225" t="s">
        <v>610</v>
      </c>
      <c r="G225" t="s">
        <v>3056</v>
      </c>
    </row>
    <row r="226" spans="1:7" x14ac:dyDescent="0.25">
      <c r="A226" t="s">
        <v>69</v>
      </c>
      <c r="B226" s="5">
        <v>33736</v>
      </c>
      <c r="C226" s="5" t="s">
        <v>5683</v>
      </c>
      <c r="E226" t="s">
        <v>2234</v>
      </c>
      <c r="F226" t="s">
        <v>611</v>
      </c>
      <c r="G226" t="s">
        <v>5683</v>
      </c>
    </row>
    <row r="227" spans="1:7" x14ac:dyDescent="0.25">
      <c r="A227" t="s">
        <v>109</v>
      </c>
      <c r="B227" s="5">
        <v>39623</v>
      </c>
      <c r="C227" s="5" t="s">
        <v>5684</v>
      </c>
      <c r="E227" t="s">
        <v>1983</v>
      </c>
      <c r="F227" t="s">
        <v>612</v>
      </c>
      <c r="G227" t="s">
        <v>5684</v>
      </c>
    </row>
    <row r="228" spans="1:7" x14ac:dyDescent="0.25">
      <c r="A228" t="s">
        <v>84</v>
      </c>
      <c r="B228" s="5">
        <v>34856</v>
      </c>
      <c r="C228" s="5" t="s">
        <v>5685</v>
      </c>
      <c r="E228" t="s">
        <v>2655</v>
      </c>
      <c r="F228" t="s">
        <v>613</v>
      </c>
      <c r="G228" t="s">
        <v>5685</v>
      </c>
    </row>
    <row r="229" spans="1:7" x14ac:dyDescent="0.25">
      <c r="A229" t="s">
        <v>104</v>
      </c>
      <c r="B229" s="5">
        <v>39245</v>
      </c>
      <c r="C229" s="5" t="s">
        <v>3057</v>
      </c>
      <c r="D229" t="s">
        <v>3057</v>
      </c>
      <c r="E229" t="s">
        <v>1746</v>
      </c>
      <c r="F229" t="s">
        <v>614</v>
      </c>
      <c r="G229" t="s">
        <v>3057</v>
      </c>
    </row>
    <row r="230" spans="1:7" x14ac:dyDescent="0.25">
      <c r="A230" t="s">
        <v>68</v>
      </c>
      <c r="B230" s="5">
        <v>34136</v>
      </c>
      <c r="C230" s="5" t="s">
        <v>5686</v>
      </c>
      <c r="E230" t="s">
        <v>2638</v>
      </c>
      <c r="F230" t="s">
        <v>615</v>
      </c>
      <c r="G230" t="s">
        <v>5686</v>
      </c>
    </row>
    <row r="231" spans="1:7" x14ac:dyDescent="0.25">
      <c r="A231" t="s">
        <v>99</v>
      </c>
      <c r="B231" s="5">
        <v>37788</v>
      </c>
      <c r="C231" s="5" t="s">
        <v>5687</v>
      </c>
      <c r="E231" t="s">
        <v>1917</v>
      </c>
      <c r="F231" t="s">
        <v>616</v>
      </c>
      <c r="G231" t="s">
        <v>5687</v>
      </c>
    </row>
    <row r="232" spans="1:7" x14ac:dyDescent="0.25">
      <c r="A232" t="s">
        <v>110</v>
      </c>
      <c r="B232" s="5">
        <v>35950</v>
      </c>
      <c r="C232" s="5" t="s">
        <v>5688</v>
      </c>
      <c r="E232" t="s">
        <v>1915</v>
      </c>
      <c r="F232" t="s">
        <v>617</v>
      </c>
      <c r="G232" t="s">
        <v>5688</v>
      </c>
    </row>
    <row r="233" spans="1:7" x14ac:dyDescent="0.25">
      <c r="A233" t="s">
        <v>84</v>
      </c>
      <c r="B233" s="5">
        <v>34137</v>
      </c>
      <c r="C233" s="5" t="s">
        <v>5689</v>
      </c>
      <c r="E233" t="s">
        <v>2563</v>
      </c>
      <c r="F233" t="s">
        <v>618</v>
      </c>
      <c r="G233" t="s">
        <v>5689</v>
      </c>
    </row>
    <row r="234" spans="1:7" x14ac:dyDescent="0.25">
      <c r="A234" t="s">
        <v>72</v>
      </c>
      <c r="B234" s="5">
        <v>35957</v>
      </c>
      <c r="C234" s="5" t="s">
        <v>5671</v>
      </c>
      <c r="E234" t="s">
        <v>1761</v>
      </c>
      <c r="F234" t="s">
        <v>619</v>
      </c>
      <c r="G234" t="s">
        <v>5671</v>
      </c>
    </row>
    <row r="235" spans="1:7" x14ac:dyDescent="0.25">
      <c r="A235" t="s">
        <v>104</v>
      </c>
      <c r="B235" s="5">
        <v>38148</v>
      </c>
      <c r="C235" s="5" t="s">
        <v>5690</v>
      </c>
      <c r="F235" t="s">
        <v>620</v>
      </c>
      <c r="G235" t="s">
        <v>5690</v>
      </c>
    </row>
    <row r="236" spans="1:7" x14ac:dyDescent="0.25">
      <c r="A236" t="s">
        <v>84</v>
      </c>
      <c r="B236" s="5">
        <v>33760</v>
      </c>
      <c r="C236" s="5" t="s">
        <v>5691</v>
      </c>
      <c r="E236" t="s">
        <v>2506</v>
      </c>
      <c r="F236" t="s">
        <v>621</v>
      </c>
      <c r="G236" t="s">
        <v>5691</v>
      </c>
    </row>
    <row r="237" spans="1:7" x14ac:dyDescent="0.25">
      <c r="A237" t="s">
        <v>72</v>
      </c>
      <c r="B237" s="5">
        <v>42542</v>
      </c>
      <c r="C237" s="5" t="s">
        <v>3058</v>
      </c>
      <c r="D237" t="s">
        <v>3058</v>
      </c>
      <c r="E237" t="s">
        <v>2133</v>
      </c>
      <c r="F237" t="s">
        <v>622</v>
      </c>
      <c r="G237" t="s">
        <v>3058</v>
      </c>
    </row>
    <row r="238" spans="1:7" x14ac:dyDescent="0.25">
      <c r="A238" t="s">
        <v>21</v>
      </c>
      <c r="B238" s="5">
        <v>34857</v>
      </c>
      <c r="C238" s="5" t="s">
        <v>5692</v>
      </c>
      <c r="E238" t="s">
        <v>2421</v>
      </c>
      <c r="F238" t="s">
        <v>623</v>
      </c>
      <c r="G238" t="s">
        <v>5692</v>
      </c>
    </row>
    <row r="239" spans="1:7" x14ac:dyDescent="0.25">
      <c r="A239" t="s">
        <v>64</v>
      </c>
      <c r="B239" s="5">
        <v>34137</v>
      </c>
      <c r="C239" s="5" t="s">
        <v>5693</v>
      </c>
      <c r="E239" t="s">
        <v>2387</v>
      </c>
      <c r="F239" t="s">
        <v>624</v>
      </c>
      <c r="G239" t="s">
        <v>5693</v>
      </c>
    </row>
    <row r="240" spans="1:7" x14ac:dyDescent="0.25">
      <c r="A240" t="s">
        <v>111</v>
      </c>
      <c r="B240" s="5">
        <v>39217</v>
      </c>
      <c r="C240" s="5" t="s">
        <v>3059</v>
      </c>
      <c r="D240" t="s">
        <v>3059</v>
      </c>
      <c r="E240" t="s">
        <v>1902</v>
      </c>
      <c r="F240" t="s">
        <v>625</v>
      </c>
      <c r="G240" t="s">
        <v>3059</v>
      </c>
    </row>
    <row r="241" spans="1:7" x14ac:dyDescent="0.25">
      <c r="A241" t="s">
        <v>112</v>
      </c>
      <c r="B241" s="5">
        <v>39189</v>
      </c>
      <c r="C241" s="5" t="s">
        <v>3060</v>
      </c>
      <c r="D241" t="s">
        <v>3060</v>
      </c>
      <c r="E241" t="s">
        <v>2156</v>
      </c>
      <c r="F241" t="s">
        <v>626</v>
      </c>
      <c r="G241" t="s">
        <v>3060</v>
      </c>
    </row>
    <row r="242" spans="1:7" x14ac:dyDescent="0.25">
      <c r="A242" t="s">
        <v>113</v>
      </c>
      <c r="B242" s="5">
        <v>38147</v>
      </c>
      <c r="C242" s="5" t="s">
        <v>5694</v>
      </c>
      <c r="E242" t="s">
        <v>2055</v>
      </c>
      <c r="F242" t="s">
        <v>627</v>
      </c>
      <c r="G242" t="s">
        <v>5694</v>
      </c>
    </row>
    <row r="243" spans="1:7" x14ac:dyDescent="0.25">
      <c r="A243" t="s">
        <v>112</v>
      </c>
      <c r="B243" s="5">
        <v>41771</v>
      </c>
      <c r="C243" s="5" t="s">
        <v>3061</v>
      </c>
      <c r="D243" t="s">
        <v>3061</v>
      </c>
      <c r="E243" t="s">
        <v>1357</v>
      </c>
      <c r="F243" t="s">
        <v>628</v>
      </c>
      <c r="G243" t="s">
        <v>3061</v>
      </c>
    </row>
    <row r="244" spans="1:7" x14ac:dyDescent="0.25">
      <c r="A244" t="s">
        <v>71</v>
      </c>
      <c r="B244" s="5">
        <v>37748</v>
      </c>
      <c r="C244" s="5" t="s">
        <v>5695</v>
      </c>
      <c r="E244" t="s">
        <v>1658</v>
      </c>
      <c r="F244" t="s">
        <v>629</v>
      </c>
      <c r="G244" t="s">
        <v>5695</v>
      </c>
    </row>
    <row r="245" spans="1:7" x14ac:dyDescent="0.25">
      <c r="A245" t="s">
        <v>114</v>
      </c>
      <c r="B245" s="5">
        <v>41772</v>
      </c>
      <c r="C245" s="5" t="s">
        <v>3062</v>
      </c>
      <c r="D245" t="s">
        <v>3062</v>
      </c>
      <c r="E245" t="s">
        <v>1681</v>
      </c>
      <c r="F245" t="s">
        <v>630</v>
      </c>
      <c r="G245" t="s">
        <v>3062</v>
      </c>
    </row>
    <row r="246" spans="1:7" x14ac:dyDescent="0.25">
      <c r="A246" t="s">
        <v>115</v>
      </c>
      <c r="B246" s="5">
        <v>41787</v>
      </c>
      <c r="C246" s="5" t="s">
        <v>5696</v>
      </c>
      <c r="E246" t="s">
        <v>1877</v>
      </c>
      <c r="F246" t="s">
        <v>631</v>
      </c>
      <c r="G246" t="s">
        <v>5696</v>
      </c>
    </row>
    <row r="247" spans="1:7" x14ac:dyDescent="0.25">
      <c r="A247" t="s">
        <v>89</v>
      </c>
      <c r="B247" s="5">
        <v>34799</v>
      </c>
      <c r="C247" s="5" t="s">
        <v>5697</v>
      </c>
      <c r="E247" t="s">
        <v>2198</v>
      </c>
      <c r="F247" t="s">
        <v>632</v>
      </c>
      <c r="G247" t="s">
        <v>5697</v>
      </c>
    </row>
    <row r="248" spans="1:7" x14ac:dyDescent="0.25">
      <c r="A248" t="s">
        <v>116</v>
      </c>
      <c r="B248" s="5">
        <v>34841</v>
      </c>
      <c r="C248" s="5" t="s">
        <v>5698</v>
      </c>
      <c r="E248" t="s">
        <v>2644</v>
      </c>
      <c r="F248" t="s">
        <v>633</v>
      </c>
      <c r="G248" t="s">
        <v>5698</v>
      </c>
    </row>
    <row r="249" spans="1:7" x14ac:dyDescent="0.25">
      <c r="A249" t="s">
        <v>117</v>
      </c>
      <c r="B249" s="5">
        <v>37062</v>
      </c>
      <c r="C249" s="5" t="s">
        <v>5699</v>
      </c>
      <c r="E249" t="s">
        <v>1779</v>
      </c>
      <c r="F249" t="s">
        <v>634</v>
      </c>
      <c r="G249" t="s">
        <v>5699</v>
      </c>
    </row>
    <row r="250" spans="1:7" x14ac:dyDescent="0.25">
      <c r="A250" t="s">
        <v>117</v>
      </c>
      <c r="B250" s="5">
        <v>37062</v>
      </c>
      <c r="C250" s="5" t="s">
        <v>5699</v>
      </c>
      <c r="E250" t="s">
        <v>1779</v>
      </c>
      <c r="F250" t="s">
        <v>635</v>
      </c>
      <c r="G250" t="s">
        <v>5699</v>
      </c>
    </row>
    <row r="251" spans="1:7" x14ac:dyDescent="0.25">
      <c r="A251" t="s">
        <v>118</v>
      </c>
      <c r="B251" s="5">
        <v>40354</v>
      </c>
      <c r="C251" s="5" t="s">
        <v>5700</v>
      </c>
      <c r="E251" t="s">
        <v>1842</v>
      </c>
      <c r="F251" t="s">
        <v>636</v>
      </c>
      <c r="G251" t="s">
        <v>5700</v>
      </c>
    </row>
    <row r="252" spans="1:7" x14ac:dyDescent="0.25">
      <c r="A252" t="s">
        <v>119</v>
      </c>
      <c r="B252" s="5">
        <v>39225</v>
      </c>
      <c r="C252" s="5" t="s">
        <v>3063</v>
      </c>
      <c r="D252" t="s">
        <v>3063</v>
      </c>
      <c r="E252" t="s">
        <v>1355</v>
      </c>
      <c r="F252" t="s">
        <v>637</v>
      </c>
      <c r="G252" t="s">
        <v>3063</v>
      </c>
    </row>
    <row r="253" spans="1:7" x14ac:dyDescent="0.25">
      <c r="A253" t="s">
        <v>120</v>
      </c>
      <c r="B253" s="5">
        <v>39181</v>
      </c>
      <c r="C253" s="5" t="s">
        <v>3064</v>
      </c>
      <c r="D253" t="s">
        <v>3064</v>
      </c>
      <c r="E253" t="s">
        <v>1579</v>
      </c>
      <c r="F253" t="s">
        <v>638</v>
      </c>
      <c r="G253" t="s">
        <v>3064</v>
      </c>
    </row>
    <row r="254" spans="1:7" x14ac:dyDescent="0.25">
      <c r="A254" t="s">
        <v>121</v>
      </c>
      <c r="B254" s="5">
        <v>39569</v>
      </c>
      <c r="C254" s="5" t="s">
        <v>3065</v>
      </c>
      <c r="D254" t="s">
        <v>3065</v>
      </c>
      <c r="E254" t="s">
        <v>2082</v>
      </c>
      <c r="F254" t="s">
        <v>639</v>
      </c>
      <c r="G254" t="s">
        <v>3065</v>
      </c>
    </row>
    <row r="255" spans="1:7" x14ac:dyDescent="0.25">
      <c r="A255" t="s">
        <v>122</v>
      </c>
      <c r="B255" s="5">
        <v>37062</v>
      </c>
      <c r="C255" s="5" t="s">
        <v>5701</v>
      </c>
      <c r="E255" t="s">
        <v>1494</v>
      </c>
      <c r="F255" t="s">
        <v>640</v>
      </c>
      <c r="G255" t="s">
        <v>5701</v>
      </c>
    </row>
    <row r="256" spans="1:7" x14ac:dyDescent="0.25">
      <c r="A256" t="s">
        <v>123</v>
      </c>
      <c r="B256" s="5">
        <v>39196</v>
      </c>
      <c r="C256" s="5" t="s">
        <v>3066</v>
      </c>
      <c r="D256" t="s">
        <v>3066</v>
      </c>
      <c r="E256" t="s">
        <v>1586</v>
      </c>
      <c r="F256" t="s">
        <v>641</v>
      </c>
      <c r="G256" t="s">
        <v>3066</v>
      </c>
    </row>
    <row r="257" spans="1:7" x14ac:dyDescent="0.25">
      <c r="A257" t="s">
        <v>79</v>
      </c>
      <c r="B257" s="5">
        <v>34800</v>
      </c>
      <c r="C257" s="5" t="s">
        <v>5702</v>
      </c>
      <c r="E257" t="s">
        <v>2259</v>
      </c>
      <c r="F257" t="s">
        <v>642</v>
      </c>
      <c r="G257" t="s">
        <v>5702</v>
      </c>
    </row>
    <row r="258" spans="1:7" x14ac:dyDescent="0.25">
      <c r="A258" t="s">
        <v>124</v>
      </c>
      <c r="B258" s="5">
        <v>37047</v>
      </c>
      <c r="C258" s="5" t="s">
        <v>5703</v>
      </c>
      <c r="E258" t="s">
        <v>2059</v>
      </c>
      <c r="F258" t="s">
        <v>643</v>
      </c>
      <c r="G258" t="s">
        <v>5703</v>
      </c>
    </row>
    <row r="259" spans="1:7" x14ac:dyDescent="0.25">
      <c r="A259" t="s">
        <v>47</v>
      </c>
      <c r="B259" s="5">
        <v>34799</v>
      </c>
      <c r="C259" s="5" t="s">
        <v>5704</v>
      </c>
      <c r="E259" t="s">
        <v>2495</v>
      </c>
      <c r="F259" t="s">
        <v>644</v>
      </c>
      <c r="G259" t="s">
        <v>5704</v>
      </c>
    </row>
    <row r="260" spans="1:7" x14ac:dyDescent="0.25">
      <c r="A260" t="s">
        <v>114</v>
      </c>
      <c r="B260" s="5">
        <v>41772</v>
      </c>
      <c r="C260" s="5" t="s">
        <v>3062</v>
      </c>
      <c r="D260" t="s">
        <v>3062</v>
      </c>
      <c r="E260" t="s">
        <v>1681</v>
      </c>
      <c r="F260" t="s">
        <v>645</v>
      </c>
      <c r="G260" t="s">
        <v>3062</v>
      </c>
    </row>
    <row r="261" spans="1:7" x14ac:dyDescent="0.25">
      <c r="A261" t="s">
        <v>125</v>
      </c>
      <c r="B261" s="5">
        <v>39188</v>
      </c>
      <c r="C261" s="5" t="s">
        <v>3067</v>
      </c>
      <c r="D261" t="s">
        <v>3067</v>
      </c>
      <c r="E261" t="s">
        <v>1985</v>
      </c>
      <c r="F261" t="s">
        <v>646</v>
      </c>
      <c r="G261" t="s">
        <v>3067</v>
      </c>
    </row>
    <row r="262" spans="1:7" x14ac:dyDescent="0.25">
      <c r="A262" t="s">
        <v>124</v>
      </c>
      <c r="B262" s="5">
        <v>40672</v>
      </c>
      <c r="C262" s="5" t="s">
        <v>3068</v>
      </c>
      <c r="D262" t="s">
        <v>3068</v>
      </c>
      <c r="E262" t="s">
        <v>1452</v>
      </c>
      <c r="F262" t="s">
        <v>647</v>
      </c>
      <c r="G262" t="s">
        <v>3068</v>
      </c>
    </row>
    <row r="263" spans="1:7" x14ac:dyDescent="0.25">
      <c r="A263" t="s">
        <v>126</v>
      </c>
      <c r="B263" s="5">
        <v>34844</v>
      </c>
      <c r="C263" s="5" t="s">
        <v>5705</v>
      </c>
      <c r="E263" t="s">
        <v>2606</v>
      </c>
      <c r="F263" t="s">
        <v>648</v>
      </c>
      <c r="G263" t="s">
        <v>5705</v>
      </c>
    </row>
    <row r="264" spans="1:7" x14ac:dyDescent="0.25">
      <c r="A264" t="s">
        <v>127</v>
      </c>
      <c r="B264" s="5">
        <v>41750</v>
      </c>
      <c r="C264" s="5" t="s">
        <v>5706</v>
      </c>
      <c r="E264" t="s">
        <v>1851</v>
      </c>
      <c r="F264" t="s">
        <v>649</v>
      </c>
      <c r="G264" t="s">
        <v>5706</v>
      </c>
    </row>
    <row r="265" spans="1:7" x14ac:dyDescent="0.25">
      <c r="A265" t="s">
        <v>128</v>
      </c>
      <c r="B265" s="5">
        <v>38512</v>
      </c>
      <c r="C265" s="5" t="s">
        <v>5707</v>
      </c>
      <c r="E265" t="s">
        <v>1444</v>
      </c>
      <c r="F265" t="s">
        <v>650</v>
      </c>
      <c r="G265" t="s">
        <v>5707</v>
      </c>
    </row>
    <row r="266" spans="1:7" x14ac:dyDescent="0.25">
      <c r="A266" t="s">
        <v>124</v>
      </c>
      <c r="B266" s="5">
        <v>39261</v>
      </c>
      <c r="C266" s="5" t="s">
        <v>3069</v>
      </c>
      <c r="D266" t="s">
        <v>3069</v>
      </c>
      <c r="E266" t="s">
        <v>1949</v>
      </c>
      <c r="F266" t="s">
        <v>651</v>
      </c>
      <c r="G266" t="s">
        <v>3069</v>
      </c>
    </row>
    <row r="267" spans="1:7" x14ac:dyDescent="0.25">
      <c r="A267" t="s">
        <v>129</v>
      </c>
      <c r="B267" s="5">
        <v>41779</v>
      </c>
      <c r="C267" s="5" t="s">
        <v>3070</v>
      </c>
      <c r="D267" t="s">
        <v>3070</v>
      </c>
      <c r="E267" t="s">
        <v>2020</v>
      </c>
      <c r="F267" t="s">
        <v>652</v>
      </c>
      <c r="G267" t="s">
        <v>3070</v>
      </c>
    </row>
    <row r="268" spans="1:7" x14ac:dyDescent="0.25">
      <c r="A268" t="s">
        <v>27</v>
      </c>
      <c r="B268" s="5">
        <v>34834</v>
      </c>
      <c r="C268" s="5" t="s">
        <v>5708</v>
      </c>
      <c r="E268" t="s">
        <v>2312</v>
      </c>
      <c r="F268" t="s">
        <v>653</v>
      </c>
      <c r="G268" t="s">
        <v>5708</v>
      </c>
    </row>
    <row r="269" spans="1:7" x14ac:dyDescent="0.25">
      <c r="A269" t="s">
        <v>128</v>
      </c>
      <c r="B269" s="5">
        <v>37782</v>
      </c>
      <c r="C269" s="5" t="s">
        <v>5709</v>
      </c>
      <c r="E269" t="s">
        <v>1993</v>
      </c>
      <c r="F269" t="s">
        <v>654</v>
      </c>
      <c r="G269" t="s">
        <v>5709</v>
      </c>
    </row>
    <row r="270" spans="1:7" x14ac:dyDescent="0.25">
      <c r="A270" t="s">
        <v>130</v>
      </c>
      <c r="B270" s="5">
        <v>41778</v>
      </c>
      <c r="C270" s="5" t="s">
        <v>3071</v>
      </c>
      <c r="D270" t="s">
        <v>3071</v>
      </c>
      <c r="E270" t="s">
        <v>1899</v>
      </c>
      <c r="F270" t="s">
        <v>655</v>
      </c>
      <c r="G270" t="s">
        <v>3071</v>
      </c>
    </row>
    <row r="271" spans="1:7" x14ac:dyDescent="0.25">
      <c r="A271" t="s">
        <v>131</v>
      </c>
      <c r="B271" s="5">
        <v>34835</v>
      </c>
      <c r="C271" s="5" t="s">
        <v>5710</v>
      </c>
      <c r="E271" t="s">
        <v>2631</v>
      </c>
      <c r="F271" t="s">
        <v>656</v>
      </c>
      <c r="G271" t="s">
        <v>5710</v>
      </c>
    </row>
    <row r="272" spans="1:7" x14ac:dyDescent="0.25">
      <c r="A272" t="s">
        <v>128</v>
      </c>
      <c r="B272" s="5">
        <v>38147</v>
      </c>
      <c r="C272" s="5" t="s">
        <v>5711</v>
      </c>
      <c r="E272" t="s">
        <v>1800</v>
      </c>
      <c r="F272" t="s">
        <v>657</v>
      </c>
      <c r="G272" t="s">
        <v>5711</v>
      </c>
    </row>
    <row r="273" spans="1:7" x14ac:dyDescent="0.25">
      <c r="A273" t="s">
        <v>64</v>
      </c>
      <c r="B273" s="5">
        <v>41079</v>
      </c>
      <c r="C273" s="5" t="s">
        <v>3072</v>
      </c>
      <c r="D273" t="s">
        <v>3072</v>
      </c>
      <c r="E273" t="s">
        <v>1742</v>
      </c>
      <c r="F273" t="s">
        <v>658</v>
      </c>
      <c r="G273" t="s">
        <v>3072</v>
      </c>
    </row>
    <row r="274" spans="1:7" x14ac:dyDescent="0.25">
      <c r="A274" t="s">
        <v>52</v>
      </c>
      <c r="B274" s="5">
        <v>41044</v>
      </c>
      <c r="C274" s="5" t="s">
        <v>3073</v>
      </c>
      <c r="D274" t="s">
        <v>3073</v>
      </c>
      <c r="E274" t="s">
        <v>2019</v>
      </c>
      <c r="F274" t="s">
        <v>659</v>
      </c>
      <c r="G274" t="s">
        <v>3073</v>
      </c>
    </row>
    <row r="275" spans="1:7" x14ac:dyDescent="0.25">
      <c r="A275" t="s">
        <v>118</v>
      </c>
      <c r="B275" s="5">
        <v>41771</v>
      </c>
      <c r="C275" s="5" t="s">
        <v>3074</v>
      </c>
      <c r="D275" t="s">
        <v>3074</v>
      </c>
      <c r="E275" t="s">
        <v>1610</v>
      </c>
      <c r="F275" t="s">
        <v>660</v>
      </c>
      <c r="G275" t="s">
        <v>3074</v>
      </c>
    </row>
    <row r="276" spans="1:7" x14ac:dyDescent="0.25">
      <c r="A276" t="s">
        <v>128</v>
      </c>
      <c r="B276" s="5">
        <v>39190</v>
      </c>
      <c r="C276" s="5" t="s">
        <v>3075</v>
      </c>
      <c r="D276" t="s">
        <v>3075</v>
      </c>
      <c r="E276" t="s">
        <v>1986</v>
      </c>
      <c r="F276" t="s">
        <v>661</v>
      </c>
      <c r="G276" t="s">
        <v>3075</v>
      </c>
    </row>
    <row r="277" spans="1:7" x14ac:dyDescent="0.25">
      <c r="A277" t="s">
        <v>129</v>
      </c>
      <c r="B277" s="5">
        <v>40322</v>
      </c>
      <c r="C277" s="5" t="s">
        <v>3076</v>
      </c>
      <c r="D277" t="s">
        <v>3076</v>
      </c>
      <c r="E277" t="s">
        <v>1437</v>
      </c>
      <c r="F277" t="s">
        <v>662</v>
      </c>
      <c r="G277" t="s">
        <v>3076</v>
      </c>
    </row>
    <row r="278" spans="1:7" x14ac:dyDescent="0.25">
      <c r="A278" t="s">
        <v>132</v>
      </c>
      <c r="B278" s="5">
        <v>34827</v>
      </c>
      <c r="C278" s="5" t="s">
        <v>5712</v>
      </c>
      <c r="E278" t="s">
        <v>2669</v>
      </c>
      <c r="F278" t="s">
        <v>663</v>
      </c>
      <c r="G278" t="s">
        <v>5712</v>
      </c>
    </row>
    <row r="279" spans="1:7" x14ac:dyDescent="0.25">
      <c r="A279" t="s">
        <v>133</v>
      </c>
      <c r="B279" s="5">
        <v>42542</v>
      </c>
      <c r="C279" s="5" t="s">
        <v>3077</v>
      </c>
      <c r="D279" t="s">
        <v>3077</v>
      </c>
      <c r="E279" t="s">
        <v>1499</v>
      </c>
      <c r="F279" t="s">
        <v>664</v>
      </c>
      <c r="G279" t="s">
        <v>3077</v>
      </c>
    </row>
    <row r="280" spans="1:7" x14ac:dyDescent="0.25">
      <c r="A280" t="s">
        <v>134</v>
      </c>
      <c r="B280" s="5">
        <v>37033</v>
      </c>
      <c r="C280" s="5" t="s">
        <v>5713</v>
      </c>
      <c r="F280" t="s">
        <v>665</v>
      </c>
      <c r="G280" t="s">
        <v>5713</v>
      </c>
    </row>
    <row r="281" spans="1:7" x14ac:dyDescent="0.25">
      <c r="A281" t="s">
        <v>135</v>
      </c>
      <c r="B281" s="5">
        <v>42541</v>
      </c>
      <c r="C281" s="5" t="s">
        <v>5714</v>
      </c>
      <c r="E281" t="s">
        <v>1998</v>
      </c>
      <c r="F281" t="s">
        <v>666</v>
      </c>
      <c r="G281" t="s">
        <v>5714</v>
      </c>
    </row>
    <row r="282" spans="1:7" x14ac:dyDescent="0.25">
      <c r="A282" t="s">
        <v>134</v>
      </c>
      <c r="B282" s="5">
        <v>41779</v>
      </c>
      <c r="C282" s="5" t="s">
        <v>3078</v>
      </c>
      <c r="D282" t="s">
        <v>3078</v>
      </c>
      <c r="E282" t="s">
        <v>1532</v>
      </c>
      <c r="F282" t="s">
        <v>667</v>
      </c>
      <c r="G282" t="s">
        <v>3078</v>
      </c>
    </row>
    <row r="283" spans="1:7" x14ac:dyDescent="0.25">
      <c r="A283" t="s">
        <v>136</v>
      </c>
      <c r="B283" s="5">
        <v>39183</v>
      </c>
      <c r="C283" s="5" t="s">
        <v>3079</v>
      </c>
      <c r="D283" t="s">
        <v>3079</v>
      </c>
      <c r="E283" t="s">
        <v>1980</v>
      </c>
      <c r="F283" t="s">
        <v>668</v>
      </c>
      <c r="G283" t="s">
        <v>3079</v>
      </c>
    </row>
    <row r="284" spans="1:7" x14ac:dyDescent="0.25">
      <c r="A284" t="s">
        <v>113</v>
      </c>
      <c r="B284" s="5">
        <v>38484</v>
      </c>
      <c r="C284" s="5" t="s">
        <v>5715</v>
      </c>
      <c r="F284" t="s">
        <v>669</v>
      </c>
      <c r="G284" t="s">
        <v>5715</v>
      </c>
    </row>
    <row r="285" spans="1:7" x14ac:dyDescent="0.25">
      <c r="A285" t="s">
        <v>137</v>
      </c>
      <c r="B285" s="5">
        <v>39182</v>
      </c>
      <c r="C285" s="5" t="s">
        <v>3080</v>
      </c>
      <c r="D285" t="s">
        <v>3080</v>
      </c>
      <c r="E285" t="s">
        <v>1603</v>
      </c>
      <c r="F285" t="s">
        <v>670</v>
      </c>
      <c r="G285" t="s">
        <v>3080</v>
      </c>
    </row>
    <row r="286" spans="1:7" x14ac:dyDescent="0.25">
      <c r="A286" t="s">
        <v>40</v>
      </c>
      <c r="B286" s="5">
        <v>35570</v>
      </c>
      <c r="C286" s="5" t="s">
        <v>5716</v>
      </c>
      <c r="E286" t="s">
        <v>1747</v>
      </c>
      <c r="F286" t="s">
        <v>671</v>
      </c>
      <c r="G286" t="s">
        <v>5716</v>
      </c>
    </row>
    <row r="287" spans="1:7" x14ac:dyDescent="0.25">
      <c r="A287" t="s">
        <v>69</v>
      </c>
      <c r="B287" s="5">
        <v>39615</v>
      </c>
      <c r="C287" s="5" t="s">
        <v>3081</v>
      </c>
      <c r="D287" t="s">
        <v>3081</v>
      </c>
      <c r="E287" t="s">
        <v>1359</v>
      </c>
      <c r="F287" t="s">
        <v>672</v>
      </c>
      <c r="G287" t="s">
        <v>3081</v>
      </c>
    </row>
    <row r="288" spans="1:7" x14ac:dyDescent="0.25">
      <c r="A288" t="s">
        <v>134</v>
      </c>
      <c r="B288" s="5">
        <v>40332</v>
      </c>
      <c r="C288" s="5" t="s">
        <v>3082</v>
      </c>
      <c r="D288" t="s">
        <v>3082</v>
      </c>
      <c r="E288" t="s">
        <v>1372</v>
      </c>
      <c r="F288" t="s">
        <v>673</v>
      </c>
      <c r="G288" t="s">
        <v>3082</v>
      </c>
    </row>
    <row r="289" spans="1:7" x14ac:dyDescent="0.25">
      <c r="A289" t="s">
        <v>71</v>
      </c>
      <c r="B289" s="5">
        <v>38112</v>
      </c>
      <c r="C289" s="5" t="s">
        <v>5717</v>
      </c>
      <c r="E289" t="s">
        <v>1471</v>
      </c>
      <c r="F289" t="s">
        <v>674</v>
      </c>
      <c r="G289" t="s">
        <v>5717</v>
      </c>
    </row>
    <row r="290" spans="1:7" x14ac:dyDescent="0.25">
      <c r="A290" t="s">
        <v>138</v>
      </c>
      <c r="B290" s="5">
        <v>39204</v>
      </c>
      <c r="C290" s="5" t="s">
        <v>3083</v>
      </c>
      <c r="D290" t="s">
        <v>3083</v>
      </c>
      <c r="E290" t="s">
        <v>2144</v>
      </c>
      <c r="F290" t="s">
        <v>675</v>
      </c>
      <c r="G290" t="s">
        <v>3083</v>
      </c>
    </row>
    <row r="291" spans="1:7" x14ac:dyDescent="0.25">
      <c r="A291" t="s">
        <v>139</v>
      </c>
      <c r="B291" s="5">
        <v>40351</v>
      </c>
      <c r="C291" s="5" t="s">
        <v>5718</v>
      </c>
      <c r="F291" t="s">
        <v>676</v>
      </c>
      <c r="G291" t="s">
        <v>5718</v>
      </c>
    </row>
    <row r="292" spans="1:7" x14ac:dyDescent="0.25">
      <c r="A292" t="s">
        <v>140</v>
      </c>
      <c r="B292" s="5">
        <v>34106</v>
      </c>
      <c r="C292" s="5" t="s">
        <v>5719</v>
      </c>
      <c r="E292" t="s">
        <v>2567</v>
      </c>
      <c r="F292" t="s">
        <v>677</v>
      </c>
      <c r="G292" t="s">
        <v>5719</v>
      </c>
    </row>
    <row r="293" spans="1:7" x14ac:dyDescent="0.25">
      <c r="A293" t="s">
        <v>141</v>
      </c>
      <c r="B293" s="5">
        <v>39981</v>
      </c>
      <c r="C293" s="5" t="s">
        <v>5720</v>
      </c>
      <c r="E293" t="s">
        <v>2074</v>
      </c>
      <c r="F293" t="s">
        <v>678</v>
      </c>
      <c r="G293" t="s">
        <v>5720</v>
      </c>
    </row>
    <row r="294" spans="1:7" x14ac:dyDescent="0.25">
      <c r="A294" t="s">
        <v>142</v>
      </c>
      <c r="B294" s="5">
        <v>41780</v>
      </c>
      <c r="C294" s="5" t="s">
        <v>3084</v>
      </c>
      <c r="D294" t="s">
        <v>3084</v>
      </c>
      <c r="E294" t="s">
        <v>2000</v>
      </c>
      <c r="F294" t="s">
        <v>679</v>
      </c>
      <c r="G294" t="s">
        <v>3084</v>
      </c>
    </row>
    <row r="295" spans="1:7" x14ac:dyDescent="0.25">
      <c r="A295" t="s">
        <v>128</v>
      </c>
      <c r="B295" s="5">
        <v>36705</v>
      </c>
      <c r="C295" s="5" t="s">
        <v>5721</v>
      </c>
      <c r="E295" t="s">
        <v>1845</v>
      </c>
      <c r="F295" t="s">
        <v>680</v>
      </c>
      <c r="G295" t="s">
        <v>5721</v>
      </c>
    </row>
    <row r="296" spans="1:7" x14ac:dyDescent="0.25">
      <c r="A296" t="s">
        <v>140</v>
      </c>
      <c r="B296" s="5">
        <v>34477</v>
      </c>
      <c r="C296" s="5" t="s">
        <v>5722</v>
      </c>
      <c r="E296" t="s">
        <v>2255</v>
      </c>
      <c r="F296" t="s">
        <v>681</v>
      </c>
      <c r="G296" t="s">
        <v>5722</v>
      </c>
    </row>
    <row r="297" spans="1:7" x14ac:dyDescent="0.25">
      <c r="A297" t="s">
        <v>105</v>
      </c>
      <c r="B297" s="5">
        <v>34506</v>
      </c>
      <c r="C297" s="5" t="s">
        <v>5723</v>
      </c>
      <c r="E297" t="s">
        <v>2299</v>
      </c>
      <c r="F297" t="s">
        <v>682</v>
      </c>
      <c r="G297" t="s">
        <v>5723</v>
      </c>
    </row>
    <row r="298" spans="1:7" x14ac:dyDescent="0.25">
      <c r="A298" t="s">
        <v>52</v>
      </c>
      <c r="B298" s="5">
        <v>35588</v>
      </c>
      <c r="C298" s="5" t="s">
        <v>5724</v>
      </c>
      <c r="E298" t="s">
        <v>2733</v>
      </c>
      <c r="F298" t="s">
        <v>683</v>
      </c>
      <c r="G298" t="s">
        <v>5724</v>
      </c>
    </row>
    <row r="299" spans="1:7" x14ac:dyDescent="0.25">
      <c r="A299" t="s">
        <v>143</v>
      </c>
      <c r="B299" s="5">
        <v>38913</v>
      </c>
      <c r="C299" s="5" t="s">
        <v>5725</v>
      </c>
      <c r="F299" t="s">
        <v>684</v>
      </c>
      <c r="G299" t="s">
        <v>5725</v>
      </c>
    </row>
    <row r="300" spans="1:7" x14ac:dyDescent="0.25">
      <c r="A300" t="s">
        <v>142</v>
      </c>
      <c r="B300" s="5">
        <v>40359</v>
      </c>
      <c r="C300" s="5" t="s">
        <v>3085</v>
      </c>
      <c r="D300" t="s">
        <v>3085</v>
      </c>
      <c r="E300" t="s">
        <v>1680</v>
      </c>
      <c r="F300" t="s">
        <v>685</v>
      </c>
      <c r="G300" t="s">
        <v>3085</v>
      </c>
    </row>
    <row r="301" spans="1:7" x14ac:dyDescent="0.25">
      <c r="A301" t="s">
        <v>144</v>
      </c>
      <c r="B301" s="5">
        <v>41801</v>
      </c>
      <c r="C301" s="5" t="s">
        <v>3086</v>
      </c>
      <c r="D301" t="s">
        <v>3086</v>
      </c>
      <c r="E301" t="s">
        <v>1591</v>
      </c>
      <c r="F301" t="s">
        <v>686</v>
      </c>
      <c r="G301" t="s">
        <v>3086</v>
      </c>
    </row>
    <row r="302" spans="1:7" x14ac:dyDescent="0.25">
      <c r="A302" t="s">
        <v>140</v>
      </c>
      <c r="B302" s="5">
        <v>36656</v>
      </c>
      <c r="C302" s="5" t="s">
        <v>5726</v>
      </c>
      <c r="E302" t="s">
        <v>1424</v>
      </c>
      <c r="F302" t="s">
        <v>687</v>
      </c>
      <c r="G302" t="s">
        <v>5726</v>
      </c>
    </row>
    <row r="303" spans="1:7" x14ac:dyDescent="0.25">
      <c r="A303" t="s">
        <v>145</v>
      </c>
      <c r="B303" s="5">
        <v>42157</v>
      </c>
      <c r="C303" s="5" t="s">
        <v>3087</v>
      </c>
      <c r="D303" t="s">
        <v>3087</v>
      </c>
      <c r="E303" t="s">
        <v>1550</v>
      </c>
      <c r="F303" t="s">
        <v>688</v>
      </c>
      <c r="G303" t="s">
        <v>3087</v>
      </c>
    </row>
    <row r="304" spans="1:7" x14ac:dyDescent="0.25">
      <c r="A304" t="s">
        <v>146</v>
      </c>
      <c r="B304" s="5">
        <v>34830</v>
      </c>
      <c r="C304" s="5" t="s">
        <v>5727</v>
      </c>
      <c r="E304" t="s">
        <v>2371</v>
      </c>
      <c r="F304" t="s">
        <v>689</v>
      </c>
      <c r="G304" t="s">
        <v>5727</v>
      </c>
    </row>
    <row r="305" spans="1:7" x14ac:dyDescent="0.25">
      <c r="A305" t="s">
        <v>129</v>
      </c>
      <c r="B305" s="5">
        <v>33777</v>
      </c>
      <c r="C305" s="5" t="s">
        <v>5728</v>
      </c>
      <c r="E305" t="s">
        <v>2677</v>
      </c>
      <c r="F305" t="s">
        <v>690</v>
      </c>
      <c r="G305" t="s">
        <v>5728</v>
      </c>
    </row>
    <row r="306" spans="1:7" x14ac:dyDescent="0.25">
      <c r="A306" t="s">
        <v>147</v>
      </c>
      <c r="B306" s="5">
        <v>41778</v>
      </c>
      <c r="C306" s="5" t="s">
        <v>3088</v>
      </c>
      <c r="D306" t="s">
        <v>3088</v>
      </c>
      <c r="E306" t="s">
        <v>1483</v>
      </c>
      <c r="F306" t="s">
        <v>691</v>
      </c>
      <c r="G306" t="s">
        <v>3088</v>
      </c>
    </row>
    <row r="307" spans="1:7" x14ac:dyDescent="0.25">
      <c r="A307" t="s">
        <v>148</v>
      </c>
      <c r="B307" s="5">
        <v>33794</v>
      </c>
      <c r="C307" s="5" t="s">
        <v>5729</v>
      </c>
      <c r="E307" t="s">
        <v>2273</v>
      </c>
      <c r="F307" t="s">
        <v>692</v>
      </c>
      <c r="G307" t="s">
        <v>5729</v>
      </c>
    </row>
    <row r="308" spans="1:7" x14ac:dyDescent="0.25">
      <c r="A308" t="s">
        <v>40</v>
      </c>
      <c r="B308" s="5">
        <v>34865</v>
      </c>
      <c r="C308" s="5" t="s">
        <v>5730</v>
      </c>
      <c r="E308" t="s">
        <v>2562</v>
      </c>
      <c r="F308" t="s">
        <v>693</v>
      </c>
      <c r="G308" t="s">
        <v>5730</v>
      </c>
    </row>
    <row r="309" spans="1:7" x14ac:dyDescent="0.25">
      <c r="A309" t="s">
        <v>100</v>
      </c>
      <c r="B309" s="5">
        <v>41436</v>
      </c>
      <c r="C309" s="5" t="s">
        <v>3089</v>
      </c>
      <c r="D309" t="s">
        <v>3089</v>
      </c>
      <c r="E309" t="s">
        <v>1991</v>
      </c>
      <c r="F309" t="s">
        <v>694</v>
      </c>
      <c r="G309" t="s">
        <v>3089</v>
      </c>
    </row>
    <row r="310" spans="1:7" x14ac:dyDescent="0.25">
      <c r="A310" t="s">
        <v>149</v>
      </c>
      <c r="B310" s="5">
        <v>39931</v>
      </c>
      <c r="C310" s="5" t="s">
        <v>3090</v>
      </c>
      <c r="D310" t="s">
        <v>3090</v>
      </c>
      <c r="E310" t="s">
        <v>1456</v>
      </c>
      <c r="F310" t="s">
        <v>695</v>
      </c>
      <c r="G310" t="s">
        <v>3090</v>
      </c>
    </row>
    <row r="311" spans="1:7" x14ac:dyDescent="0.25">
      <c r="A311" t="s">
        <v>150</v>
      </c>
      <c r="B311" s="5">
        <v>39910</v>
      </c>
      <c r="C311" s="5" t="s">
        <v>3091</v>
      </c>
      <c r="D311" t="s">
        <v>3091</v>
      </c>
      <c r="E311" t="s">
        <v>1417</v>
      </c>
      <c r="F311" t="s">
        <v>696</v>
      </c>
      <c r="G311" t="s">
        <v>3091</v>
      </c>
    </row>
    <row r="312" spans="1:7" x14ac:dyDescent="0.25">
      <c r="A312" t="s">
        <v>131</v>
      </c>
      <c r="B312" s="5">
        <v>36284</v>
      </c>
      <c r="C312" s="5" t="s">
        <v>5731</v>
      </c>
      <c r="F312" t="s">
        <v>697</v>
      </c>
      <c r="G312" t="s">
        <v>5731</v>
      </c>
    </row>
    <row r="313" spans="1:7" x14ac:dyDescent="0.25">
      <c r="A313" t="s">
        <v>60</v>
      </c>
      <c r="B313" s="5">
        <v>41746</v>
      </c>
      <c r="C313" s="5" t="s">
        <v>3092</v>
      </c>
      <c r="D313" t="s">
        <v>3092</v>
      </c>
      <c r="E313" t="s">
        <v>1611</v>
      </c>
      <c r="F313" t="s">
        <v>698</v>
      </c>
      <c r="G313" t="s">
        <v>3092</v>
      </c>
    </row>
    <row r="314" spans="1:7" x14ac:dyDescent="0.25">
      <c r="A314" t="s">
        <v>43</v>
      </c>
      <c r="B314" s="5">
        <v>39581</v>
      </c>
      <c r="C314" s="5" t="s">
        <v>3093</v>
      </c>
      <c r="D314" t="s">
        <v>3093</v>
      </c>
      <c r="E314" t="s">
        <v>1489</v>
      </c>
      <c r="F314" t="s">
        <v>699</v>
      </c>
      <c r="G314" t="s">
        <v>3093</v>
      </c>
    </row>
    <row r="315" spans="1:7" x14ac:dyDescent="0.25">
      <c r="A315" t="s">
        <v>35</v>
      </c>
      <c r="B315" s="5">
        <v>41079</v>
      </c>
      <c r="C315" s="5" t="s">
        <v>3094</v>
      </c>
      <c r="D315" t="s">
        <v>3094</v>
      </c>
      <c r="E315" t="s">
        <v>1557</v>
      </c>
      <c r="F315" t="s">
        <v>700</v>
      </c>
      <c r="G315" t="s">
        <v>3094</v>
      </c>
    </row>
    <row r="316" spans="1:7" x14ac:dyDescent="0.25">
      <c r="A316" t="s">
        <v>151</v>
      </c>
      <c r="B316" s="5">
        <v>41745</v>
      </c>
      <c r="C316" s="5" t="s">
        <v>3095</v>
      </c>
      <c r="D316" t="s">
        <v>3095</v>
      </c>
      <c r="E316" t="s">
        <v>1360</v>
      </c>
      <c r="F316" t="s">
        <v>701</v>
      </c>
      <c r="G316" t="s">
        <v>3095</v>
      </c>
    </row>
    <row r="317" spans="1:7" x14ac:dyDescent="0.25">
      <c r="A317" t="s">
        <v>152</v>
      </c>
      <c r="B317" s="5">
        <v>34494</v>
      </c>
      <c r="C317" s="5" t="s">
        <v>5732</v>
      </c>
      <c r="F317" t="s">
        <v>702</v>
      </c>
      <c r="G317" t="s">
        <v>5732</v>
      </c>
    </row>
    <row r="318" spans="1:7" x14ac:dyDescent="0.25">
      <c r="A318" t="s">
        <v>39</v>
      </c>
      <c r="B318" s="5">
        <v>38833</v>
      </c>
      <c r="C318" s="5" t="s">
        <v>3096</v>
      </c>
      <c r="D318" t="s">
        <v>3096</v>
      </c>
      <c r="E318" t="s">
        <v>1662</v>
      </c>
      <c r="F318" t="s">
        <v>703</v>
      </c>
      <c r="G318" t="s">
        <v>3096</v>
      </c>
    </row>
    <row r="319" spans="1:7" x14ac:dyDescent="0.25">
      <c r="A319" t="s">
        <v>153</v>
      </c>
      <c r="B319" s="5">
        <v>39212</v>
      </c>
      <c r="C319" s="5" t="s">
        <v>3097</v>
      </c>
      <c r="D319" t="s">
        <v>3097</v>
      </c>
      <c r="E319" t="s">
        <v>1880</v>
      </c>
      <c r="F319" t="s">
        <v>704</v>
      </c>
      <c r="G319" t="s">
        <v>3097</v>
      </c>
    </row>
    <row r="320" spans="1:7" x14ac:dyDescent="0.25">
      <c r="A320" t="s">
        <v>139</v>
      </c>
      <c r="B320" s="5">
        <v>37068</v>
      </c>
      <c r="C320" s="5" t="s">
        <v>5733</v>
      </c>
      <c r="E320" t="s">
        <v>1421</v>
      </c>
      <c r="F320" t="s">
        <v>705</v>
      </c>
      <c r="G320" t="s">
        <v>5733</v>
      </c>
    </row>
    <row r="321" spans="1:7" x14ac:dyDescent="0.25">
      <c r="A321" t="s">
        <v>154</v>
      </c>
      <c r="B321" s="5">
        <v>39933</v>
      </c>
      <c r="C321" s="5" t="s">
        <v>3098</v>
      </c>
      <c r="D321" t="s">
        <v>3098</v>
      </c>
      <c r="E321" t="s">
        <v>1879</v>
      </c>
      <c r="F321" t="s">
        <v>706</v>
      </c>
      <c r="G321" t="s">
        <v>3098</v>
      </c>
    </row>
    <row r="322" spans="1:7" x14ac:dyDescent="0.25">
      <c r="A322" t="s">
        <v>130</v>
      </c>
      <c r="B322" s="5">
        <v>33779</v>
      </c>
      <c r="C322" s="5" t="s">
        <v>5734</v>
      </c>
      <c r="E322" t="s">
        <v>2617</v>
      </c>
      <c r="F322" t="s">
        <v>707</v>
      </c>
      <c r="G322" t="s">
        <v>5734</v>
      </c>
    </row>
    <row r="323" spans="1:7" x14ac:dyDescent="0.25">
      <c r="A323" t="s">
        <v>130</v>
      </c>
      <c r="B323" s="5">
        <v>34493</v>
      </c>
      <c r="C323" s="5" t="s">
        <v>5735</v>
      </c>
      <c r="E323" t="s">
        <v>2630</v>
      </c>
      <c r="F323" t="s">
        <v>708</v>
      </c>
      <c r="G323" t="s">
        <v>5735</v>
      </c>
    </row>
    <row r="324" spans="1:7" x14ac:dyDescent="0.25">
      <c r="A324" t="s">
        <v>155</v>
      </c>
      <c r="B324" s="5">
        <v>33778</v>
      </c>
      <c r="C324" s="5" t="s">
        <v>5736</v>
      </c>
      <c r="E324" t="s">
        <v>2642</v>
      </c>
      <c r="F324" t="s">
        <v>709</v>
      </c>
      <c r="G324" t="s">
        <v>5736</v>
      </c>
    </row>
    <row r="325" spans="1:7" x14ac:dyDescent="0.25">
      <c r="A325" t="s">
        <v>140</v>
      </c>
      <c r="B325" s="5">
        <v>35198</v>
      </c>
      <c r="C325" s="5" t="s">
        <v>5737</v>
      </c>
      <c r="E325" t="s">
        <v>2582</v>
      </c>
      <c r="F325" t="s">
        <v>710</v>
      </c>
      <c r="G325" t="s">
        <v>5737</v>
      </c>
    </row>
    <row r="326" spans="1:7" x14ac:dyDescent="0.25">
      <c r="A326" t="s">
        <v>130</v>
      </c>
      <c r="B326" s="5">
        <v>35570</v>
      </c>
      <c r="C326" s="5" t="s">
        <v>5738</v>
      </c>
      <c r="E326" t="s">
        <v>1809</v>
      </c>
      <c r="F326" t="s">
        <v>711</v>
      </c>
      <c r="G326" t="s">
        <v>5738</v>
      </c>
    </row>
    <row r="327" spans="1:7" x14ac:dyDescent="0.25">
      <c r="A327" t="s">
        <v>18</v>
      </c>
      <c r="B327" s="5">
        <v>35548</v>
      </c>
      <c r="C327" s="5" t="s">
        <v>5739</v>
      </c>
      <c r="E327" t="s">
        <v>1642</v>
      </c>
      <c r="F327" t="s">
        <v>712</v>
      </c>
      <c r="G327" t="s">
        <v>5739</v>
      </c>
    </row>
    <row r="328" spans="1:7" x14ac:dyDescent="0.25">
      <c r="A328" t="s">
        <v>71</v>
      </c>
      <c r="B328" s="5">
        <v>38504</v>
      </c>
      <c r="C328" s="5" t="s">
        <v>5740</v>
      </c>
      <c r="E328" t="s">
        <v>1636</v>
      </c>
      <c r="F328" t="s">
        <v>713</v>
      </c>
      <c r="G328" t="s">
        <v>5740</v>
      </c>
    </row>
    <row r="329" spans="1:7" x14ac:dyDescent="0.25">
      <c r="A329" t="s">
        <v>18</v>
      </c>
      <c r="B329" s="5">
        <v>41045</v>
      </c>
      <c r="C329" s="5" t="s">
        <v>5741</v>
      </c>
      <c r="E329" t="s">
        <v>1565</v>
      </c>
      <c r="F329" t="s">
        <v>714</v>
      </c>
      <c r="G329" t="s">
        <v>5741</v>
      </c>
    </row>
    <row r="330" spans="1:7" x14ac:dyDescent="0.25">
      <c r="A330" t="s">
        <v>77</v>
      </c>
      <c r="B330" s="5">
        <v>34794</v>
      </c>
      <c r="C330" s="5" t="s">
        <v>5742</v>
      </c>
      <c r="E330" t="s">
        <v>2702</v>
      </c>
      <c r="F330" t="s">
        <v>715</v>
      </c>
      <c r="G330" t="s">
        <v>5742</v>
      </c>
    </row>
    <row r="331" spans="1:7" x14ac:dyDescent="0.25">
      <c r="A331" t="s">
        <v>128</v>
      </c>
      <c r="B331" s="5">
        <v>37054</v>
      </c>
      <c r="C331" s="5" t="s">
        <v>5743</v>
      </c>
      <c r="E331" t="s">
        <v>1715</v>
      </c>
      <c r="F331" t="s">
        <v>716</v>
      </c>
      <c r="G331" t="s">
        <v>5743</v>
      </c>
    </row>
    <row r="332" spans="1:7" x14ac:dyDescent="0.25">
      <c r="A332" t="s">
        <v>28</v>
      </c>
      <c r="B332" s="5">
        <v>39981</v>
      </c>
      <c r="C332" s="5" t="s">
        <v>3099</v>
      </c>
      <c r="D332" t="s">
        <v>3099</v>
      </c>
      <c r="E332" t="s">
        <v>1697</v>
      </c>
      <c r="F332" t="s">
        <v>717</v>
      </c>
      <c r="G332" t="s">
        <v>3099</v>
      </c>
    </row>
    <row r="333" spans="1:7" x14ac:dyDescent="0.25">
      <c r="A333" t="s">
        <v>156</v>
      </c>
      <c r="B333" s="5">
        <v>34841</v>
      </c>
      <c r="C333" s="5" t="s">
        <v>5744</v>
      </c>
      <c r="E333" t="s">
        <v>2260</v>
      </c>
      <c r="F333" t="s">
        <v>718</v>
      </c>
      <c r="G333" t="s">
        <v>5744</v>
      </c>
    </row>
    <row r="334" spans="1:7" x14ac:dyDescent="0.25">
      <c r="A334" t="s">
        <v>157</v>
      </c>
      <c r="B334" s="5">
        <v>42493</v>
      </c>
      <c r="C334" s="5" t="s">
        <v>3100</v>
      </c>
      <c r="D334" t="s">
        <v>3100</v>
      </c>
      <c r="E334" t="s">
        <v>1785</v>
      </c>
      <c r="F334" t="s">
        <v>719</v>
      </c>
      <c r="G334" t="s">
        <v>3100</v>
      </c>
    </row>
    <row r="335" spans="1:7" x14ac:dyDescent="0.25">
      <c r="A335" t="s">
        <v>158</v>
      </c>
      <c r="B335" s="5">
        <v>41043</v>
      </c>
      <c r="C335" s="5" t="s">
        <v>3101</v>
      </c>
      <c r="D335" t="s">
        <v>3101</v>
      </c>
      <c r="E335" t="s">
        <v>1353</v>
      </c>
      <c r="F335" t="s">
        <v>720</v>
      </c>
      <c r="G335" t="s">
        <v>3101</v>
      </c>
    </row>
    <row r="336" spans="1:7" x14ac:dyDescent="0.25">
      <c r="A336" t="s">
        <v>159</v>
      </c>
      <c r="B336" s="5">
        <v>34492</v>
      </c>
      <c r="C336" s="5" t="s">
        <v>5745</v>
      </c>
      <c r="E336" t="s">
        <v>2313</v>
      </c>
      <c r="F336" t="s">
        <v>721</v>
      </c>
      <c r="G336" t="s">
        <v>5745</v>
      </c>
    </row>
    <row r="337" spans="1:7" x14ac:dyDescent="0.25">
      <c r="A337" t="s">
        <v>130</v>
      </c>
      <c r="B337" s="5">
        <v>34130</v>
      </c>
      <c r="C337" s="5" t="s">
        <v>5746</v>
      </c>
      <c r="E337" t="s">
        <v>2400</v>
      </c>
      <c r="F337" t="s">
        <v>722</v>
      </c>
      <c r="G337" t="s">
        <v>5746</v>
      </c>
    </row>
    <row r="338" spans="1:7" x14ac:dyDescent="0.25">
      <c r="A338" t="s">
        <v>160</v>
      </c>
      <c r="B338" s="5">
        <v>34153</v>
      </c>
      <c r="C338" s="5" t="s">
        <v>5747</v>
      </c>
      <c r="E338" t="s">
        <v>2335</v>
      </c>
      <c r="F338" t="s">
        <v>723</v>
      </c>
      <c r="G338" t="s">
        <v>5747</v>
      </c>
    </row>
    <row r="339" spans="1:7" x14ac:dyDescent="0.25">
      <c r="A339" t="s">
        <v>161</v>
      </c>
      <c r="B339" s="5">
        <v>38889</v>
      </c>
      <c r="C339" s="5" t="s">
        <v>3102</v>
      </c>
      <c r="D339" t="s">
        <v>3102</v>
      </c>
      <c r="E339" t="s">
        <v>2087</v>
      </c>
      <c r="F339" t="s">
        <v>724</v>
      </c>
      <c r="G339" t="s">
        <v>3102</v>
      </c>
    </row>
    <row r="340" spans="1:7" x14ac:dyDescent="0.25">
      <c r="A340" t="s">
        <v>162</v>
      </c>
      <c r="B340" s="5">
        <v>42156</v>
      </c>
      <c r="C340" s="5" t="s">
        <v>3103</v>
      </c>
      <c r="D340" t="s">
        <v>3103</v>
      </c>
      <c r="E340" t="s">
        <v>1624</v>
      </c>
      <c r="F340" t="s">
        <v>725</v>
      </c>
      <c r="G340" t="s">
        <v>3103</v>
      </c>
    </row>
    <row r="341" spans="1:7" x14ac:dyDescent="0.25">
      <c r="A341" t="s">
        <v>22</v>
      </c>
      <c r="B341" s="5">
        <v>34066</v>
      </c>
      <c r="C341" s="5" t="s">
        <v>5748</v>
      </c>
      <c r="E341" t="s">
        <v>2663</v>
      </c>
      <c r="F341" t="s">
        <v>726</v>
      </c>
      <c r="G341" t="s">
        <v>5748</v>
      </c>
    </row>
    <row r="342" spans="1:7" x14ac:dyDescent="0.25">
      <c r="A342" t="s">
        <v>163</v>
      </c>
      <c r="B342" s="5">
        <v>39205</v>
      </c>
      <c r="C342" s="5" t="s">
        <v>5749</v>
      </c>
      <c r="E342" t="s">
        <v>2045</v>
      </c>
      <c r="F342" t="s">
        <v>727</v>
      </c>
      <c r="G342" t="s">
        <v>5749</v>
      </c>
    </row>
    <row r="343" spans="1:7" x14ac:dyDescent="0.25">
      <c r="A343" t="s">
        <v>140</v>
      </c>
      <c r="B343" s="5">
        <v>33784</v>
      </c>
      <c r="C343" s="5" t="s">
        <v>5750</v>
      </c>
      <c r="E343" t="s">
        <v>2544</v>
      </c>
      <c r="F343" t="s">
        <v>728</v>
      </c>
      <c r="G343" t="s">
        <v>5750</v>
      </c>
    </row>
    <row r="344" spans="1:7" x14ac:dyDescent="0.25">
      <c r="A344" t="s">
        <v>157</v>
      </c>
      <c r="B344" s="5">
        <v>42493</v>
      </c>
      <c r="C344" s="5" t="s">
        <v>3100</v>
      </c>
      <c r="D344" t="s">
        <v>3100</v>
      </c>
      <c r="E344" t="s">
        <v>1785</v>
      </c>
      <c r="F344" t="s">
        <v>729</v>
      </c>
      <c r="G344" t="s">
        <v>3100</v>
      </c>
    </row>
    <row r="345" spans="1:7" x14ac:dyDescent="0.25">
      <c r="A345" t="s">
        <v>52</v>
      </c>
      <c r="B345" s="5">
        <v>42171</v>
      </c>
      <c r="C345" s="5" t="s">
        <v>3104</v>
      </c>
      <c r="D345" t="s">
        <v>3104</v>
      </c>
      <c r="E345" t="s">
        <v>2030</v>
      </c>
      <c r="F345" t="s">
        <v>730</v>
      </c>
      <c r="G345" t="s">
        <v>3104</v>
      </c>
    </row>
    <row r="346" spans="1:7" x14ac:dyDescent="0.25">
      <c r="A346" t="s">
        <v>164</v>
      </c>
      <c r="B346" s="5">
        <v>42537</v>
      </c>
      <c r="C346" s="5" t="s">
        <v>3105</v>
      </c>
      <c r="D346" t="s">
        <v>3105</v>
      </c>
      <c r="E346" t="s">
        <v>1385</v>
      </c>
      <c r="F346" t="s">
        <v>731</v>
      </c>
      <c r="G346" t="s">
        <v>3105</v>
      </c>
    </row>
    <row r="347" spans="1:7" x14ac:dyDescent="0.25">
      <c r="A347" t="s">
        <v>165</v>
      </c>
      <c r="B347" s="5">
        <v>39615</v>
      </c>
      <c r="C347" s="5" t="s">
        <v>3106</v>
      </c>
      <c r="D347" t="s">
        <v>3106</v>
      </c>
      <c r="E347" t="s">
        <v>2022</v>
      </c>
      <c r="F347" t="s">
        <v>732</v>
      </c>
      <c r="G347" t="s">
        <v>3106</v>
      </c>
    </row>
    <row r="348" spans="1:7" x14ac:dyDescent="0.25">
      <c r="A348" t="s">
        <v>130</v>
      </c>
      <c r="B348" s="5">
        <v>40323</v>
      </c>
      <c r="C348" s="5" t="s">
        <v>3107</v>
      </c>
      <c r="D348" t="s">
        <v>3107</v>
      </c>
      <c r="E348" t="s">
        <v>1858</v>
      </c>
      <c r="F348" t="s">
        <v>733</v>
      </c>
      <c r="G348" t="s">
        <v>3107</v>
      </c>
    </row>
    <row r="349" spans="1:7" x14ac:dyDescent="0.25">
      <c r="A349" t="s">
        <v>166</v>
      </c>
      <c r="B349" s="5">
        <v>39932</v>
      </c>
      <c r="C349" s="5" t="s">
        <v>3108</v>
      </c>
      <c r="D349" t="s">
        <v>3108</v>
      </c>
      <c r="E349" t="s">
        <v>1596</v>
      </c>
      <c r="F349" t="s">
        <v>734</v>
      </c>
      <c r="G349" t="s">
        <v>3108</v>
      </c>
    </row>
    <row r="350" spans="1:7" x14ac:dyDescent="0.25">
      <c r="A350" t="s">
        <v>49</v>
      </c>
      <c r="B350" s="5">
        <v>35572</v>
      </c>
      <c r="C350" s="5" t="s">
        <v>5751</v>
      </c>
      <c r="E350" t="s">
        <v>1484</v>
      </c>
      <c r="F350" t="s">
        <v>735</v>
      </c>
      <c r="G350" t="s">
        <v>5751</v>
      </c>
    </row>
    <row r="351" spans="1:7" x14ac:dyDescent="0.25">
      <c r="A351" t="s">
        <v>39</v>
      </c>
      <c r="B351" s="5">
        <v>42136</v>
      </c>
      <c r="C351" s="5" t="s">
        <v>3109</v>
      </c>
      <c r="D351" t="s">
        <v>3109</v>
      </c>
      <c r="E351" t="s">
        <v>1944</v>
      </c>
      <c r="F351" t="s">
        <v>736</v>
      </c>
      <c r="G351" t="s">
        <v>3109</v>
      </c>
    </row>
    <row r="352" spans="1:7" x14ac:dyDescent="0.25">
      <c r="A352" t="s">
        <v>167</v>
      </c>
      <c r="B352" s="5">
        <v>39260</v>
      </c>
      <c r="C352" s="5" t="s">
        <v>3110</v>
      </c>
      <c r="D352" t="s">
        <v>3110</v>
      </c>
      <c r="E352" t="s">
        <v>1749</v>
      </c>
      <c r="F352" t="s">
        <v>737</v>
      </c>
      <c r="G352" t="s">
        <v>3110</v>
      </c>
    </row>
    <row r="353" spans="1:7" x14ac:dyDescent="0.25">
      <c r="A353" t="s">
        <v>57</v>
      </c>
      <c r="B353" s="5">
        <v>41799</v>
      </c>
      <c r="C353" s="5" t="s">
        <v>3111</v>
      </c>
      <c r="D353" t="s">
        <v>3111</v>
      </c>
      <c r="E353" t="s">
        <v>1821</v>
      </c>
      <c r="F353" t="s">
        <v>738</v>
      </c>
      <c r="G353" t="s">
        <v>3111</v>
      </c>
    </row>
    <row r="354" spans="1:7" x14ac:dyDescent="0.25">
      <c r="A354" t="s">
        <v>168</v>
      </c>
      <c r="B354" s="5">
        <v>34844</v>
      </c>
      <c r="C354" s="5" t="s">
        <v>5752</v>
      </c>
      <c r="E354" t="s">
        <v>2488</v>
      </c>
      <c r="F354" t="s">
        <v>739</v>
      </c>
      <c r="G354" t="s">
        <v>5752</v>
      </c>
    </row>
    <row r="355" spans="1:7" x14ac:dyDescent="0.25">
      <c r="A355" t="s">
        <v>39</v>
      </c>
      <c r="B355" s="5">
        <v>39930</v>
      </c>
      <c r="C355" s="5" t="s">
        <v>3112</v>
      </c>
      <c r="D355" t="s">
        <v>3112</v>
      </c>
      <c r="E355" t="s">
        <v>1702</v>
      </c>
      <c r="F355" t="s">
        <v>740</v>
      </c>
      <c r="G355" t="s">
        <v>3112</v>
      </c>
    </row>
    <row r="356" spans="1:7" x14ac:dyDescent="0.25">
      <c r="A356" t="s">
        <v>71</v>
      </c>
      <c r="B356" s="5">
        <v>37048</v>
      </c>
      <c r="C356" s="5" t="s">
        <v>5753</v>
      </c>
      <c r="E356" t="s">
        <v>2130</v>
      </c>
      <c r="F356" t="s">
        <v>741</v>
      </c>
      <c r="G356" t="s">
        <v>5753</v>
      </c>
    </row>
    <row r="357" spans="1:7" x14ac:dyDescent="0.25">
      <c r="A357" t="s">
        <v>18</v>
      </c>
      <c r="B357" s="5">
        <v>38517</v>
      </c>
      <c r="C357" s="5" t="s">
        <v>5754</v>
      </c>
      <c r="E357" t="s">
        <v>1564</v>
      </c>
      <c r="F357" t="s">
        <v>742</v>
      </c>
      <c r="G357" t="s">
        <v>5754</v>
      </c>
    </row>
    <row r="358" spans="1:7" x14ac:dyDescent="0.25">
      <c r="A358" t="s">
        <v>53</v>
      </c>
      <c r="B358" s="5">
        <v>39582</v>
      </c>
      <c r="C358" s="5" t="s">
        <v>3113</v>
      </c>
      <c r="D358" t="s">
        <v>3113</v>
      </c>
      <c r="E358" t="s">
        <v>1393</v>
      </c>
      <c r="F358" t="s">
        <v>743</v>
      </c>
      <c r="G358" t="s">
        <v>3113</v>
      </c>
    </row>
    <row r="359" spans="1:7" x14ac:dyDescent="0.25">
      <c r="A359" t="s">
        <v>140</v>
      </c>
      <c r="B359" s="5">
        <v>38854</v>
      </c>
      <c r="C359" s="5" t="s">
        <v>3114</v>
      </c>
      <c r="D359" t="s">
        <v>3114</v>
      </c>
      <c r="E359" t="s">
        <v>2140</v>
      </c>
      <c r="F359" t="s">
        <v>744</v>
      </c>
      <c r="G359" t="s">
        <v>3114</v>
      </c>
    </row>
    <row r="360" spans="1:7" x14ac:dyDescent="0.25">
      <c r="A360" t="s">
        <v>45</v>
      </c>
      <c r="B360" s="5">
        <v>34465</v>
      </c>
      <c r="C360" s="5" t="s">
        <v>5755</v>
      </c>
      <c r="E360" t="s">
        <v>2566</v>
      </c>
      <c r="F360" t="s">
        <v>745</v>
      </c>
      <c r="G360" t="s">
        <v>5755</v>
      </c>
    </row>
    <row r="361" spans="1:7" x14ac:dyDescent="0.25">
      <c r="A361" t="s">
        <v>169</v>
      </c>
      <c r="B361" s="5">
        <v>42534</v>
      </c>
      <c r="C361" s="5" t="s">
        <v>3115</v>
      </c>
      <c r="D361" t="s">
        <v>3115</v>
      </c>
      <c r="E361" t="s">
        <v>1888</v>
      </c>
      <c r="F361" t="s">
        <v>746</v>
      </c>
      <c r="G361" t="s">
        <v>3115</v>
      </c>
    </row>
    <row r="362" spans="1:7" x14ac:dyDescent="0.25">
      <c r="A362" t="s">
        <v>38</v>
      </c>
      <c r="B362" s="5">
        <v>34122</v>
      </c>
      <c r="C362" s="5" t="s">
        <v>5756</v>
      </c>
      <c r="E362" t="s">
        <v>2284</v>
      </c>
      <c r="F362" t="s">
        <v>747</v>
      </c>
      <c r="G362" t="s">
        <v>5756</v>
      </c>
    </row>
    <row r="363" spans="1:7" x14ac:dyDescent="0.25">
      <c r="A363" t="s">
        <v>170</v>
      </c>
      <c r="B363" s="5">
        <v>41752</v>
      </c>
      <c r="C363" s="5" t="s">
        <v>3116</v>
      </c>
      <c r="D363" t="s">
        <v>3116</v>
      </c>
      <c r="E363" t="s">
        <v>1641</v>
      </c>
      <c r="F363" t="s">
        <v>748</v>
      </c>
      <c r="G363" t="s">
        <v>3116</v>
      </c>
    </row>
    <row r="364" spans="1:7" x14ac:dyDescent="0.25">
      <c r="A364" t="s">
        <v>37</v>
      </c>
      <c r="B364" s="5">
        <v>42500</v>
      </c>
      <c r="C364" s="5" t="s">
        <v>3117</v>
      </c>
      <c r="D364" t="s">
        <v>3117</v>
      </c>
      <c r="E364" t="s">
        <v>1770</v>
      </c>
      <c r="F364" t="s">
        <v>749</v>
      </c>
      <c r="G364" t="s">
        <v>3117</v>
      </c>
    </row>
    <row r="365" spans="1:7" x14ac:dyDescent="0.25">
      <c r="A365" t="s">
        <v>45</v>
      </c>
      <c r="B365" s="5">
        <v>40702</v>
      </c>
      <c r="C365" s="5" t="s">
        <v>3118</v>
      </c>
      <c r="D365" t="s">
        <v>3118</v>
      </c>
      <c r="E365" t="s">
        <v>1643</v>
      </c>
      <c r="F365" t="s">
        <v>750</v>
      </c>
      <c r="G365" t="s">
        <v>3118</v>
      </c>
    </row>
    <row r="366" spans="1:7" x14ac:dyDescent="0.25">
      <c r="A366" t="s">
        <v>89</v>
      </c>
      <c r="B366" s="5">
        <v>34428</v>
      </c>
      <c r="C366" s="5" t="s">
        <v>5757</v>
      </c>
      <c r="E366" t="s">
        <v>2476</v>
      </c>
      <c r="F366" t="s">
        <v>751</v>
      </c>
      <c r="G366" t="s">
        <v>5757</v>
      </c>
    </row>
    <row r="367" spans="1:7" x14ac:dyDescent="0.25">
      <c r="A367" t="s">
        <v>171</v>
      </c>
      <c r="B367" s="5">
        <v>35949</v>
      </c>
      <c r="C367" s="5" t="s">
        <v>5758</v>
      </c>
      <c r="E367" t="s">
        <v>2151</v>
      </c>
      <c r="F367" t="s">
        <v>752</v>
      </c>
      <c r="G367" t="s">
        <v>5758</v>
      </c>
    </row>
    <row r="368" spans="1:7" x14ac:dyDescent="0.25">
      <c r="A368" t="s">
        <v>160</v>
      </c>
      <c r="B368" s="5">
        <v>33771</v>
      </c>
      <c r="C368" s="5" t="s">
        <v>5759</v>
      </c>
      <c r="E368" t="s">
        <v>2598</v>
      </c>
      <c r="F368" t="s">
        <v>753</v>
      </c>
      <c r="G368" t="s">
        <v>5759</v>
      </c>
    </row>
    <row r="369" spans="1:7" x14ac:dyDescent="0.25">
      <c r="A369" t="s">
        <v>172</v>
      </c>
      <c r="B369" s="5">
        <v>39608</v>
      </c>
      <c r="C369" s="5" t="s">
        <v>3119</v>
      </c>
      <c r="D369" t="s">
        <v>3119</v>
      </c>
      <c r="E369" t="s">
        <v>1997</v>
      </c>
      <c r="F369" t="s">
        <v>754</v>
      </c>
      <c r="G369" t="s">
        <v>3119</v>
      </c>
    </row>
    <row r="370" spans="1:7" x14ac:dyDescent="0.25">
      <c r="A370" t="s">
        <v>173</v>
      </c>
      <c r="B370" s="5">
        <v>41757</v>
      </c>
      <c r="C370" s="5" t="s">
        <v>3120</v>
      </c>
      <c r="D370" t="s">
        <v>3120</v>
      </c>
      <c r="E370" t="s">
        <v>1598</v>
      </c>
      <c r="F370" t="s">
        <v>755</v>
      </c>
      <c r="G370" t="s">
        <v>3120</v>
      </c>
    </row>
    <row r="371" spans="1:7" x14ac:dyDescent="0.25">
      <c r="A371" t="s">
        <v>168</v>
      </c>
      <c r="B371" s="5">
        <v>40709</v>
      </c>
      <c r="C371" s="5" t="s">
        <v>3121</v>
      </c>
      <c r="D371" t="s">
        <v>3121</v>
      </c>
      <c r="E371" t="s">
        <v>2032</v>
      </c>
      <c r="F371" t="s">
        <v>756</v>
      </c>
      <c r="G371" t="s">
        <v>3121</v>
      </c>
    </row>
    <row r="372" spans="1:7" x14ac:dyDescent="0.25">
      <c r="A372" t="s">
        <v>174</v>
      </c>
      <c r="B372" s="5">
        <v>39252</v>
      </c>
      <c r="C372" s="5" t="s">
        <v>3122</v>
      </c>
      <c r="D372" t="s">
        <v>3122</v>
      </c>
      <c r="E372" t="s">
        <v>1628</v>
      </c>
      <c r="F372" t="s">
        <v>757</v>
      </c>
      <c r="G372" t="s">
        <v>3122</v>
      </c>
    </row>
    <row r="373" spans="1:7" x14ac:dyDescent="0.25">
      <c r="A373" t="s">
        <v>18</v>
      </c>
      <c r="B373" s="5">
        <v>39989</v>
      </c>
      <c r="C373" s="5" t="s">
        <v>3123</v>
      </c>
      <c r="D373" t="s">
        <v>3123</v>
      </c>
      <c r="E373" t="s">
        <v>1878</v>
      </c>
      <c r="F373" t="s">
        <v>758</v>
      </c>
      <c r="G373" t="s">
        <v>3123</v>
      </c>
    </row>
    <row r="374" spans="1:7" x14ac:dyDescent="0.25">
      <c r="A374" t="s">
        <v>42</v>
      </c>
      <c r="B374" s="5">
        <v>34122</v>
      </c>
      <c r="C374" s="5" t="s">
        <v>5760</v>
      </c>
      <c r="E374" t="s">
        <v>2316</v>
      </c>
      <c r="F374" t="s">
        <v>759</v>
      </c>
      <c r="G374" t="s">
        <v>5760</v>
      </c>
    </row>
    <row r="375" spans="1:7" x14ac:dyDescent="0.25">
      <c r="A375" t="s">
        <v>56</v>
      </c>
      <c r="B375" s="5">
        <v>39238</v>
      </c>
      <c r="C375" s="5" t="s">
        <v>3124</v>
      </c>
      <c r="D375" t="s">
        <v>3124</v>
      </c>
      <c r="E375" t="s">
        <v>2121</v>
      </c>
      <c r="F375" t="s">
        <v>760</v>
      </c>
      <c r="G375" t="s">
        <v>3124</v>
      </c>
    </row>
    <row r="376" spans="1:7" x14ac:dyDescent="0.25">
      <c r="A376" t="s">
        <v>175</v>
      </c>
      <c r="B376" s="5">
        <v>34130</v>
      </c>
      <c r="C376" s="5" t="s">
        <v>5761</v>
      </c>
      <c r="E376" t="s">
        <v>2326</v>
      </c>
      <c r="F376" t="s">
        <v>761</v>
      </c>
      <c r="G376" t="s">
        <v>5761</v>
      </c>
    </row>
    <row r="377" spans="1:7" x14ac:dyDescent="0.25">
      <c r="A377" t="s">
        <v>43</v>
      </c>
      <c r="B377" s="5">
        <v>34116</v>
      </c>
      <c r="C377" s="5" t="s">
        <v>5762</v>
      </c>
      <c r="E377" t="s">
        <v>2620</v>
      </c>
      <c r="F377" t="s">
        <v>762</v>
      </c>
      <c r="G377" t="s">
        <v>5762</v>
      </c>
    </row>
    <row r="378" spans="1:7" x14ac:dyDescent="0.25">
      <c r="A378" t="s">
        <v>56</v>
      </c>
      <c r="B378" s="5">
        <v>39238</v>
      </c>
      <c r="C378" s="5" t="s">
        <v>3124</v>
      </c>
      <c r="D378" t="s">
        <v>3124</v>
      </c>
      <c r="E378" t="s">
        <v>2121</v>
      </c>
      <c r="F378" t="s">
        <v>763</v>
      </c>
      <c r="G378" t="s">
        <v>3124</v>
      </c>
    </row>
    <row r="379" spans="1:7" x14ac:dyDescent="0.25">
      <c r="A379" t="s">
        <v>40</v>
      </c>
      <c r="B379" s="5">
        <v>34128</v>
      </c>
      <c r="C379" s="5" t="s">
        <v>5763</v>
      </c>
      <c r="E379" t="s">
        <v>2281</v>
      </c>
      <c r="F379" t="s">
        <v>764</v>
      </c>
      <c r="G379" t="s">
        <v>5763</v>
      </c>
    </row>
    <row r="380" spans="1:7" x14ac:dyDescent="0.25">
      <c r="A380" t="s">
        <v>92</v>
      </c>
      <c r="B380" s="5">
        <v>34508</v>
      </c>
      <c r="C380" s="5" t="s">
        <v>5764</v>
      </c>
      <c r="E380" t="s">
        <v>2673</v>
      </c>
      <c r="F380" t="s">
        <v>765</v>
      </c>
      <c r="G380" t="s">
        <v>5764</v>
      </c>
    </row>
    <row r="381" spans="1:7" x14ac:dyDescent="0.25">
      <c r="A381" t="s">
        <v>57</v>
      </c>
      <c r="B381" s="5">
        <v>41444</v>
      </c>
      <c r="C381" s="5" t="s">
        <v>3125</v>
      </c>
      <c r="D381" t="s">
        <v>3125</v>
      </c>
      <c r="E381" t="s">
        <v>1615</v>
      </c>
      <c r="F381" t="s">
        <v>766</v>
      </c>
      <c r="G381" t="s">
        <v>3125</v>
      </c>
    </row>
    <row r="382" spans="1:7" x14ac:dyDescent="0.25">
      <c r="A382" t="s">
        <v>176</v>
      </c>
      <c r="B382" s="5">
        <v>40031</v>
      </c>
      <c r="C382" s="5" t="s">
        <v>3126</v>
      </c>
      <c r="D382" t="s">
        <v>3126</v>
      </c>
      <c r="E382" t="s">
        <v>1468</v>
      </c>
      <c r="F382" t="s">
        <v>767</v>
      </c>
      <c r="G382" t="s">
        <v>3126</v>
      </c>
    </row>
    <row r="383" spans="1:7" x14ac:dyDescent="0.25">
      <c r="A383" t="s">
        <v>177</v>
      </c>
      <c r="B383" s="5">
        <v>41086</v>
      </c>
      <c r="C383" s="5" t="s">
        <v>3127</v>
      </c>
      <c r="D383" t="s">
        <v>3127</v>
      </c>
      <c r="E383" t="s">
        <v>2026</v>
      </c>
      <c r="F383" t="s">
        <v>768</v>
      </c>
      <c r="G383" t="s">
        <v>3127</v>
      </c>
    </row>
    <row r="384" spans="1:7" x14ac:dyDescent="0.25">
      <c r="A384" t="s">
        <v>89</v>
      </c>
      <c r="B384" s="5">
        <v>33702</v>
      </c>
      <c r="C384" s="5" t="s">
        <v>5765</v>
      </c>
      <c r="E384" t="s">
        <v>2419</v>
      </c>
      <c r="F384" t="s">
        <v>769</v>
      </c>
      <c r="G384" t="s">
        <v>5765</v>
      </c>
    </row>
    <row r="385" spans="1:7" x14ac:dyDescent="0.25">
      <c r="A385" t="s">
        <v>42</v>
      </c>
      <c r="B385" s="5">
        <v>35205</v>
      </c>
      <c r="C385" s="5" t="s">
        <v>5766</v>
      </c>
      <c r="E385" t="s">
        <v>2641</v>
      </c>
      <c r="F385" t="s">
        <v>770</v>
      </c>
      <c r="G385" t="s">
        <v>5766</v>
      </c>
    </row>
    <row r="386" spans="1:7" x14ac:dyDescent="0.25">
      <c r="A386" t="s">
        <v>37</v>
      </c>
      <c r="B386" s="5">
        <v>34100</v>
      </c>
      <c r="C386" s="5" t="s">
        <v>5767</v>
      </c>
      <c r="E386" t="s">
        <v>2472</v>
      </c>
      <c r="F386" t="s">
        <v>771</v>
      </c>
      <c r="G386" t="s">
        <v>5767</v>
      </c>
    </row>
    <row r="387" spans="1:7" x14ac:dyDescent="0.25">
      <c r="A387" t="s">
        <v>162</v>
      </c>
      <c r="B387" s="5">
        <v>42156</v>
      </c>
      <c r="C387" s="5" t="s">
        <v>3103</v>
      </c>
      <c r="D387" t="s">
        <v>3103</v>
      </c>
      <c r="E387" t="s">
        <v>1624</v>
      </c>
      <c r="F387" t="s">
        <v>772</v>
      </c>
      <c r="G387" t="s">
        <v>3103</v>
      </c>
    </row>
    <row r="388" spans="1:7" x14ac:dyDescent="0.25">
      <c r="A388" t="s">
        <v>171</v>
      </c>
      <c r="B388" s="5">
        <v>35949</v>
      </c>
      <c r="C388" s="5" t="s">
        <v>5758</v>
      </c>
      <c r="E388" t="s">
        <v>2151</v>
      </c>
      <c r="F388" t="s">
        <v>773</v>
      </c>
      <c r="G388" t="s">
        <v>5758</v>
      </c>
    </row>
    <row r="389" spans="1:7" x14ac:dyDescent="0.25">
      <c r="A389" t="s">
        <v>28</v>
      </c>
      <c r="B389" s="5">
        <v>41828</v>
      </c>
      <c r="C389" s="5" t="s">
        <v>2992</v>
      </c>
      <c r="D389" t="s">
        <v>2992</v>
      </c>
      <c r="E389" t="s">
        <v>1588</v>
      </c>
      <c r="F389" t="s">
        <v>774</v>
      </c>
      <c r="G389" t="s">
        <v>2992</v>
      </c>
    </row>
    <row r="390" spans="1:7" x14ac:dyDescent="0.25">
      <c r="A390" t="s">
        <v>178</v>
      </c>
      <c r="B390" s="5">
        <v>40673</v>
      </c>
      <c r="C390" s="5" t="s">
        <v>3128</v>
      </c>
      <c r="D390" t="s">
        <v>3128</v>
      </c>
      <c r="E390" t="s">
        <v>1469</v>
      </c>
      <c r="F390" t="s">
        <v>775</v>
      </c>
      <c r="G390" t="s">
        <v>3128</v>
      </c>
    </row>
    <row r="391" spans="1:7" x14ac:dyDescent="0.25">
      <c r="A391" t="s">
        <v>102</v>
      </c>
      <c r="B391" s="5">
        <v>41079</v>
      </c>
      <c r="C391" s="5" t="s">
        <v>3129</v>
      </c>
      <c r="D391" t="s">
        <v>3129</v>
      </c>
      <c r="E391" t="s">
        <v>1827</v>
      </c>
      <c r="F391" t="s">
        <v>776</v>
      </c>
      <c r="G391" t="s">
        <v>3129</v>
      </c>
    </row>
    <row r="392" spans="1:7" x14ac:dyDescent="0.25">
      <c r="A392" t="s">
        <v>160</v>
      </c>
      <c r="B392" s="5">
        <v>34521</v>
      </c>
      <c r="C392" s="5" t="s">
        <v>5768</v>
      </c>
      <c r="E392" t="s">
        <v>2274</v>
      </c>
      <c r="F392" t="s">
        <v>777</v>
      </c>
      <c r="G392" t="s">
        <v>5768</v>
      </c>
    </row>
    <row r="393" spans="1:7" x14ac:dyDescent="0.25">
      <c r="A393" t="s">
        <v>160</v>
      </c>
      <c r="B393" s="5">
        <v>38913</v>
      </c>
      <c r="C393" s="5" t="s">
        <v>5769</v>
      </c>
      <c r="E393" t="s">
        <v>1363</v>
      </c>
      <c r="F393" t="s">
        <v>778</v>
      </c>
      <c r="G393" t="s">
        <v>5769</v>
      </c>
    </row>
    <row r="394" spans="1:7" x14ac:dyDescent="0.25">
      <c r="A394" t="s">
        <v>159</v>
      </c>
      <c r="B394" s="5">
        <v>33777</v>
      </c>
      <c r="C394" s="5" t="s">
        <v>5770</v>
      </c>
      <c r="E394" t="s">
        <v>2449</v>
      </c>
      <c r="F394" t="s">
        <v>779</v>
      </c>
      <c r="G394" t="s">
        <v>5770</v>
      </c>
    </row>
    <row r="395" spans="1:7" x14ac:dyDescent="0.25">
      <c r="A395" t="s">
        <v>18</v>
      </c>
      <c r="B395" s="5">
        <v>33743</v>
      </c>
      <c r="C395" s="5" t="s">
        <v>5771</v>
      </c>
      <c r="F395" t="s">
        <v>780</v>
      </c>
      <c r="G395" t="s">
        <v>5771</v>
      </c>
    </row>
    <row r="396" spans="1:7" x14ac:dyDescent="0.25">
      <c r="A396" t="s">
        <v>176</v>
      </c>
      <c r="B396" s="5">
        <v>40031</v>
      </c>
      <c r="C396" s="5" t="s">
        <v>3126</v>
      </c>
      <c r="D396" t="s">
        <v>3126</v>
      </c>
      <c r="E396" t="s">
        <v>1468</v>
      </c>
      <c r="F396" t="s">
        <v>781</v>
      </c>
      <c r="G396" t="s">
        <v>3126</v>
      </c>
    </row>
    <row r="397" spans="1:7" x14ac:dyDescent="0.25">
      <c r="A397" t="s">
        <v>179</v>
      </c>
      <c r="B397" s="5">
        <v>42535</v>
      </c>
      <c r="C397" s="5" t="s">
        <v>3130</v>
      </c>
      <c r="D397" t="s">
        <v>3130</v>
      </c>
      <c r="E397" t="s">
        <v>1508</v>
      </c>
      <c r="F397" t="s">
        <v>782</v>
      </c>
      <c r="G397" t="s">
        <v>3130</v>
      </c>
    </row>
    <row r="398" spans="1:7" x14ac:dyDescent="0.25">
      <c r="A398" t="s">
        <v>49</v>
      </c>
      <c r="B398" s="5">
        <v>42537</v>
      </c>
      <c r="C398" s="5" t="s">
        <v>3131</v>
      </c>
      <c r="D398" t="s">
        <v>3131</v>
      </c>
      <c r="E398" t="s">
        <v>1820</v>
      </c>
      <c r="F398" t="s">
        <v>783</v>
      </c>
      <c r="G398" t="s">
        <v>3131</v>
      </c>
    </row>
    <row r="399" spans="1:7" x14ac:dyDescent="0.25">
      <c r="A399" t="s">
        <v>146</v>
      </c>
      <c r="B399" s="5">
        <v>33727</v>
      </c>
      <c r="C399" s="5" t="s">
        <v>5772</v>
      </c>
      <c r="F399" t="s">
        <v>784</v>
      </c>
      <c r="G399" t="s">
        <v>5772</v>
      </c>
    </row>
    <row r="400" spans="1:7" x14ac:dyDescent="0.25">
      <c r="A400" t="s">
        <v>140</v>
      </c>
      <c r="B400" s="5">
        <v>39979</v>
      </c>
      <c r="C400" s="5" t="s">
        <v>3132</v>
      </c>
      <c r="D400" t="s">
        <v>3132</v>
      </c>
      <c r="E400" t="s">
        <v>1938</v>
      </c>
      <c r="F400" t="s">
        <v>785</v>
      </c>
      <c r="G400" t="s">
        <v>3132</v>
      </c>
    </row>
    <row r="401" spans="1:7" x14ac:dyDescent="0.25">
      <c r="A401" t="s">
        <v>33</v>
      </c>
      <c r="B401" s="5">
        <v>34121</v>
      </c>
      <c r="C401" s="5" t="s">
        <v>5773</v>
      </c>
      <c r="E401" t="s">
        <v>2481</v>
      </c>
      <c r="F401" t="s">
        <v>786</v>
      </c>
      <c r="G401" t="s">
        <v>5773</v>
      </c>
    </row>
    <row r="402" spans="1:7" x14ac:dyDescent="0.25">
      <c r="A402" t="s">
        <v>105</v>
      </c>
      <c r="B402" s="5">
        <v>34122</v>
      </c>
      <c r="C402" s="5" t="s">
        <v>5774</v>
      </c>
      <c r="E402" t="s">
        <v>2356</v>
      </c>
      <c r="F402" t="s">
        <v>787</v>
      </c>
      <c r="G402" t="s">
        <v>5774</v>
      </c>
    </row>
    <row r="403" spans="1:7" x14ac:dyDescent="0.25">
      <c r="A403" t="s">
        <v>79</v>
      </c>
      <c r="B403" s="5">
        <v>35927</v>
      </c>
      <c r="C403" s="5" t="s">
        <v>5775</v>
      </c>
      <c r="E403" t="s">
        <v>1771</v>
      </c>
      <c r="F403" t="s">
        <v>788</v>
      </c>
      <c r="G403" t="s">
        <v>5775</v>
      </c>
    </row>
    <row r="404" spans="1:7" x14ac:dyDescent="0.25">
      <c r="A404" t="s">
        <v>163</v>
      </c>
      <c r="B404" s="5">
        <v>42492</v>
      </c>
      <c r="C404" s="5" t="s">
        <v>3133</v>
      </c>
      <c r="D404" t="s">
        <v>3133</v>
      </c>
      <c r="E404" t="s">
        <v>1465</v>
      </c>
      <c r="F404" t="s">
        <v>789</v>
      </c>
      <c r="G404" t="s">
        <v>3133</v>
      </c>
    </row>
    <row r="405" spans="1:7" x14ac:dyDescent="0.25">
      <c r="A405" t="s">
        <v>159</v>
      </c>
      <c r="B405" s="5">
        <v>34129</v>
      </c>
      <c r="C405" s="5" t="s">
        <v>5776</v>
      </c>
      <c r="E405" t="s">
        <v>2590</v>
      </c>
      <c r="F405" t="s">
        <v>790</v>
      </c>
      <c r="G405" t="s">
        <v>5776</v>
      </c>
    </row>
    <row r="406" spans="1:7" x14ac:dyDescent="0.25">
      <c r="A406" t="s">
        <v>55</v>
      </c>
      <c r="B406" s="5">
        <v>39981</v>
      </c>
      <c r="C406" s="5" t="s">
        <v>3005</v>
      </c>
      <c r="D406" t="s">
        <v>3005</v>
      </c>
      <c r="E406" t="s">
        <v>1799</v>
      </c>
      <c r="F406" t="s">
        <v>791</v>
      </c>
      <c r="G406" t="s">
        <v>3005</v>
      </c>
    </row>
    <row r="407" spans="1:7" x14ac:dyDescent="0.25">
      <c r="A407" t="s">
        <v>180</v>
      </c>
      <c r="B407" s="5">
        <v>39225</v>
      </c>
      <c r="C407" s="5" t="s">
        <v>3134</v>
      </c>
      <c r="D407" t="s">
        <v>3134</v>
      </c>
      <c r="E407" t="s">
        <v>1936</v>
      </c>
      <c r="F407" t="s">
        <v>792</v>
      </c>
      <c r="G407" t="s">
        <v>3134</v>
      </c>
    </row>
    <row r="408" spans="1:7" x14ac:dyDescent="0.25">
      <c r="A408" t="s">
        <v>151</v>
      </c>
      <c r="B408" s="5">
        <v>39582</v>
      </c>
      <c r="C408" s="5" t="s">
        <v>3135</v>
      </c>
      <c r="D408" t="s">
        <v>3135</v>
      </c>
      <c r="E408" t="s">
        <v>1555</v>
      </c>
      <c r="F408" t="s">
        <v>793</v>
      </c>
      <c r="G408" t="s">
        <v>3135</v>
      </c>
    </row>
    <row r="409" spans="1:7" x14ac:dyDescent="0.25">
      <c r="A409" t="s">
        <v>39</v>
      </c>
      <c r="B409" s="5">
        <v>42136</v>
      </c>
      <c r="C409" s="5" t="s">
        <v>3109</v>
      </c>
      <c r="D409" t="s">
        <v>3109</v>
      </c>
      <c r="E409" t="s">
        <v>1944</v>
      </c>
      <c r="F409" t="s">
        <v>794</v>
      </c>
      <c r="G409" t="s">
        <v>3109</v>
      </c>
    </row>
    <row r="410" spans="1:7" x14ac:dyDescent="0.25">
      <c r="A410" t="s">
        <v>181</v>
      </c>
      <c r="B410" s="5">
        <v>42534</v>
      </c>
      <c r="C410" s="5" t="s">
        <v>3136</v>
      </c>
      <c r="D410" t="s">
        <v>3136</v>
      </c>
      <c r="E410" t="s">
        <v>1707</v>
      </c>
      <c r="F410" t="s">
        <v>795</v>
      </c>
      <c r="G410" t="s">
        <v>3136</v>
      </c>
    </row>
    <row r="411" spans="1:7" x14ac:dyDescent="0.25">
      <c r="A411" t="s">
        <v>17</v>
      </c>
      <c r="B411" s="5">
        <v>40687</v>
      </c>
      <c r="C411" s="5" t="s">
        <v>5777</v>
      </c>
      <c r="F411" t="s">
        <v>796</v>
      </c>
      <c r="G411" t="s">
        <v>5777</v>
      </c>
    </row>
    <row r="412" spans="1:7" x14ac:dyDescent="0.25">
      <c r="A412" t="s">
        <v>87</v>
      </c>
      <c r="B412" s="5">
        <v>40353</v>
      </c>
      <c r="C412" s="5" t="s">
        <v>3137</v>
      </c>
      <c r="D412" t="s">
        <v>3137</v>
      </c>
      <c r="E412" t="s">
        <v>1846</v>
      </c>
      <c r="F412" t="s">
        <v>797</v>
      </c>
      <c r="G412" t="s">
        <v>3137</v>
      </c>
    </row>
    <row r="413" spans="1:7" x14ac:dyDescent="0.25">
      <c r="A413" t="s">
        <v>22</v>
      </c>
      <c r="B413" s="5">
        <v>34801</v>
      </c>
      <c r="C413" s="5" t="s">
        <v>5778</v>
      </c>
      <c r="E413" t="s">
        <v>2653</v>
      </c>
      <c r="F413" t="s">
        <v>798</v>
      </c>
      <c r="G413" t="s">
        <v>5778</v>
      </c>
    </row>
    <row r="414" spans="1:7" x14ac:dyDescent="0.25">
      <c r="A414" t="s">
        <v>49</v>
      </c>
      <c r="B414" s="5">
        <v>34492</v>
      </c>
      <c r="C414" s="5" t="s">
        <v>5779</v>
      </c>
      <c r="E414" t="s">
        <v>2496</v>
      </c>
      <c r="F414" t="s">
        <v>799</v>
      </c>
      <c r="G414" t="s">
        <v>5779</v>
      </c>
    </row>
    <row r="415" spans="1:7" x14ac:dyDescent="0.25">
      <c r="A415" t="s">
        <v>161</v>
      </c>
      <c r="B415" s="5">
        <v>36690</v>
      </c>
      <c r="C415" s="5" t="s">
        <v>5780</v>
      </c>
      <c r="E415" t="s">
        <v>1409</v>
      </c>
      <c r="F415" t="s">
        <v>800</v>
      </c>
      <c r="G415" t="s">
        <v>5780</v>
      </c>
    </row>
    <row r="416" spans="1:7" x14ac:dyDescent="0.25">
      <c r="A416" t="s">
        <v>33</v>
      </c>
      <c r="B416" s="5">
        <v>35204</v>
      </c>
      <c r="C416" s="5" t="s">
        <v>5781</v>
      </c>
      <c r="E416" t="s">
        <v>2199</v>
      </c>
      <c r="F416" t="s">
        <v>801</v>
      </c>
      <c r="G416" t="s">
        <v>5781</v>
      </c>
    </row>
    <row r="417" spans="1:7" x14ac:dyDescent="0.25">
      <c r="A417" t="s">
        <v>62</v>
      </c>
      <c r="B417" s="5">
        <v>39251</v>
      </c>
      <c r="C417" s="5" t="s">
        <v>3138</v>
      </c>
      <c r="D417" t="s">
        <v>3138</v>
      </c>
      <c r="E417" t="s">
        <v>1410</v>
      </c>
      <c r="F417" t="s">
        <v>802</v>
      </c>
      <c r="G417" t="s">
        <v>3138</v>
      </c>
    </row>
    <row r="418" spans="1:7" x14ac:dyDescent="0.25">
      <c r="A418" t="s">
        <v>182</v>
      </c>
      <c r="B418" s="5">
        <v>42493</v>
      </c>
      <c r="C418" s="5" t="s">
        <v>3139</v>
      </c>
      <c r="D418" t="s">
        <v>3139</v>
      </c>
      <c r="E418" t="s">
        <v>2159</v>
      </c>
      <c r="F418" t="s">
        <v>803</v>
      </c>
      <c r="G418" t="s">
        <v>3139</v>
      </c>
    </row>
    <row r="419" spans="1:7" x14ac:dyDescent="0.25">
      <c r="A419" t="s">
        <v>42</v>
      </c>
      <c r="B419" s="5">
        <v>33743</v>
      </c>
      <c r="C419" s="5" t="s">
        <v>5782</v>
      </c>
      <c r="E419" t="s">
        <v>2645</v>
      </c>
      <c r="F419" t="s">
        <v>804</v>
      </c>
      <c r="G419" t="s">
        <v>5782</v>
      </c>
    </row>
    <row r="420" spans="1:7" x14ac:dyDescent="0.25">
      <c r="A420" t="s">
        <v>36</v>
      </c>
      <c r="B420" s="5">
        <v>42541</v>
      </c>
      <c r="C420" s="5" t="s">
        <v>2996</v>
      </c>
      <c r="D420" t="s">
        <v>2996</v>
      </c>
      <c r="E420" t="s">
        <v>2158</v>
      </c>
      <c r="F420" t="s">
        <v>805</v>
      </c>
      <c r="G420" t="s">
        <v>2996</v>
      </c>
    </row>
    <row r="421" spans="1:7" x14ac:dyDescent="0.25">
      <c r="A421" t="s">
        <v>159</v>
      </c>
      <c r="B421" s="5">
        <v>37068</v>
      </c>
      <c r="C421" s="5" t="s">
        <v>5783</v>
      </c>
      <c r="E421" t="s">
        <v>2132</v>
      </c>
      <c r="F421" t="s">
        <v>806</v>
      </c>
      <c r="G421" t="s">
        <v>5783</v>
      </c>
    </row>
    <row r="422" spans="1:7" x14ac:dyDescent="0.25">
      <c r="A422" t="s">
        <v>149</v>
      </c>
      <c r="B422" s="5">
        <v>42172</v>
      </c>
      <c r="C422" s="5" t="s">
        <v>3140</v>
      </c>
      <c r="D422" t="s">
        <v>3140</v>
      </c>
      <c r="E422" t="s">
        <v>1396</v>
      </c>
      <c r="F422" t="s">
        <v>807</v>
      </c>
      <c r="G422" t="s">
        <v>3140</v>
      </c>
    </row>
    <row r="423" spans="1:7" x14ac:dyDescent="0.25">
      <c r="A423" t="s">
        <v>97</v>
      </c>
      <c r="B423" s="5">
        <v>37070</v>
      </c>
      <c r="C423" s="5" t="s">
        <v>5633</v>
      </c>
      <c r="E423" t="s">
        <v>1595</v>
      </c>
      <c r="F423" t="s">
        <v>808</v>
      </c>
      <c r="G423" t="s">
        <v>5633</v>
      </c>
    </row>
    <row r="424" spans="1:7" x14ac:dyDescent="0.25">
      <c r="A424" t="s">
        <v>183</v>
      </c>
      <c r="B424" s="5">
        <v>34820</v>
      </c>
      <c r="C424" s="5" t="s">
        <v>5784</v>
      </c>
      <c r="E424" t="s">
        <v>2364</v>
      </c>
      <c r="F424" t="s">
        <v>809</v>
      </c>
      <c r="G424" t="s">
        <v>5784</v>
      </c>
    </row>
    <row r="425" spans="1:7" x14ac:dyDescent="0.25">
      <c r="A425" t="s">
        <v>184</v>
      </c>
      <c r="B425" s="5">
        <v>38913</v>
      </c>
      <c r="C425" s="5" t="s">
        <v>5785</v>
      </c>
      <c r="E425" t="s">
        <v>1545</v>
      </c>
      <c r="F425" t="s">
        <v>810</v>
      </c>
      <c r="G425" t="s">
        <v>5785</v>
      </c>
    </row>
    <row r="426" spans="1:7" x14ac:dyDescent="0.25">
      <c r="A426" t="s">
        <v>185</v>
      </c>
      <c r="B426" s="5">
        <v>40337</v>
      </c>
      <c r="C426" s="5" t="s">
        <v>5786</v>
      </c>
      <c r="E426" t="s">
        <v>1984</v>
      </c>
      <c r="F426" t="s">
        <v>811</v>
      </c>
      <c r="G426" t="s">
        <v>5786</v>
      </c>
    </row>
    <row r="427" spans="1:7" x14ac:dyDescent="0.25">
      <c r="A427" t="s">
        <v>186</v>
      </c>
      <c r="B427" s="5">
        <v>38111</v>
      </c>
      <c r="C427" s="5" t="s">
        <v>5787</v>
      </c>
      <c r="E427" t="s">
        <v>1538</v>
      </c>
      <c r="F427" t="s">
        <v>812</v>
      </c>
      <c r="G427" t="s">
        <v>5787</v>
      </c>
    </row>
    <row r="428" spans="1:7" x14ac:dyDescent="0.25">
      <c r="A428" t="s">
        <v>184</v>
      </c>
      <c r="B428" s="5">
        <v>38479</v>
      </c>
      <c r="C428" s="5" t="s">
        <v>5788</v>
      </c>
      <c r="E428" t="s">
        <v>1744</v>
      </c>
      <c r="F428" t="s">
        <v>813</v>
      </c>
      <c r="G428" t="s">
        <v>5788</v>
      </c>
    </row>
    <row r="429" spans="1:7" x14ac:dyDescent="0.25">
      <c r="A429" t="s">
        <v>187</v>
      </c>
      <c r="B429" s="5">
        <v>41394</v>
      </c>
      <c r="C429" s="5" t="s">
        <v>3141</v>
      </c>
      <c r="D429" t="s">
        <v>3141</v>
      </c>
      <c r="E429" t="s">
        <v>1783</v>
      </c>
      <c r="F429" t="s">
        <v>814</v>
      </c>
      <c r="G429" t="s">
        <v>3141</v>
      </c>
    </row>
    <row r="430" spans="1:7" x14ac:dyDescent="0.25">
      <c r="A430" t="s">
        <v>188</v>
      </c>
      <c r="B430" s="5">
        <v>37005</v>
      </c>
      <c r="C430" s="5" t="s">
        <v>5789</v>
      </c>
      <c r="E430" t="s">
        <v>1593</v>
      </c>
      <c r="F430" t="s">
        <v>815</v>
      </c>
      <c r="G430" t="s">
        <v>5789</v>
      </c>
    </row>
    <row r="431" spans="1:7" x14ac:dyDescent="0.25">
      <c r="A431" t="s">
        <v>189</v>
      </c>
      <c r="B431" s="5">
        <v>34822</v>
      </c>
      <c r="C431" s="5" t="s">
        <v>5790</v>
      </c>
      <c r="E431" t="s">
        <v>2662</v>
      </c>
      <c r="F431" t="s">
        <v>816</v>
      </c>
      <c r="G431" t="s">
        <v>5790</v>
      </c>
    </row>
    <row r="432" spans="1:7" x14ac:dyDescent="0.25">
      <c r="A432" t="s">
        <v>183</v>
      </c>
      <c r="B432" s="5">
        <v>41015</v>
      </c>
      <c r="C432" s="5" t="s">
        <v>3142</v>
      </c>
      <c r="D432" t="s">
        <v>3142</v>
      </c>
      <c r="E432" t="s">
        <v>1709</v>
      </c>
      <c r="F432" t="s">
        <v>817</v>
      </c>
      <c r="G432" t="s">
        <v>3142</v>
      </c>
    </row>
    <row r="433" spans="1:7" x14ac:dyDescent="0.25">
      <c r="A433" t="s">
        <v>190</v>
      </c>
      <c r="B433" s="5">
        <v>34458</v>
      </c>
      <c r="C433" s="5" t="s">
        <v>5791</v>
      </c>
      <c r="E433" t="s">
        <v>2201</v>
      </c>
      <c r="F433" t="s">
        <v>818</v>
      </c>
      <c r="G433" t="s">
        <v>5791</v>
      </c>
    </row>
    <row r="434" spans="1:7" x14ac:dyDescent="0.25">
      <c r="A434" t="s">
        <v>191</v>
      </c>
      <c r="B434" s="5">
        <v>34809</v>
      </c>
      <c r="C434" s="5" t="s">
        <v>5792</v>
      </c>
      <c r="E434" t="s">
        <v>2342</v>
      </c>
      <c r="F434" t="s">
        <v>819</v>
      </c>
      <c r="G434" t="s">
        <v>5792</v>
      </c>
    </row>
    <row r="435" spans="1:7" x14ac:dyDescent="0.25">
      <c r="A435" t="s">
        <v>192</v>
      </c>
      <c r="B435" s="5">
        <v>37001</v>
      </c>
      <c r="C435" s="5" t="s">
        <v>5793</v>
      </c>
      <c r="E435" t="s">
        <v>1819</v>
      </c>
      <c r="F435" t="s">
        <v>820</v>
      </c>
      <c r="G435" t="s">
        <v>5793</v>
      </c>
    </row>
    <row r="436" spans="1:7" x14ac:dyDescent="0.25">
      <c r="A436" t="s">
        <v>193</v>
      </c>
      <c r="B436" s="5">
        <v>34100</v>
      </c>
      <c r="C436" s="5" t="s">
        <v>5794</v>
      </c>
      <c r="E436" t="s">
        <v>2298</v>
      </c>
      <c r="F436" t="s">
        <v>821</v>
      </c>
      <c r="G436" t="s">
        <v>5794</v>
      </c>
    </row>
    <row r="437" spans="1:7" x14ac:dyDescent="0.25">
      <c r="A437" t="s">
        <v>190</v>
      </c>
      <c r="B437" s="5">
        <v>34087</v>
      </c>
      <c r="C437" s="5" t="s">
        <v>5795</v>
      </c>
      <c r="E437" t="s">
        <v>2262</v>
      </c>
      <c r="F437" t="s">
        <v>822</v>
      </c>
      <c r="G437" t="s">
        <v>5795</v>
      </c>
    </row>
    <row r="438" spans="1:7" x14ac:dyDescent="0.25">
      <c r="A438" t="s">
        <v>194</v>
      </c>
      <c r="B438" s="5">
        <v>40345</v>
      </c>
      <c r="C438" s="5" t="s">
        <v>3143</v>
      </c>
      <c r="D438" t="s">
        <v>3143</v>
      </c>
      <c r="E438" t="s">
        <v>1824</v>
      </c>
      <c r="F438" t="s">
        <v>823</v>
      </c>
      <c r="G438" t="s">
        <v>3143</v>
      </c>
    </row>
    <row r="439" spans="1:7" x14ac:dyDescent="0.25">
      <c r="A439" t="s">
        <v>195</v>
      </c>
      <c r="B439" s="5">
        <v>34841</v>
      </c>
      <c r="C439" s="5" t="s">
        <v>5796</v>
      </c>
      <c r="E439" t="s">
        <v>2343</v>
      </c>
      <c r="F439" t="s">
        <v>824</v>
      </c>
      <c r="G439" t="s">
        <v>5796</v>
      </c>
    </row>
    <row r="440" spans="1:7" x14ac:dyDescent="0.25">
      <c r="A440" t="s">
        <v>196</v>
      </c>
      <c r="B440" s="5">
        <v>37350</v>
      </c>
      <c r="C440" s="5" t="s">
        <v>5797</v>
      </c>
      <c r="E440" t="s">
        <v>2143</v>
      </c>
      <c r="F440" t="s">
        <v>825</v>
      </c>
      <c r="G440" t="s">
        <v>5797</v>
      </c>
    </row>
    <row r="441" spans="1:7" x14ac:dyDescent="0.25">
      <c r="A441" t="s">
        <v>197</v>
      </c>
      <c r="B441" s="5">
        <v>39583</v>
      </c>
      <c r="C441" s="5" t="s">
        <v>3144</v>
      </c>
      <c r="D441" t="s">
        <v>3144</v>
      </c>
      <c r="E441" t="s">
        <v>1535</v>
      </c>
      <c r="F441" t="s">
        <v>826</v>
      </c>
      <c r="G441" t="s">
        <v>3144</v>
      </c>
    </row>
    <row r="442" spans="1:7" x14ac:dyDescent="0.25">
      <c r="A442" t="s">
        <v>198</v>
      </c>
      <c r="B442" s="5">
        <v>34081</v>
      </c>
      <c r="C442" s="5" t="s">
        <v>5798</v>
      </c>
      <c r="E442" t="s">
        <v>2623</v>
      </c>
      <c r="F442" t="s">
        <v>827</v>
      </c>
      <c r="G442" t="s">
        <v>5798</v>
      </c>
    </row>
    <row r="443" spans="1:7" x14ac:dyDescent="0.25">
      <c r="A443" t="s">
        <v>199</v>
      </c>
      <c r="B443" s="5">
        <v>34820</v>
      </c>
      <c r="C443" s="5" t="s">
        <v>5799</v>
      </c>
      <c r="F443" t="s">
        <v>828</v>
      </c>
      <c r="G443" t="s">
        <v>5799</v>
      </c>
    </row>
    <row r="444" spans="1:7" x14ac:dyDescent="0.25">
      <c r="A444" t="s">
        <v>200</v>
      </c>
      <c r="B444" s="5">
        <v>41744</v>
      </c>
      <c r="C444" s="5" t="s">
        <v>3145</v>
      </c>
      <c r="D444" t="s">
        <v>3145</v>
      </c>
      <c r="E444" t="s">
        <v>1948</v>
      </c>
      <c r="F444" t="s">
        <v>829</v>
      </c>
      <c r="G444" t="s">
        <v>3145</v>
      </c>
    </row>
    <row r="445" spans="1:7" x14ac:dyDescent="0.25">
      <c r="A445" t="s">
        <v>201</v>
      </c>
      <c r="B445" s="5">
        <v>41002</v>
      </c>
      <c r="C445" s="5" t="s">
        <v>3146</v>
      </c>
      <c r="D445" t="s">
        <v>3146</v>
      </c>
      <c r="E445" t="s">
        <v>2162</v>
      </c>
      <c r="F445" t="s">
        <v>830</v>
      </c>
      <c r="G445" t="s">
        <v>3146</v>
      </c>
    </row>
    <row r="446" spans="1:7" x14ac:dyDescent="0.25">
      <c r="A446" t="s">
        <v>202</v>
      </c>
      <c r="B446" s="5">
        <v>42494</v>
      </c>
      <c r="C446" s="5" t="s">
        <v>5800</v>
      </c>
      <c r="E446" t="s">
        <v>2154</v>
      </c>
      <c r="F446" t="s">
        <v>831</v>
      </c>
      <c r="G446" t="s">
        <v>5800</v>
      </c>
    </row>
    <row r="447" spans="1:7" x14ac:dyDescent="0.25">
      <c r="A447" t="s">
        <v>203</v>
      </c>
      <c r="B447" s="5">
        <v>41389</v>
      </c>
      <c r="C447" s="5" t="s">
        <v>3147</v>
      </c>
      <c r="D447" t="s">
        <v>3147</v>
      </c>
      <c r="E447" t="s">
        <v>1592</v>
      </c>
      <c r="F447" t="s">
        <v>832</v>
      </c>
      <c r="G447" t="s">
        <v>3147</v>
      </c>
    </row>
    <row r="448" spans="1:7" x14ac:dyDescent="0.25">
      <c r="A448" t="s">
        <v>204</v>
      </c>
      <c r="B448" s="5">
        <v>41366</v>
      </c>
      <c r="C448" s="5" t="s">
        <v>3148</v>
      </c>
      <c r="D448" t="s">
        <v>3148</v>
      </c>
      <c r="E448" t="s">
        <v>1394</v>
      </c>
      <c r="F448" t="s">
        <v>833</v>
      </c>
      <c r="G448" t="s">
        <v>3148</v>
      </c>
    </row>
    <row r="449" spans="1:7" x14ac:dyDescent="0.25">
      <c r="A449" t="s">
        <v>205</v>
      </c>
      <c r="B449" s="5">
        <v>38478</v>
      </c>
      <c r="C449" s="5" t="s">
        <v>5801</v>
      </c>
      <c r="E449" t="s">
        <v>1869</v>
      </c>
      <c r="F449" t="s">
        <v>834</v>
      </c>
      <c r="G449" t="s">
        <v>5801</v>
      </c>
    </row>
    <row r="450" spans="1:7" x14ac:dyDescent="0.25">
      <c r="A450" t="s">
        <v>206</v>
      </c>
      <c r="B450" s="5">
        <v>42129</v>
      </c>
      <c r="C450" s="5" t="s">
        <v>5802</v>
      </c>
      <c r="E450" t="s">
        <v>1694</v>
      </c>
      <c r="F450" t="s">
        <v>835</v>
      </c>
      <c r="G450" t="s">
        <v>5802</v>
      </c>
    </row>
    <row r="451" spans="1:7" x14ac:dyDescent="0.25">
      <c r="A451" t="s">
        <v>207</v>
      </c>
      <c r="B451" s="5">
        <v>40344</v>
      </c>
      <c r="C451" s="5" t="s">
        <v>3149</v>
      </c>
      <c r="D451" t="s">
        <v>3149</v>
      </c>
      <c r="E451" t="s">
        <v>2157</v>
      </c>
      <c r="F451" t="s">
        <v>836</v>
      </c>
      <c r="G451" t="s">
        <v>3149</v>
      </c>
    </row>
    <row r="452" spans="1:7" x14ac:dyDescent="0.25">
      <c r="A452" t="s">
        <v>208</v>
      </c>
      <c r="B452" s="5">
        <v>38819</v>
      </c>
      <c r="C452" s="5" t="s">
        <v>3150</v>
      </c>
      <c r="D452" t="s">
        <v>3150</v>
      </c>
      <c r="E452" t="s">
        <v>2155</v>
      </c>
      <c r="F452" t="s">
        <v>837</v>
      </c>
      <c r="G452" t="s">
        <v>3150</v>
      </c>
    </row>
    <row r="453" spans="1:7" x14ac:dyDescent="0.25">
      <c r="A453" t="s">
        <v>209</v>
      </c>
      <c r="B453" s="5">
        <v>33727</v>
      </c>
      <c r="C453" s="5" t="s">
        <v>5803</v>
      </c>
      <c r="E453" t="s">
        <v>2436</v>
      </c>
      <c r="F453" t="s">
        <v>838</v>
      </c>
      <c r="G453" t="s">
        <v>5803</v>
      </c>
    </row>
    <row r="454" spans="1:7" x14ac:dyDescent="0.25">
      <c r="A454" t="s">
        <v>210</v>
      </c>
      <c r="B454" s="5">
        <v>34815</v>
      </c>
      <c r="C454" s="5" t="s">
        <v>5804</v>
      </c>
      <c r="E454" t="s">
        <v>2613</v>
      </c>
      <c r="F454" t="s">
        <v>839</v>
      </c>
      <c r="G454" t="s">
        <v>5804</v>
      </c>
    </row>
    <row r="455" spans="1:7" x14ac:dyDescent="0.25">
      <c r="A455" t="s">
        <v>211</v>
      </c>
      <c r="B455" s="5">
        <v>42464</v>
      </c>
      <c r="C455" s="5" t="s">
        <v>3151</v>
      </c>
      <c r="D455" t="s">
        <v>3151</v>
      </c>
      <c r="E455" t="s">
        <v>1883</v>
      </c>
      <c r="F455" t="s">
        <v>840</v>
      </c>
      <c r="G455" t="s">
        <v>3151</v>
      </c>
    </row>
    <row r="456" spans="1:7" x14ac:dyDescent="0.25">
      <c r="A456" t="s">
        <v>212</v>
      </c>
      <c r="B456" s="5">
        <v>40339</v>
      </c>
      <c r="C456" s="5" t="s">
        <v>3152</v>
      </c>
      <c r="D456" t="s">
        <v>3152</v>
      </c>
      <c r="E456" t="s">
        <v>1629</v>
      </c>
      <c r="F456" t="s">
        <v>841</v>
      </c>
      <c r="G456" t="s">
        <v>3152</v>
      </c>
    </row>
    <row r="457" spans="1:7" x14ac:dyDescent="0.25">
      <c r="A457" t="s">
        <v>211</v>
      </c>
      <c r="B457" s="5">
        <v>39909</v>
      </c>
      <c r="C457" s="5" t="s">
        <v>3153</v>
      </c>
      <c r="D457" t="s">
        <v>3153</v>
      </c>
      <c r="E457" t="s">
        <v>1782</v>
      </c>
      <c r="F457" t="s">
        <v>842</v>
      </c>
      <c r="G457" t="s">
        <v>3153</v>
      </c>
    </row>
    <row r="458" spans="1:7" x14ac:dyDescent="0.25">
      <c r="A458" t="s">
        <v>213</v>
      </c>
      <c r="B458" s="5">
        <v>40717</v>
      </c>
      <c r="C458" s="5" t="s">
        <v>3154</v>
      </c>
      <c r="D458" t="s">
        <v>3154</v>
      </c>
      <c r="E458" t="s">
        <v>1803</v>
      </c>
      <c r="F458" t="s">
        <v>843</v>
      </c>
      <c r="G458" t="s">
        <v>3154</v>
      </c>
    </row>
    <row r="459" spans="1:7" x14ac:dyDescent="0.25">
      <c r="A459" t="s">
        <v>188</v>
      </c>
      <c r="B459" s="5">
        <v>39931</v>
      </c>
      <c r="C459" s="5" t="s">
        <v>3155</v>
      </c>
      <c r="D459" t="s">
        <v>3155</v>
      </c>
      <c r="E459" t="s">
        <v>2153</v>
      </c>
      <c r="F459" t="s">
        <v>844</v>
      </c>
      <c r="G459" t="s">
        <v>3155</v>
      </c>
    </row>
    <row r="460" spans="1:7" x14ac:dyDescent="0.25">
      <c r="A460" t="s">
        <v>183</v>
      </c>
      <c r="B460" s="5">
        <v>34066</v>
      </c>
      <c r="C460" s="5" t="s">
        <v>5805</v>
      </c>
      <c r="E460" t="s">
        <v>2686</v>
      </c>
      <c r="F460" t="s">
        <v>845</v>
      </c>
      <c r="G460" t="s">
        <v>5805</v>
      </c>
    </row>
    <row r="461" spans="1:7" x14ac:dyDescent="0.25">
      <c r="A461" t="s">
        <v>214</v>
      </c>
      <c r="B461" s="5">
        <v>38481</v>
      </c>
      <c r="C461" s="5" t="s">
        <v>5806</v>
      </c>
      <c r="E461" t="s">
        <v>1921</v>
      </c>
      <c r="F461" t="s">
        <v>846</v>
      </c>
      <c r="G461" t="s">
        <v>5806</v>
      </c>
    </row>
    <row r="462" spans="1:7" x14ac:dyDescent="0.25">
      <c r="A462" t="s">
        <v>215</v>
      </c>
      <c r="B462" s="5">
        <v>41428</v>
      </c>
      <c r="C462" s="5" t="s">
        <v>3156</v>
      </c>
      <c r="D462" t="s">
        <v>3156</v>
      </c>
      <c r="E462" t="s">
        <v>1485</v>
      </c>
      <c r="F462" t="s">
        <v>847</v>
      </c>
      <c r="G462" t="s">
        <v>3156</v>
      </c>
    </row>
    <row r="463" spans="1:7" x14ac:dyDescent="0.25">
      <c r="A463" t="s">
        <v>205</v>
      </c>
      <c r="B463" s="5">
        <v>38913</v>
      </c>
      <c r="C463" s="5" t="s">
        <v>5807</v>
      </c>
      <c r="E463" t="s">
        <v>2024</v>
      </c>
      <c r="F463" t="s">
        <v>848</v>
      </c>
      <c r="G463" t="s">
        <v>5807</v>
      </c>
    </row>
    <row r="464" spans="1:7" x14ac:dyDescent="0.25">
      <c r="A464" t="s">
        <v>216</v>
      </c>
      <c r="B464" s="5">
        <v>42116</v>
      </c>
      <c r="C464" s="5" t="s">
        <v>3157</v>
      </c>
      <c r="D464" t="s">
        <v>3157</v>
      </c>
      <c r="E464" t="s">
        <v>2046</v>
      </c>
      <c r="F464" t="s">
        <v>849</v>
      </c>
      <c r="G464" t="s">
        <v>3157</v>
      </c>
    </row>
    <row r="465" spans="1:7" x14ac:dyDescent="0.25">
      <c r="A465" t="s">
        <v>217</v>
      </c>
      <c r="B465" s="5">
        <v>38448</v>
      </c>
      <c r="C465" s="5" t="s">
        <v>5808</v>
      </c>
      <c r="E465" t="s">
        <v>1816</v>
      </c>
      <c r="F465" t="s">
        <v>850</v>
      </c>
      <c r="G465" t="s">
        <v>5808</v>
      </c>
    </row>
    <row r="466" spans="1:7" x14ac:dyDescent="0.25">
      <c r="A466" t="s">
        <v>218</v>
      </c>
      <c r="B466" s="5">
        <v>40339</v>
      </c>
      <c r="C466" s="5" t="s">
        <v>3158</v>
      </c>
      <c r="D466" t="s">
        <v>3158</v>
      </c>
      <c r="E466" t="s">
        <v>2145</v>
      </c>
      <c r="F466" t="s">
        <v>851</v>
      </c>
      <c r="G466" t="s">
        <v>3158</v>
      </c>
    </row>
    <row r="467" spans="1:7" x14ac:dyDescent="0.25">
      <c r="A467" t="s">
        <v>187</v>
      </c>
      <c r="B467" s="5">
        <v>39566</v>
      </c>
      <c r="C467" s="5" t="s">
        <v>3159</v>
      </c>
      <c r="D467" t="s">
        <v>3159</v>
      </c>
      <c r="E467" t="s">
        <v>2002</v>
      </c>
      <c r="F467" t="s">
        <v>852</v>
      </c>
      <c r="G467" t="s">
        <v>3159</v>
      </c>
    </row>
    <row r="468" spans="1:7" x14ac:dyDescent="0.25">
      <c r="A468" t="s">
        <v>219</v>
      </c>
      <c r="B468" s="5">
        <v>34491</v>
      </c>
      <c r="C468" s="5" t="s">
        <v>5809</v>
      </c>
      <c r="E468" t="s">
        <v>2336</v>
      </c>
      <c r="F468" t="s">
        <v>853</v>
      </c>
      <c r="G468" t="s">
        <v>5809</v>
      </c>
    </row>
    <row r="469" spans="1:7" x14ac:dyDescent="0.25">
      <c r="A469" t="s">
        <v>220</v>
      </c>
      <c r="B469" s="5">
        <v>40696</v>
      </c>
      <c r="C469" s="5" t="s">
        <v>3160</v>
      </c>
      <c r="D469" t="s">
        <v>3160</v>
      </c>
      <c r="E469" t="s">
        <v>1745</v>
      </c>
      <c r="F469" t="s">
        <v>854</v>
      </c>
      <c r="G469" t="s">
        <v>3160</v>
      </c>
    </row>
    <row r="470" spans="1:7" x14ac:dyDescent="0.25">
      <c r="A470" t="s">
        <v>221</v>
      </c>
      <c r="B470" s="5">
        <v>39924</v>
      </c>
      <c r="C470" s="5" t="s">
        <v>3161</v>
      </c>
      <c r="D470" t="s">
        <v>3161</v>
      </c>
      <c r="E470" t="s">
        <v>2040</v>
      </c>
      <c r="F470" t="s">
        <v>855</v>
      </c>
      <c r="G470" t="s">
        <v>3161</v>
      </c>
    </row>
    <row r="471" spans="1:7" x14ac:dyDescent="0.25">
      <c r="A471" t="s">
        <v>222</v>
      </c>
      <c r="B471" s="5">
        <v>34464</v>
      </c>
      <c r="C471" s="5" t="s">
        <v>5810</v>
      </c>
      <c r="E471" t="s">
        <v>2261</v>
      </c>
      <c r="F471" t="s">
        <v>856</v>
      </c>
      <c r="G471" t="s">
        <v>5810</v>
      </c>
    </row>
    <row r="472" spans="1:7" x14ac:dyDescent="0.25">
      <c r="A472" t="s">
        <v>223</v>
      </c>
      <c r="B472" s="5">
        <v>41380</v>
      </c>
      <c r="C472" s="5" t="s">
        <v>3162</v>
      </c>
      <c r="D472" t="s">
        <v>3162</v>
      </c>
      <c r="E472" t="s">
        <v>2117</v>
      </c>
      <c r="F472" t="s">
        <v>857</v>
      </c>
      <c r="G472" t="s">
        <v>3162</v>
      </c>
    </row>
    <row r="473" spans="1:7" x14ac:dyDescent="0.25">
      <c r="A473" t="s">
        <v>224</v>
      </c>
      <c r="B473" s="5">
        <v>38484</v>
      </c>
      <c r="C473" s="5" t="s">
        <v>5811</v>
      </c>
      <c r="E473" t="s">
        <v>1825</v>
      </c>
      <c r="F473" t="s">
        <v>858</v>
      </c>
      <c r="G473" t="s">
        <v>5811</v>
      </c>
    </row>
    <row r="474" spans="1:7" x14ac:dyDescent="0.25">
      <c r="A474" t="s">
        <v>225</v>
      </c>
      <c r="B474" s="5">
        <v>33764</v>
      </c>
      <c r="C474" s="5" t="s">
        <v>5812</v>
      </c>
      <c r="E474" t="s">
        <v>2453</v>
      </c>
      <c r="F474" t="s">
        <v>859</v>
      </c>
      <c r="G474" t="s">
        <v>5812</v>
      </c>
    </row>
    <row r="475" spans="1:7" x14ac:dyDescent="0.25">
      <c r="A475" t="s">
        <v>226</v>
      </c>
      <c r="B475" s="5">
        <v>34088</v>
      </c>
      <c r="C475" s="5" t="s">
        <v>5813</v>
      </c>
      <c r="E475" t="s">
        <v>2303</v>
      </c>
      <c r="F475" t="s">
        <v>860</v>
      </c>
      <c r="G475" t="s">
        <v>5813</v>
      </c>
    </row>
    <row r="476" spans="1:7" x14ac:dyDescent="0.25">
      <c r="A476" t="s">
        <v>227</v>
      </c>
      <c r="B476" s="5">
        <v>35192</v>
      </c>
      <c r="C476" s="5" t="s">
        <v>5814</v>
      </c>
      <c r="E476" t="s">
        <v>2482</v>
      </c>
      <c r="F476" t="s">
        <v>861</v>
      </c>
      <c r="G476" t="s">
        <v>5814</v>
      </c>
    </row>
    <row r="477" spans="1:7" x14ac:dyDescent="0.25">
      <c r="A477" t="s">
        <v>228</v>
      </c>
      <c r="B477" s="5">
        <v>39968</v>
      </c>
      <c r="C477" s="5" t="s">
        <v>3163</v>
      </c>
      <c r="D477" t="s">
        <v>3163</v>
      </c>
      <c r="E477" t="s">
        <v>1835</v>
      </c>
      <c r="F477" t="s">
        <v>862</v>
      </c>
      <c r="G477" t="s">
        <v>3163</v>
      </c>
    </row>
    <row r="478" spans="1:7" x14ac:dyDescent="0.25">
      <c r="A478" t="s">
        <v>229</v>
      </c>
      <c r="B478" s="5">
        <v>40343</v>
      </c>
      <c r="C478" s="5" t="s">
        <v>5815</v>
      </c>
      <c r="F478" t="s">
        <v>863</v>
      </c>
      <c r="G478" t="s">
        <v>5815</v>
      </c>
    </row>
    <row r="479" spans="1:7" x14ac:dyDescent="0.25">
      <c r="A479" t="s">
        <v>193</v>
      </c>
      <c r="B479" s="5">
        <v>34828</v>
      </c>
      <c r="C479" s="5" t="s">
        <v>5816</v>
      </c>
      <c r="E479" t="s">
        <v>2660</v>
      </c>
      <c r="F479" t="s">
        <v>864</v>
      </c>
      <c r="G479" t="s">
        <v>5816</v>
      </c>
    </row>
    <row r="480" spans="1:7" x14ac:dyDescent="0.25">
      <c r="A480" t="s">
        <v>230</v>
      </c>
      <c r="B480" s="5">
        <v>39624</v>
      </c>
      <c r="C480" s="5" t="s">
        <v>3164</v>
      </c>
      <c r="D480" t="s">
        <v>3164</v>
      </c>
      <c r="E480" t="s">
        <v>1533</v>
      </c>
      <c r="F480" t="s">
        <v>865</v>
      </c>
      <c r="G480" t="s">
        <v>3164</v>
      </c>
    </row>
    <row r="481" spans="1:7" x14ac:dyDescent="0.25">
      <c r="A481" t="s">
        <v>231</v>
      </c>
      <c r="B481" s="5">
        <v>41368</v>
      </c>
      <c r="C481" s="5" t="s">
        <v>3165</v>
      </c>
      <c r="D481" t="s">
        <v>3165</v>
      </c>
      <c r="E481" t="s">
        <v>1872</v>
      </c>
      <c r="F481" t="s">
        <v>866</v>
      </c>
      <c r="G481" t="s">
        <v>3165</v>
      </c>
    </row>
    <row r="482" spans="1:7" x14ac:dyDescent="0.25">
      <c r="A482" t="s">
        <v>232</v>
      </c>
      <c r="B482" s="5">
        <v>41016</v>
      </c>
      <c r="C482" s="5" t="s">
        <v>3166</v>
      </c>
      <c r="D482" t="s">
        <v>3166</v>
      </c>
      <c r="E482" t="s">
        <v>1525</v>
      </c>
      <c r="F482" t="s">
        <v>867</v>
      </c>
      <c r="G482" t="s">
        <v>3166</v>
      </c>
    </row>
    <row r="483" spans="1:7" x14ac:dyDescent="0.25">
      <c r="A483" t="s">
        <v>222</v>
      </c>
      <c r="B483" s="5">
        <v>41402</v>
      </c>
      <c r="C483" s="5" t="s">
        <v>3167</v>
      </c>
      <c r="D483" t="s">
        <v>3167</v>
      </c>
      <c r="E483" t="s">
        <v>1503</v>
      </c>
      <c r="F483" t="s">
        <v>868</v>
      </c>
      <c r="G483" t="s">
        <v>3167</v>
      </c>
    </row>
    <row r="484" spans="1:7" x14ac:dyDescent="0.25">
      <c r="A484" t="s">
        <v>233</v>
      </c>
      <c r="B484" s="5">
        <v>34107</v>
      </c>
      <c r="C484" s="5" t="s">
        <v>5817</v>
      </c>
      <c r="E484" t="s">
        <v>2393</v>
      </c>
      <c r="F484" t="s">
        <v>869</v>
      </c>
      <c r="G484" t="s">
        <v>5817</v>
      </c>
    </row>
    <row r="485" spans="1:7" x14ac:dyDescent="0.25">
      <c r="A485" t="s">
        <v>234</v>
      </c>
      <c r="B485" s="5">
        <v>41744</v>
      </c>
      <c r="C485" s="5" t="s">
        <v>3168</v>
      </c>
      <c r="D485" t="s">
        <v>3168</v>
      </c>
      <c r="E485" t="s">
        <v>1470</v>
      </c>
      <c r="F485" t="s">
        <v>870</v>
      </c>
      <c r="G485" t="s">
        <v>3168</v>
      </c>
    </row>
    <row r="486" spans="1:7" x14ac:dyDescent="0.25">
      <c r="A486" t="s">
        <v>235</v>
      </c>
      <c r="B486" s="5">
        <v>40287</v>
      </c>
      <c r="C486" s="5" t="s">
        <v>3169</v>
      </c>
      <c r="D486" t="s">
        <v>3169</v>
      </c>
      <c r="E486" t="s">
        <v>1981</v>
      </c>
      <c r="F486" t="s">
        <v>871</v>
      </c>
      <c r="G486" t="s">
        <v>3169</v>
      </c>
    </row>
    <row r="487" spans="1:7" x14ac:dyDescent="0.25">
      <c r="A487" t="s">
        <v>236</v>
      </c>
      <c r="B487" s="5">
        <v>34150</v>
      </c>
      <c r="C487" s="5" t="s">
        <v>5818</v>
      </c>
      <c r="E487" t="s">
        <v>2444</v>
      </c>
      <c r="F487" t="s">
        <v>872</v>
      </c>
      <c r="G487" t="s">
        <v>5818</v>
      </c>
    </row>
    <row r="488" spans="1:7" x14ac:dyDescent="0.25">
      <c r="A488" t="s">
        <v>237</v>
      </c>
      <c r="B488" s="5">
        <v>34519</v>
      </c>
      <c r="C488" s="5" t="s">
        <v>5819</v>
      </c>
      <c r="E488" t="s">
        <v>2670</v>
      </c>
      <c r="F488" t="s">
        <v>873</v>
      </c>
      <c r="G488" t="s">
        <v>5819</v>
      </c>
    </row>
    <row r="489" spans="1:7" x14ac:dyDescent="0.25">
      <c r="A489" t="s">
        <v>238</v>
      </c>
      <c r="B489" s="5">
        <v>38496</v>
      </c>
      <c r="C489" s="5" t="s">
        <v>5820</v>
      </c>
      <c r="E489" t="s">
        <v>1404</v>
      </c>
      <c r="F489" t="s">
        <v>874</v>
      </c>
      <c r="G489" t="s">
        <v>5820</v>
      </c>
    </row>
    <row r="490" spans="1:7" x14ac:dyDescent="0.25">
      <c r="A490" t="s">
        <v>239</v>
      </c>
      <c r="B490" s="5">
        <v>34079</v>
      </c>
      <c r="C490" s="5" t="s">
        <v>5821</v>
      </c>
      <c r="E490" t="s">
        <v>2212</v>
      </c>
      <c r="F490" t="s">
        <v>875</v>
      </c>
      <c r="G490" t="s">
        <v>5821</v>
      </c>
    </row>
    <row r="491" spans="1:7" x14ac:dyDescent="0.25">
      <c r="A491" t="s">
        <v>240</v>
      </c>
      <c r="B491" s="5">
        <v>41382</v>
      </c>
      <c r="C491" s="5" t="s">
        <v>3170</v>
      </c>
      <c r="D491" t="s">
        <v>3170</v>
      </c>
      <c r="E491" t="s">
        <v>1567</v>
      </c>
      <c r="F491" t="s">
        <v>876</v>
      </c>
      <c r="G491" t="s">
        <v>3170</v>
      </c>
    </row>
    <row r="492" spans="1:7" x14ac:dyDescent="0.25">
      <c r="A492" t="s">
        <v>241</v>
      </c>
      <c r="B492" s="5">
        <v>34075</v>
      </c>
      <c r="C492" s="5" t="s">
        <v>5822</v>
      </c>
      <c r="E492" t="s">
        <v>2596</v>
      </c>
      <c r="F492" t="s">
        <v>877</v>
      </c>
      <c r="G492" t="s">
        <v>5822</v>
      </c>
    </row>
    <row r="493" spans="1:7" x14ac:dyDescent="0.25">
      <c r="A493" t="s">
        <v>242</v>
      </c>
      <c r="B493" s="5">
        <v>38463</v>
      </c>
      <c r="C493" s="5" t="s">
        <v>5823</v>
      </c>
      <c r="E493" t="s">
        <v>1442</v>
      </c>
      <c r="F493" t="s">
        <v>878</v>
      </c>
      <c r="G493" t="s">
        <v>5823</v>
      </c>
    </row>
    <row r="494" spans="1:7" x14ac:dyDescent="0.25">
      <c r="A494" t="s">
        <v>243</v>
      </c>
      <c r="B494" s="5">
        <v>35184</v>
      </c>
      <c r="C494" s="5" t="s">
        <v>5824</v>
      </c>
      <c r="E494" t="s">
        <v>2424</v>
      </c>
      <c r="F494" t="s">
        <v>879</v>
      </c>
      <c r="G494" t="s">
        <v>5824</v>
      </c>
    </row>
    <row r="495" spans="1:7" x14ac:dyDescent="0.25">
      <c r="A495" t="s">
        <v>204</v>
      </c>
      <c r="B495" s="5">
        <v>41003</v>
      </c>
      <c r="C495" s="5" t="s">
        <v>3171</v>
      </c>
      <c r="D495" t="s">
        <v>3171</v>
      </c>
      <c r="E495" t="s">
        <v>1479</v>
      </c>
      <c r="F495" t="s">
        <v>880</v>
      </c>
      <c r="G495" t="s">
        <v>3171</v>
      </c>
    </row>
    <row r="496" spans="1:7" x14ac:dyDescent="0.25">
      <c r="A496" t="s">
        <v>244</v>
      </c>
      <c r="B496" s="5">
        <v>41382</v>
      </c>
      <c r="C496" s="5" t="s">
        <v>3172</v>
      </c>
      <c r="D496" t="s">
        <v>3172</v>
      </c>
      <c r="E496" t="s">
        <v>1787</v>
      </c>
      <c r="F496" t="s">
        <v>881</v>
      </c>
      <c r="G496" t="s">
        <v>3172</v>
      </c>
    </row>
    <row r="497" spans="1:7" x14ac:dyDescent="0.25">
      <c r="A497" t="s">
        <v>184</v>
      </c>
      <c r="B497" s="5">
        <v>34522</v>
      </c>
      <c r="C497" s="5" t="s">
        <v>5825</v>
      </c>
      <c r="E497" t="s">
        <v>2433</v>
      </c>
      <c r="F497" t="s">
        <v>882</v>
      </c>
      <c r="G497" t="s">
        <v>5825</v>
      </c>
    </row>
    <row r="498" spans="1:7" x14ac:dyDescent="0.25">
      <c r="A498" t="s">
        <v>245</v>
      </c>
      <c r="B498" s="5">
        <v>41442</v>
      </c>
      <c r="C498" s="5" t="s">
        <v>3173</v>
      </c>
      <c r="D498" t="s">
        <v>3173</v>
      </c>
      <c r="E498" t="s">
        <v>1528</v>
      </c>
      <c r="F498" t="s">
        <v>883</v>
      </c>
      <c r="G498" t="s">
        <v>3173</v>
      </c>
    </row>
    <row r="499" spans="1:7" x14ac:dyDescent="0.25">
      <c r="A499" t="s">
        <v>246</v>
      </c>
      <c r="B499" s="5">
        <v>38477</v>
      </c>
      <c r="C499" s="5" t="s">
        <v>5826</v>
      </c>
      <c r="E499" t="s">
        <v>1794</v>
      </c>
      <c r="F499" t="s">
        <v>884</v>
      </c>
      <c r="G499" t="s">
        <v>5826</v>
      </c>
    </row>
    <row r="500" spans="1:7" x14ac:dyDescent="0.25">
      <c r="A500" t="s">
        <v>195</v>
      </c>
      <c r="B500" s="5">
        <v>39567</v>
      </c>
      <c r="C500" s="5" t="s">
        <v>3174</v>
      </c>
      <c r="D500" t="s">
        <v>3174</v>
      </c>
      <c r="E500" t="s">
        <v>1953</v>
      </c>
      <c r="F500" t="s">
        <v>885</v>
      </c>
      <c r="G500" t="s">
        <v>3174</v>
      </c>
    </row>
    <row r="501" spans="1:7" x14ac:dyDescent="0.25">
      <c r="A501" t="s">
        <v>247</v>
      </c>
      <c r="B501" s="5">
        <v>37349</v>
      </c>
      <c r="C501" s="5" t="s">
        <v>5827</v>
      </c>
      <c r="E501" t="s">
        <v>1429</v>
      </c>
      <c r="F501" t="s">
        <v>886</v>
      </c>
      <c r="G501" t="s">
        <v>5827</v>
      </c>
    </row>
    <row r="502" spans="1:7" x14ac:dyDescent="0.25">
      <c r="A502" t="s">
        <v>248</v>
      </c>
      <c r="B502" s="5">
        <v>34815</v>
      </c>
      <c r="C502" s="5" t="s">
        <v>5828</v>
      </c>
      <c r="E502" t="s">
        <v>2469</v>
      </c>
      <c r="F502" t="s">
        <v>887</v>
      </c>
      <c r="G502" t="s">
        <v>5828</v>
      </c>
    </row>
    <row r="503" spans="1:7" x14ac:dyDescent="0.25">
      <c r="A503" t="s">
        <v>249</v>
      </c>
      <c r="B503" s="5">
        <v>41389</v>
      </c>
      <c r="C503" s="5" t="s">
        <v>3175</v>
      </c>
      <c r="D503" t="s">
        <v>3175</v>
      </c>
      <c r="E503" t="s">
        <v>2071</v>
      </c>
      <c r="F503" t="s">
        <v>888</v>
      </c>
      <c r="G503" t="s">
        <v>3175</v>
      </c>
    </row>
    <row r="504" spans="1:7" x14ac:dyDescent="0.25">
      <c r="A504" t="s">
        <v>237</v>
      </c>
      <c r="B504" s="5">
        <v>33769</v>
      </c>
      <c r="C504" s="5" t="s">
        <v>5829</v>
      </c>
      <c r="E504" t="s">
        <v>2574</v>
      </c>
      <c r="F504" t="s">
        <v>889</v>
      </c>
      <c r="G504" t="s">
        <v>5829</v>
      </c>
    </row>
    <row r="505" spans="1:7" x14ac:dyDescent="0.25">
      <c r="A505" t="s">
        <v>250</v>
      </c>
      <c r="B505" s="5">
        <v>42507</v>
      </c>
      <c r="C505" s="5" t="s">
        <v>3176</v>
      </c>
      <c r="D505" t="s">
        <v>3176</v>
      </c>
      <c r="E505" t="s">
        <v>1432</v>
      </c>
      <c r="F505" t="s">
        <v>890</v>
      </c>
      <c r="G505" t="s">
        <v>3176</v>
      </c>
    </row>
    <row r="506" spans="1:7" x14ac:dyDescent="0.25">
      <c r="A506" t="s">
        <v>242</v>
      </c>
      <c r="B506" s="5">
        <v>37734</v>
      </c>
      <c r="C506" s="5" t="s">
        <v>5830</v>
      </c>
      <c r="E506" t="s">
        <v>1517</v>
      </c>
      <c r="F506" t="s">
        <v>891</v>
      </c>
      <c r="G506" t="s">
        <v>5830</v>
      </c>
    </row>
    <row r="507" spans="1:7" x14ac:dyDescent="0.25">
      <c r="A507" t="s">
        <v>251</v>
      </c>
      <c r="B507" s="5">
        <v>34806</v>
      </c>
      <c r="C507" s="5" t="s">
        <v>5831</v>
      </c>
      <c r="E507" t="s">
        <v>2196</v>
      </c>
      <c r="F507" t="s">
        <v>892</v>
      </c>
      <c r="G507" t="s">
        <v>5831</v>
      </c>
    </row>
    <row r="508" spans="1:7" x14ac:dyDescent="0.25">
      <c r="A508" t="s">
        <v>252</v>
      </c>
      <c r="B508" s="5">
        <v>34115</v>
      </c>
      <c r="C508" s="5" t="s">
        <v>5832</v>
      </c>
      <c r="E508" t="s">
        <v>2220</v>
      </c>
      <c r="F508" t="s">
        <v>893</v>
      </c>
      <c r="G508" t="s">
        <v>5832</v>
      </c>
    </row>
    <row r="509" spans="1:7" x14ac:dyDescent="0.25">
      <c r="A509" t="s">
        <v>253</v>
      </c>
      <c r="B509" s="5">
        <v>34814</v>
      </c>
      <c r="C509" s="5" t="s">
        <v>5833</v>
      </c>
      <c r="E509" t="s">
        <v>2703</v>
      </c>
      <c r="F509" t="s">
        <v>894</v>
      </c>
      <c r="G509" t="s">
        <v>5833</v>
      </c>
    </row>
    <row r="510" spans="1:7" x14ac:dyDescent="0.25">
      <c r="A510" t="s">
        <v>254</v>
      </c>
      <c r="B510" s="5">
        <v>36993</v>
      </c>
      <c r="C510" s="5" t="s">
        <v>5834</v>
      </c>
      <c r="F510" t="s">
        <v>895</v>
      </c>
      <c r="G510" t="s">
        <v>5834</v>
      </c>
    </row>
    <row r="511" spans="1:7" x14ac:dyDescent="0.25">
      <c r="A511" t="s">
        <v>255</v>
      </c>
      <c r="B511" s="5">
        <v>33716</v>
      </c>
      <c r="C511" s="5" t="s">
        <v>5835</v>
      </c>
      <c r="E511" t="s">
        <v>2477</v>
      </c>
      <c r="F511" t="s">
        <v>896</v>
      </c>
      <c r="G511" t="s">
        <v>5835</v>
      </c>
    </row>
    <row r="512" spans="1:7" x14ac:dyDescent="0.25">
      <c r="A512" t="s">
        <v>256</v>
      </c>
      <c r="B512" s="5">
        <v>35549</v>
      </c>
      <c r="C512" s="5" t="s">
        <v>5836</v>
      </c>
      <c r="E512" t="s">
        <v>1849</v>
      </c>
      <c r="F512" t="s">
        <v>897</v>
      </c>
      <c r="G512" t="s">
        <v>5836</v>
      </c>
    </row>
    <row r="513" spans="1:7" x14ac:dyDescent="0.25">
      <c r="A513" t="s">
        <v>257</v>
      </c>
      <c r="B513" s="5">
        <v>38484</v>
      </c>
      <c r="C513" s="5" t="s">
        <v>5837</v>
      </c>
      <c r="E513" t="s">
        <v>2780</v>
      </c>
      <c r="F513" t="s">
        <v>898</v>
      </c>
      <c r="G513" t="s">
        <v>5837</v>
      </c>
    </row>
    <row r="514" spans="1:7" x14ac:dyDescent="0.25">
      <c r="A514" t="s">
        <v>246</v>
      </c>
      <c r="B514" s="5">
        <v>38911</v>
      </c>
      <c r="C514" s="5" t="s">
        <v>5838</v>
      </c>
      <c r="E514" t="s">
        <v>2058</v>
      </c>
      <c r="F514" t="s">
        <v>899</v>
      </c>
      <c r="G514" t="s">
        <v>5838</v>
      </c>
    </row>
    <row r="515" spans="1:7" x14ac:dyDescent="0.25">
      <c r="A515" t="s">
        <v>199</v>
      </c>
      <c r="B515" s="5">
        <v>34109</v>
      </c>
      <c r="C515" s="5" t="s">
        <v>5839</v>
      </c>
      <c r="E515" t="s">
        <v>2378</v>
      </c>
      <c r="F515" t="s">
        <v>900</v>
      </c>
      <c r="G515" t="s">
        <v>5839</v>
      </c>
    </row>
    <row r="516" spans="1:7" x14ac:dyDescent="0.25">
      <c r="A516" t="s">
        <v>258</v>
      </c>
      <c r="B516" s="5">
        <v>34829</v>
      </c>
      <c r="C516" s="5" t="s">
        <v>5840</v>
      </c>
      <c r="E516" t="s">
        <v>2373</v>
      </c>
      <c r="F516" t="s">
        <v>901</v>
      </c>
      <c r="G516" t="s">
        <v>5840</v>
      </c>
    </row>
    <row r="517" spans="1:7" x14ac:dyDescent="0.25">
      <c r="A517" t="s">
        <v>259</v>
      </c>
      <c r="B517" s="5">
        <v>35923</v>
      </c>
      <c r="C517" s="5" t="s">
        <v>5841</v>
      </c>
      <c r="E517" t="s">
        <v>2038</v>
      </c>
      <c r="F517" t="s">
        <v>902</v>
      </c>
      <c r="G517" t="s">
        <v>5841</v>
      </c>
    </row>
    <row r="518" spans="1:7" x14ac:dyDescent="0.25">
      <c r="A518" t="s">
        <v>260</v>
      </c>
      <c r="B518" s="5">
        <v>41387</v>
      </c>
      <c r="C518" s="5" t="s">
        <v>3177</v>
      </c>
      <c r="D518" t="s">
        <v>3177</v>
      </c>
      <c r="E518" t="s">
        <v>1987</v>
      </c>
      <c r="F518" t="s">
        <v>903</v>
      </c>
      <c r="G518" t="s">
        <v>3177</v>
      </c>
    </row>
    <row r="519" spans="1:7" x14ac:dyDescent="0.25">
      <c r="A519" t="s">
        <v>219</v>
      </c>
      <c r="B519" s="5">
        <v>40344</v>
      </c>
      <c r="C519" s="5" t="s">
        <v>3178</v>
      </c>
      <c r="D519" t="s">
        <v>3178</v>
      </c>
      <c r="E519" t="s">
        <v>1943</v>
      </c>
      <c r="F519" t="s">
        <v>904</v>
      </c>
      <c r="G519" t="s">
        <v>3178</v>
      </c>
    </row>
    <row r="520" spans="1:7" x14ac:dyDescent="0.25">
      <c r="A520" t="s">
        <v>261</v>
      </c>
      <c r="B520" s="5">
        <v>34101</v>
      </c>
      <c r="C520" s="5" t="s">
        <v>5842</v>
      </c>
      <c r="E520" t="s">
        <v>2263</v>
      </c>
      <c r="F520" t="s">
        <v>905</v>
      </c>
      <c r="G520" t="s">
        <v>5842</v>
      </c>
    </row>
    <row r="521" spans="1:7" x14ac:dyDescent="0.25">
      <c r="A521" t="s">
        <v>254</v>
      </c>
      <c r="B521" s="5">
        <v>33710</v>
      </c>
      <c r="C521" s="5" t="s">
        <v>5843</v>
      </c>
      <c r="E521" t="s">
        <v>2246</v>
      </c>
      <c r="F521" t="s">
        <v>906</v>
      </c>
      <c r="G521" t="s">
        <v>5843</v>
      </c>
    </row>
    <row r="522" spans="1:7" x14ac:dyDescent="0.25">
      <c r="A522" t="s">
        <v>262</v>
      </c>
      <c r="B522" s="5">
        <v>34106</v>
      </c>
      <c r="C522" s="5" t="s">
        <v>5844</v>
      </c>
      <c r="E522" t="s">
        <v>2605</v>
      </c>
      <c r="F522" t="s">
        <v>907</v>
      </c>
      <c r="G522" t="s">
        <v>5844</v>
      </c>
    </row>
    <row r="523" spans="1:7" x14ac:dyDescent="0.25">
      <c r="A523" t="s">
        <v>183</v>
      </c>
      <c r="B523" s="5">
        <v>36642</v>
      </c>
      <c r="C523" s="5" t="s">
        <v>5845</v>
      </c>
      <c r="E523" t="s">
        <v>1834</v>
      </c>
      <c r="F523" t="s">
        <v>908</v>
      </c>
      <c r="G523" t="s">
        <v>5845</v>
      </c>
    </row>
    <row r="524" spans="1:7" x14ac:dyDescent="0.25">
      <c r="A524" t="s">
        <v>263</v>
      </c>
      <c r="B524" s="5">
        <v>38832</v>
      </c>
      <c r="C524" s="5" t="s">
        <v>3179</v>
      </c>
      <c r="D524" t="s">
        <v>3179</v>
      </c>
      <c r="E524" t="s">
        <v>1690</v>
      </c>
      <c r="F524" t="s">
        <v>909</v>
      </c>
      <c r="G524" t="s">
        <v>3179</v>
      </c>
    </row>
    <row r="525" spans="1:7" x14ac:dyDescent="0.25">
      <c r="A525" t="s">
        <v>183</v>
      </c>
      <c r="B525" s="5">
        <v>33704</v>
      </c>
      <c r="C525" s="5" t="s">
        <v>5846</v>
      </c>
      <c r="E525" t="s">
        <v>2658</v>
      </c>
      <c r="F525" t="s">
        <v>910</v>
      </c>
      <c r="G525" t="s">
        <v>5846</v>
      </c>
    </row>
    <row r="526" spans="1:7" x14ac:dyDescent="0.25">
      <c r="A526" t="s">
        <v>264</v>
      </c>
      <c r="B526" s="5">
        <v>34829</v>
      </c>
      <c r="C526" s="5" t="s">
        <v>5847</v>
      </c>
      <c r="E526" t="s">
        <v>2624</v>
      </c>
      <c r="F526" t="s">
        <v>911</v>
      </c>
      <c r="G526" t="s">
        <v>5847</v>
      </c>
    </row>
    <row r="527" spans="1:7" x14ac:dyDescent="0.25">
      <c r="A527" t="s">
        <v>226</v>
      </c>
      <c r="B527" s="5">
        <v>35914</v>
      </c>
      <c r="C527" s="5" t="s">
        <v>5848</v>
      </c>
      <c r="E527" t="s">
        <v>1839</v>
      </c>
      <c r="F527" t="s">
        <v>912</v>
      </c>
      <c r="G527" t="s">
        <v>5848</v>
      </c>
    </row>
    <row r="528" spans="1:7" x14ac:dyDescent="0.25">
      <c r="A528" t="s">
        <v>265</v>
      </c>
      <c r="B528" s="5">
        <v>34829</v>
      </c>
      <c r="C528" s="5" t="s">
        <v>5849</v>
      </c>
      <c r="E528" t="s">
        <v>2405</v>
      </c>
      <c r="F528" t="s">
        <v>913</v>
      </c>
      <c r="G528" t="s">
        <v>5849</v>
      </c>
    </row>
    <row r="529" spans="1:7" x14ac:dyDescent="0.25">
      <c r="A529" t="s">
        <v>266</v>
      </c>
      <c r="B529" s="5">
        <v>41386</v>
      </c>
      <c r="C529" s="5" t="s">
        <v>3180</v>
      </c>
      <c r="D529" t="s">
        <v>3180</v>
      </c>
      <c r="E529" t="s">
        <v>1710</v>
      </c>
      <c r="F529" t="s">
        <v>914</v>
      </c>
      <c r="G529" t="s">
        <v>3180</v>
      </c>
    </row>
    <row r="530" spans="1:7" x14ac:dyDescent="0.25">
      <c r="A530" t="s">
        <v>205</v>
      </c>
      <c r="B530" s="5">
        <v>33770</v>
      </c>
      <c r="C530" s="5" t="s">
        <v>5850</v>
      </c>
      <c r="E530" t="s">
        <v>2306</v>
      </c>
      <c r="F530" t="s">
        <v>915</v>
      </c>
      <c r="G530" t="s">
        <v>5850</v>
      </c>
    </row>
    <row r="531" spans="1:7" x14ac:dyDescent="0.25">
      <c r="A531" t="s">
        <v>188</v>
      </c>
      <c r="B531" s="5">
        <v>34074</v>
      </c>
      <c r="C531" s="5" t="s">
        <v>5851</v>
      </c>
      <c r="E531" t="s">
        <v>2529</v>
      </c>
      <c r="F531" t="s">
        <v>916</v>
      </c>
      <c r="G531" t="s">
        <v>5851</v>
      </c>
    </row>
    <row r="532" spans="1:7" x14ac:dyDescent="0.25">
      <c r="A532" t="s">
        <v>267</v>
      </c>
      <c r="B532" s="5">
        <v>38106</v>
      </c>
      <c r="C532" s="5" t="s">
        <v>5852</v>
      </c>
      <c r="E532" t="s">
        <v>1640</v>
      </c>
      <c r="F532" t="s">
        <v>917</v>
      </c>
      <c r="G532" t="s">
        <v>5852</v>
      </c>
    </row>
    <row r="533" spans="1:7" x14ac:dyDescent="0.25">
      <c r="A533" t="s">
        <v>237</v>
      </c>
      <c r="B533" s="5">
        <v>34151</v>
      </c>
      <c r="C533" s="5" t="s">
        <v>5853</v>
      </c>
      <c r="E533" t="s">
        <v>2475</v>
      </c>
      <c r="F533" t="s">
        <v>918</v>
      </c>
      <c r="G533" t="s">
        <v>5853</v>
      </c>
    </row>
    <row r="534" spans="1:7" x14ac:dyDescent="0.25">
      <c r="A534" t="s">
        <v>193</v>
      </c>
      <c r="B534" s="5">
        <v>39610</v>
      </c>
      <c r="C534" s="5" t="s">
        <v>3181</v>
      </c>
      <c r="D534" t="s">
        <v>3181</v>
      </c>
      <c r="E534" t="s">
        <v>1865</v>
      </c>
      <c r="F534" t="s">
        <v>919</v>
      </c>
      <c r="G534" t="s">
        <v>3181</v>
      </c>
    </row>
    <row r="535" spans="1:7" x14ac:dyDescent="0.25">
      <c r="A535" t="s">
        <v>207</v>
      </c>
      <c r="B535" s="5">
        <v>34492</v>
      </c>
      <c r="C535" s="5" t="s">
        <v>5854</v>
      </c>
      <c r="E535" t="s">
        <v>2571</v>
      </c>
      <c r="F535" t="s">
        <v>920</v>
      </c>
      <c r="G535" t="s">
        <v>5854</v>
      </c>
    </row>
    <row r="536" spans="1:7" x14ac:dyDescent="0.25">
      <c r="A536" t="s">
        <v>268</v>
      </c>
      <c r="B536" s="5">
        <v>36999</v>
      </c>
      <c r="C536" s="5" t="s">
        <v>5855</v>
      </c>
      <c r="E536" t="s">
        <v>2164</v>
      </c>
      <c r="F536" t="s">
        <v>921</v>
      </c>
      <c r="G536" t="s">
        <v>5855</v>
      </c>
    </row>
    <row r="537" spans="1:7" x14ac:dyDescent="0.25">
      <c r="A537" t="s">
        <v>269</v>
      </c>
      <c r="B537" s="5">
        <v>41402</v>
      </c>
      <c r="C537" s="5" t="s">
        <v>3182</v>
      </c>
      <c r="D537" t="s">
        <v>3182</v>
      </c>
      <c r="E537" t="s">
        <v>1914</v>
      </c>
      <c r="F537" t="s">
        <v>922</v>
      </c>
      <c r="G537" t="s">
        <v>3182</v>
      </c>
    </row>
    <row r="538" spans="1:7" x14ac:dyDescent="0.25">
      <c r="A538" t="s">
        <v>270</v>
      </c>
      <c r="B538" s="5">
        <v>36284</v>
      </c>
      <c r="C538" s="5" t="s">
        <v>5856</v>
      </c>
      <c r="E538" t="s">
        <v>2738</v>
      </c>
      <c r="F538" t="s">
        <v>923</v>
      </c>
      <c r="G538" t="s">
        <v>5856</v>
      </c>
    </row>
    <row r="539" spans="1:7" x14ac:dyDescent="0.25">
      <c r="A539" t="s">
        <v>188</v>
      </c>
      <c r="B539" s="5">
        <v>33719</v>
      </c>
      <c r="C539" s="5" t="s">
        <v>5857</v>
      </c>
      <c r="E539" t="s">
        <v>2603</v>
      </c>
      <c r="F539" t="s">
        <v>924</v>
      </c>
      <c r="G539" t="s">
        <v>5857</v>
      </c>
    </row>
    <row r="540" spans="1:7" x14ac:dyDescent="0.25">
      <c r="A540" t="s">
        <v>203</v>
      </c>
      <c r="B540" s="5">
        <v>39911</v>
      </c>
      <c r="C540" s="5" t="s">
        <v>3183</v>
      </c>
      <c r="D540" t="s">
        <v>3183</v>
      </c>
      <c r="E540" t="s">
        <v>1893</v>
      </c>
      <c r="F540" t="s">
        <v>925</v>
      </c>
      <c r="G540" t="s">
        <v>3183</v>
      </c>
    </row>
    <row r="541" spans="1:7" x14ac:dyDescent="0.25">
      <c r="A541" t="s">
        <v>183</v>
      </c>
      <c r="B541" s="5">
        <v>36642</v>
      </c>
      <c r="C541" s="5" t="s">
        <v>5845</v>
      </c>
      <c r="E541" t="s">
        <v>1834</v>
      </c>
      <c r="F541" t="s">
        <v>926</v>
      </c>
      <c r="G541" t="s">
        <v>5845</v>
      </c>
    </row>
    <row r="542" spans="1:7" x14ac:dyDescent="0.25">
      <c r="A542" t="s">
        <v>271</v>
      </c>
      <c r="B542" s="5">
        <v>35170</v>
      </c>
      <c r="C542" s="5" t="s">
        <v>5858</v>
      </c>
      <c r="F542" t="s">
        <v>927</v>
      </c>
      <c r="G542" t="s">
        <v>5858</v>
      </c>
    </row>
    <row r="543" spans="1:7" x14ac:dyDescent="0.25">
      <c r="A543" t="s">
        <v>242</v>
      </c>
      <c r="B543" s="5">
        <v>38119</v>
      </c>
      <c r="C543" s="5" t="s">
        <v>5859</v>
      </c>
      <c r="E543" t="s">
        <v>1870</v>
      </c>
      <c r="F543" t="s">
        <v>928</v>
      </c>
      <c r="G543" t="s">
        <v>5859</v>
      </c>
    </row>
    <row r="544" spans="1:7" x14ac:dyDescent="0.25">
      <c r="A544" t="s">
        <v>227</v>
      </c>
      <c r="B544" s="5">
        <v>33735</v>
      </c>
      <c r="C544" s="5" t="s">
        <v>5860</v>
      </c>
      <c r="E544" t="s">
        <v>2360</v>
      </c>
      <c r="F544" t="s">
        <v>929</v>
      </c>
      <c r="G544" t="s">
        <v>5860</v>
      </c>
    </row>
    <row r="545" spans="1:7" x14ac:dyDescent="0.25">
      <c r="A545" t="s">
        <v>272</v>
      </c>
      <c r="B545" s="5">
        <v>36284</v>
      </c>
      <c r="C545" s="5" t="s">
        <v>5861</v>
      </c>
      <c r="E545" t="s">
        <v>2054</v>
      </c>
      <c r="F545" t="s">
        <v>930</v>
      </c>
      <c r="G545" t="s">
        <v>5861</v>
      </c>
    </row>
    <row r="546" spans="1:7" x14ac:dyDescent="0.25">
      <c r="A546" t="s">
        <v>273</v>
      </c>
      <c r="B546" s="5">
        <v>42109</v>
      </c>
      <c r="C546" s="5" t="s">
        <v>3184</v>
      </c>
      <c r="D546" t="s">
        <v>3184</v>
      </c>
      <c r="E546" t="s">
        <v>1874</v>
      </c>
      <c r="F546" t="s">
        <v>931</v>
      </c>
      <c r="G546" t="s">
        <v>3184</v>
      </c>
    </row>
    <row r="547" spans="1:7" x14ac:dyDescent="0.25">
      <c r="A547" t="s">
        <v>245</v>
      </c>
      <c r="B547" s="5">
        <v>34113</v>
      </c>
      <c r="C547" s="5" t="s">
        <v>5862</v>
      </c>
      <c r="E547" t="s">
        <v>2345</v>
      </c>
      <c r="F547" t="s">
        <v>932</v>
      </c>
      <c r="G547" t="s">
        <v>5862</v>
      </c>
    </row>
    <row r="548" spans="1:7" x14ac:dyDescent="0.25">
      <c r="A548" t="s">
        <v>256</v>
      </c>
      <c r="B548" s="5">
        <v>33700</v>
      </c>
      <c r="C548" s="5" t="s">
        <v>5863</v>
      </c>
      <c r="E548" t="s">
        <v>2564</v>
      </c>
      <c r="F548" t="s">
        <v>933</v>
      </c>
      <c r="G548" t="s">
        <v>5863</v>
      </c>
    </row>
    <row r="549" spans="1:7" x14ac:dyDescent="0.25">
      <c r="A549" t="s">
        <v>274</v>
      </c>
      <c r="B549" s="5">
        <v>40659</v>
      </c>
      <c r="C549" s="5" t="s">
        <v>3185</v>
      </c>
      <c r="D549" t="s">
        <v>3185</v>
      </c>
      <c r="F549" t="s">
        <v>934</v>
      </c>
      <c r="G549" t="s">
        <v>3185</v>
      </c>
    </row>
    <row r="550" spans="1:7" x14ac:dyDescent="0.25">
      <c r="A550" t="s">
        <v>275</v>
      </c>
      <c r="B550" s="5">
        <v>35914</v>
      </c>
      <c r="C550" s="5" t="s">
        <v>5864</v>
      </c>
      <c r="E550" t="s">
        <v>1920</v>
      </c>
      <c r="F550" t="s">
        <v>935</v>
      </c>
      <c r="G550" t="s">
        <v>5864</v>
      </c>
    </row>
    <row r="551" spans="1:7" x14ac:dyDescent="0.25">
      <c r="A551" t="s">
        <v>276</v>
      </c>
      <c r="B551" s="5">
        <v>34836</v>
      </c>
      <c r="C551" s="5" t="s">
        <v>5865</v>
      </c>
      <c r="E551" t="s">
        <v>2294</v>
      </c>
      <c r="F551" t="s">
        <v>936</v>
      </c>
      <c r="G551" t="s">
        <v>5865</v>
      </c>
    </row>
    <row r="552" spans="1:7" x14ac:dyDescent="0.25">
      <c r="A552" t="s">
        <v>277</v>
      </c>
      <c r="B552" s="5">
        <v>38483</v>
      </c>
      <c r="C552" s="5" t="s">
        <v>5866</v>
      </c>
      <c r="E552" t="s">
        <v>1512</v>
      </c>
      <c r="F552" t="s">
        <v>937</v>
      </c>
      <c r="G552" t="s">
        <v>5866</v>
      </c>
    </row>
    <row r="553" spans="1:7" x14ac:dyDescent="0.25">
      <c r="A553" t="s">
        <v>278</v>
      </c>
      <c r="B553" s="5">
        <v>41410</v>
      </c>
      <c r="C553" s="5" t="s">
        <v>3186</v>
      </c>
      <c r="D553" t="s">
        <v>3186</v>
      </c>
      <c r="E553" t="s">
        <v>1370</v>
      </c>
      <c r="F553" t="s">
        <v>938</v>
      </c>
      <c r="G553" t="s">
        <v>3186</v>
      </c>
    </row>
    <row r="554" spans="1:7" x14ac:dyDescent="0.25">
      <c r="A554" t="s">
        <v>216</v>
      </c>
      <c r="B554" s="5">
        <v>41393</v>
      </c>
      <c r="C554" s="5" t="s">
        <v>3187</v>
      </c>
      <c r="D554" t="s">
        <v>3187</v>
      </c>
      <c r="E554" t="s">
        <v>2063</v>
      </c>
      <c r="F554" t="s">
        <v>939</v>
      </c>
      <c r="G554" t="s">
        <v>3187</v>
      </c>
    </row>
    <row r="555" spans="1:7" x14ac:dyDescent="0.25">
      <c r="A555" t="s">
        <v>279</v>
      </c>
      <c r="B555" s="5">
        <v>37046</v>
      </c>
      <c r="C555" s="5" t="s">
        <v>5867</v>
      </c>
      <c r="E555" t="s">
        <v>1597</v>
      </c>
      <c r="F555" t="s">
        <v>940</v>
      </c>
      <c r="G555" t="s">
        <v>5867</v>
      </c>
    </row>
    <row r="556" spans="1:7" x14ac:dyDescent="0.25">
      <c r="A556" t="s">
        <v>280</v>
      </c>
      <c r="B556" s="5">
        <v>34829</v>
      </c>
      <c r="C556" s="5" t="s">
        <v>5868</v>
      </c>
      <c r="E556" t="s">
        <v>2534</v>
      </c>
      <c r="F556" t="s">
        <v>941</v>
      </c>
      <c r="G556" t="s">
        <v>5868</v>
      </c>
    </row>
    <row r="557" spans="1:7" x14ac:dyDescent="0.25">
      <c r="A557" t="s">
        <v>281</v>
      </c>
      <c r="B557" s="5">
        <v>34151</v>
      </c>
      <c r="C557" s="5" t="s">
        <v>5869</v>
      </c>
      <c r="E557" t="s">
        <v>2215</v>
      </c>
      <c r="F557" t="s">
        <v>942</v>
      </c>
      <c r="G557" t="s">
        <v>5869</v>
      </c>
    </row>
    <row r="558" spans="1:7" x14ac:dyDescent="0.25">
      <c r="A558" t="s">
        <v>227</v>
      </c>
      <c r="B558" s="5">
        <v>34465</v>
      </c>
      <c r="C558" s="5" t="s">
        <v>5870</v>
      </c>
      <c r="E558" t="s">
        <v>2320</v>
      </c>
      <c r="F558" t="s">
        <v>943</v>
      </c>
      <c r="G558" t="s">
        <v>5870</v>
      </c>
    </row>
    <row r="559" spans="1:7" x14ac:dyDescent="0.25">
      <c r="A559" t="s">
        <v>227</v>
      </c>
      <c r="B559" s="5">
        <v>34094</v>
      </c>
      <c r="C559" s="5" t="s">
        <v>5871</v>
      </c>
      <c r="E559" t="s">
        <v>2286</v>
      </c>
      <c r="F559" t="s">
        <v>944</v>
      </c>
      <c r="G559" t="s">
        <v>5871</v>
      </c>
    </row>
    <row r="560" spans="1:7" x14ac:dyDescent="0.25">
      <c r="A560" t="s">
        <v>228</v>
      </c>
      <c r="B560" s="5">
        <v>41066</v>
      </c>
      <c r="C560" s="5" t="s">
        <v>3188</v>
      </c>
      <c r="D560" t="s">
        <v>3188</v>
      </c>
      <c r="E560" t="s">
        <v>1602</v>
      </c>
      <c r="F560" t="s">
        <v>945</v>
      </c>
      <c r="G560" t="s">
        <v>3188</v>
      </c>
    </row>
    <row r="561" spans="1:7" x14ac:dyDescent="0.25">
      <c r="A561" t="s">
        <v>275</v>
      </c>
      <c r="B561" s="5">
        <v>34823</v>
      </c>
      <c r="C561" s="5" t="s">
        <v>5872</v>
      </c>
      <c r="E561" t="s">
        <v>2467</v>
      </c>
      <c r="F561" t="s">
        <v>946</v>
      </c>
      <c r="G561" t="s">
        <v>5872</v>
      </c>
    </row>
    <row r="562" spans="1:7" x14ac:dyDescent="0.25">
      <c r="A562" t="s">
        <v>282</v>
      </c>
      <c r="B562" s="5">
        <v>34808</v>
      </c>
      <c r="C562" s="5" t="s">
        <v>5873</v>
      </c>
      <c r="E562" t="s">
        <v>2435</v>
      </c>
      <c r="F562" t="s">
        <v>947</v>
      </c>
      <c r="G562" t="s">
        <v>5873</v>
      </c>
    </row>
    <row r="563" spans="1:7" x14ac:dyDescent="0.25">
      <c r="A563" t="s">
        <v>283</v>
      </c>
      <c r="B563" s="5">
        <v>34456</v>
      </c>
      <c r="C563" s="5" t="s">
        <v>5874</v>
      </c>
      <c r="E563" t="s">
        <v>2346</v>
      </c>
      <c r="F563" t="s">
        <v>948</v>
      </c>
      <c r="G563" t="s">
        <v>5874</v>
      </c>
    </row>
    <row r="564" spans="1:7" x14ac:dyDescent="0.25">
      <c r="A564" t="s">
        <v>284</v>
      </c>
      <c r="B564" s="5">
        <v>37741</v>
      </c>
      <c r="C564" s="5" t="s">
        <v>5875</v>
      </c>
      <c r="E564" t="s">
        <v>1964</v>
      </c>
      <c r="F564" t="s">
        <v>949</v>
      </c>
      <c r="G564" t="s">
        <v>5875</v>
      </c>
    </row>
    <row r="565" spans="1:7" x14ac:dyDescent="0.25">
      <c r="A565" t="s">
        <v>253</v>
      </c>
      <c r="B565" s="5">
        <v>41387</v>
      </c>
      <c r="C565" s="5" t="s">
        <v>3189</v>
      </c>
      <c r="D565" t="s">
        <v>3189</v>
      </c>
      <c r="E565" t="s">
        <v>2091</v>
      </c>
      <c r="F565" t="s">
        <v>950</v>
      </c>
      <c r="G565" t="s">
        <v>3189</v>
      </c>
    </row>
    <row r="566" spans="1:7" x14ac:dyDescent="0.25">
      <c r="A566" t="s">
        <v>247</v>
      </c>
      <c r="B566" s="5">
        <v>37741</v>
      </c>
      <c r="C566" s="5" t="s">
        <v>5876</v>
      </c>
      <c r="E566" t="s">
        <v>1423</v>
      </c>
      <c r="F566" t="s">
        <v>951</v>
      </c>
      <c r="G566" t="s">
        <v>5876</v>
      </c>
    </row>
    <row r="567" spans="1:7" x14ac:dyDescent="0.25">
      <c r="A567" t="s">
        <v>285</v>
      </c>
      <c r="B567" s="5">
        <v>33728</v>
      </c>
      <c r="C567" s="5" t="s">
        <v>5877</v>
      </c>
      <c r="E567" t="s">
        <v>2486</v>
      </c>
      <c r="F567" t="s">
        <v>952</v>
      </c>
      <c r="G567" t="s">
        <v>5877</v>
      </c>
    </row>
    <row r="568" spans="1:7" x14ac:dyDescent="0.25">
      <c r="A568" t="s">
        <v>286</v>
      </c>
      <c r="B568" s="5">
        <v>38912</v>
      </c>
      <c r="C568" s="5" t="s">
        <v>5878</v>
      </c>
      <c r="E568" t="s">
        <v>1622</v>
      </c>
      <c r="F568" t="s">
        <v>953</v>
      </c>
      <c r="G568" t="s">
        <v>5878</v>
      </c>
    </row>
    <row r="569" spans="1:7" x14ac:dyDescent="0.25">
      <c r="A569" t="s">
        <v>287</v>
      </c>
      <c r="B569" s="5">
        <v>38104</v>
      </c>
      <c r="C569" s="5" t="s">
        <v>5879</v>
      </c>
      <c r="E569" t="s">
        <v>2118</v>
      </c>
      <c r="F569" t="s">
        <v>954</v>
      </c>
      <c r="G569" t="s">
        <v>5879</v>
      </c>
    </row>
    <row r="570" spans="1:7" x14ac:dyDescent="0.25">
      <c r="A570" t="s">
        <v>232</v>
      </c>
      <c r="B570" s="5">
        <v>40674</v>
      </c>
      <c r="C570" s="5" t="s">
        <v>3190</v>
      </c>
      <c r="D570" t="s">
        <v>3190</v>
      </c>
      <c r="E570" t="s">
        <v>2036</v>
      </c>
      <c r="F570" t="s">
        <v>955</v>
      </c>
      <c r="G570" t="s">
        <v>3190</v>
      </c>
    </row>
    <row r="571" spans="1:7" x14ac:dyDescent="0.25">
      <c r="A571" t="s">
        <v>261</v>
      </c>
      <c r="B571" s="5">
        <v>41386</v>
      </c>
      <c r="C571" s="5" t="s">
        <v>3191</v>
      </c>
      <c r="D571" t="s">
        <v>3191</v>
      </c>
      <c r="E571" t="s">
        <v>1887</v>
      </c>
      <c r="F571" t="s">
        <v>956</v>
      </c>
      <c r="G571" t="s">
        <v>3191</v>
      </c>
    </row>
    <row r="572" spans="1:7" x14ac:dyDescent="0.25">
      <c r="A572" t="s">
        <v>288</v>
      </c>
      <c r="B572" s="5">
        <v>35542</v>
      </c>
      <c r="C572" s="5" t="s">
        <v>5880</v>
      </c>
      <c r="E572" t="s">
        <v>1831</v>
      </c>
      <c r="F572" t="s">
        <v>957</v>
      </c>
      <c r="G572" t="s">
        <v>5880</v>
      </c>
    </row>
    <row r="573" spans="1:7" x14ac:dyDescent="0.25">
      <c r="A573" t="s">
        <v>255</v>
      </c>
      <c r="B573" s="5">
        <v>34436</v>
      </c>
      <c r="C573" s="5" t="s">
        <v>5881</v>
      </c>
      <c r="E573" t="s">
        <v>2533</v>
      </c>
      <c r="F573" t="s">
        <v>958</v>
      </c>
      <c r="G573" t="s">
        <v>5881</v>
      </c>
    </row>
    <row r="574" spans="1:7" x14ac:dyDescent="0.25">
      <c r="A574" t="s">
        <v>233</v>
      </c>
      <c r="B574" s="5">
        <v>34478</v>
      </c>
      <c r="C574" s="5" t="s">
        <v>5882</v>
      </c>
      <c r="E574" t="s">
        <v>2688</v>
      </c>
      <c r="F574" t="s">
        <v>959</v>
      </c>
      <c r="G574" t="s">
        <v>5882</v>
      </c>
    </row>
    <row r="575" spans="1:7" x14ac:dyDescent="0.25">
      <c r="A575" t="s">
        <v>289</v>
      </c>
      <c r="B575" s="5">
        <v>36999</v>
      </c>
      <c r="C575" s="5" t="s">
        <v>5883</v>
      </c>
      <c r="E575" t="s">
        <v>1401</v>
      </c>
      <c r="F575" t="s">
        <v>960</v>
      </c>
      <c r="G575" t="s">
        <v>5883</v>
      </c>
    </row>
    <row r="576" spans="1:7" x14ac:dyDescent="0.25">
      <c r="A576" t="s">
        <v>290</v>
      </c>
      <c r="B576" s="5">
        <v>41003</v>
      </c>
      <c r="C576" s="5" t="s">
        <v>3192</v>
      </c>
      <c r="D576" t="s">
        <v>3192</v>
      </c>
      <c r="E576" t="s">
        <v>1994</v>
      </c>
      <c r="F576" t="s">
        <v>961</v>
      </c>
      <c r="G576" t="s">
        <v>3192</v>
      </c>
    </row>
    <row r="577" spans="1:7" x14ac:dyDescent="0.25">
      <c r="A577" t="s">
        <v>291</v>
      </c>
      <c r="B577" s="5">
        <v>34843</v>
      </c>
      <c r="C577" s="5" t="s">
        <v>5884</v>
      </c>
      <c r="E577" t="s">
        <v>2221</v>
      </c>
      <c r="F577" t="s">
        <v>962</v>
      </c>
      <c r="G577" t="s">
        <v>5884</v>
      </c>
    </row>
    <row r="578" spans="1:7" x14ac:dyDescent="0.25">
      <c r="A578" t="s">
        <v>271</v>
      </c>
      <c r="B578" s="5">
        <v>34101</v>
      </c>
      <c r="C578" s="5" t="s">
        <v>5885</v>
      </c>
      <c r="E578" t="s">
        <v>2470</v>
      </c>
      <c r="F578" t="s">
        <v>963</v>
      </c>
      <c r="G578" t="s">
        <v>5885</v>
      </c>
    </row>
    <row r="579" spans="1:7" x14ac:dyDescent="0.25">
      <c r="A579" t="s">
        <v>247</v>
      </c>
      <c r="B579" s="5">
        <v>38099</v>
      </c>
      <c r="C579" s="5" t="s">
        <v>5886</v>
      </c>
      <c r="E579" t="s">
        <v>1750</v>
      </c>
      <c r="F579" t="s">
        <v>964</v>
      </c>
      <c r="G579" t="s">
        <v>5886</v>
      </c>
    </row>
    <row r="580" spans="1:7" x14ac:dyDescent="0.25">
      <c r="A580" t="s">
        <v>281</v>
      </c>
      <c r="B580" s="5">
        <v>34519</v>
      </c>
      <c r="C580" s="5" t="s">
        <v>5887</v>
      </c>
      <c r="E580" t="s">
        <v>2466</v>
      </c>
      <c r="F580" t="s">
        <v>965</v>
      </c>
      <c r="G580" t="s">
        <v>5887</v>
      </c>
    </row>
    <row r="581" spans="1:7" x14ac:dyDescent="0.25">
      <c r="A581" t="s">
        <v>273</v>
      </c>
      <c r="B581" s="5">
        <v>36605</v>
      </c>
      <c r="C581" s="5" t="s">
        <v>5888</v>
      </c>
      <c r="E581" t="s">
        <v>1374</v>
      </c>
      <c r="F581" t="s">
        <v>966</v>
      </c>
      <c r="G581" t="s">
        <v>5888</v>
      </c>
    </row>
    <row r="582" spans="1:7" x14ac:dyDescent="0.25">
      <c r="A582" t="s">
        <v>292</v>
      </c>
      <c r="B582" s="5">
        <v>35936</v>
      </c>
      <c r="C582" s="5" t="s">
        <v>5889</v>
      </c>
      <c r="E582" t="s">
        <v>1560</v>
      </c>
      <c r="F582" t="s">
        <v>967</v>
      </c>
      <c r="G582" t="s">
        <v>5889</v>
      </c>
    </row>
    <row r="583" spans="1:7" x14ac:dyDescent="0.25">
      <c r="A583" t="s">
        <v>289</v>
      </c>
      <c r="B583" s="5">
        <v>41001</v>
      </c>
      <c r="C583" s="5" t="s">
        <v>3193</v>
      </c>
      <c r="D583" t="s">
        <v>3193</v>
      </c>
      <c r="E583" t="s">
        <v>1451</v>
      </c>
      <c r="F583" t="s">
        <v>968</v>
      </c>
      <c r="G583" t="s">
        <v>3193</v>
      </c>
    </row>
    <row r="584" spans="1:7" x14ac:dyDescent="0.25">
      <c r="A584" t="s">
        <v>293</v>
      </c>
      <c r="B584" s="5">
        <v>33728</v>
      </c>
      <c r="C584" s="5" t="s">
        <v>5890</v>
      </c>
      <c r="E584" t="s">
        <v>2458</v>
      </c>
      <c r="F584" t="s">
        <v>969</v>
      </c>
      <c r="G584" t="s">
        <v>5890</v>
      </c>
    </row>
    <row r="585" spans="1:7" x14ac:dyDescent="0.25">
      <c r="A585" t="s">
        <v>250</v>
      </c>
      <c r="B585" s="5">
        <v>41400</v>
      </c>
      <c r="C585" s="5" t="s">
        <v>3194</v>
      </c>
      <c r="D585" t="s">
        <v>3194</v>
      </c>
      <c r="E585" t="s">
        <v>1836</v>
      </c>
      <c r="F585" t="s">
        <v>970</v>
      </c>
      <c r="G585" t="s">
        <v>3194</v>
      </c>
    </row>
    <row r="586" spans="1:7" x14ac:dyDescent="0.25">
      <c r="A586" t="s">
        <v>294</v>
      </c>
      <c r="B586" s="5">
        <v>38462</v>
      </c>
      <c r="C586" s="5" t="s">
        <v>5891</v>
      </c>
      <c r="E586" t="s">
        <v>1866</v>
      </c>
      <c r="F586" t="s">
        <v>971</v>
      </c>
      <c r="G586" t="s">
        <v>5891</v>
      </c>
    </row>
    <row r="587" spans="1:7" x14ac:dyDescent="0.25">
      <c r="A587" t="s">
        <v>295</v>
      </c>
      <c r="B587" s="5">
        <v>41388</v>
      </c>
      <c r="C587" s="5" t="s">
        <v>3195</v>
      </c>
      <c r="D587" t="s">
        <v>3195</v>
      </c>
      <c r="E587" t="s">
        <v>2084</v>
      </c>
      <c r="F587" t="s">
        <v>972</v>
      </c>
      <c r="G587" t="s">
        <v>3195</v>
      </c>
    </row>
    <row r="588" spans="1:7" x14ac:dyDescent="0.25">
      <c r="A588" t="s">
        <v>242</v>
      </c>
      <c r="B588" s="5">
        <v>39603</v>
      </c>
      <c r="C588" s="5" t="s">
        <v>3196</v>
      </c>
      <c r="D588" t="s">
        <v>3196</v>
      </c>
      <c r="E588" t="s">
        <v>1556</v>
      </c>
      <c r="F588" t="s">
        <v>973</v>
      </c>
      <c r="G588" t="s">
        <v>3196</v>
      </c>
    </row>
    <row r="589" spans="1:7" x14ac:dyDescent="0.25">
      <c r="A589" t="s">
        <v>296</v>
      </c>
      <c r="B589" s="5">
        <v>38855</v>
      </c>
      <c r="C589" s="5" t="s">
        <v>5892</v>
      </c>
      <c r="E589" t="s">
        <v>1885</v>
      </c>
      <c r="F589" t="s">
        <v>974</v>
      </c>
      <c r="G589" t="s">
        <v>5892</v>
      </c>
    </row>
    <row r="590" spans="1:7" x14ac:dyDescent="0.25">
      <c r="A590" t="s">
        <v>297</v>
      </c>
      <c r="B590" s="5">
        <v>36643</v>
      </c>
      <c r="C590" s="5" t="s">
        <v>5893</v>
      </c>
      <c r="E590" t="s">
        <v>1448</v>
      </c>
      <c r="F590" t="s">
        <v>975</v>
      </c>
      <c r="G590" t="s">
        <v>5893</v>
      </c>
    </row>
    <row r="591" spans="1:7" x14ac:dyDescent="0.25">
      <c r="A591" t="s">
        <v>290</v>
      </c>
      <c r="B591" s="5">
        <v>39944</v>
      </c>
      <c r="C591" s="5" t="s">
        <v>3197</v>
      </c>
      <c r="D591" t="s">
        <v>3197</v>
      </c>
      <c r="E591" t="s">
        <v>2081</v>
      </c>
      <c r="F591" t="s">
        <v>976</v>
      </c>
      <c r="G591" t="s">
        <v>3197</v>
      </c>
    </row>
    <row r="592" spans="1:7" x14ac:dyDescent="0.25">
      <c r="A592" t="s">
        <v>294</v>
      </c>
      <c r="B592" s="5">
        <v>36627</v>
      </c>
      <c r="C592" s="5" t="s">
        <v>5894</v>
      </c>
      <c r="E592" t="s">
        <v>1918</v>
      </c>
      <c r="F592" t="s">
        <v>977</v>
      </c>
      <c r="G592" t="s">
        <v>5894</v>
      </c>
    </row>
    <row r="593" spans="1:7" x14ac:dyDescent="0.25">
      <c r="A593" t="s">
        <v>293</v>
      </c>
      <c r="B593" s="5">
        <v>34843</v>
      </c>
      <c r="C593" s="5" t="s">
        <v>5895</v>
      </c>
      <c r="E593" t="s">
        <v>2661</v>
      </c>
      <c r="F593" t="s">
        <v>978</v>
      </c>
      <c r="G593" t="s">
        <v>5895</v>
      </c>
    </row>
    <row r="594" spans="1:7" x14ac:dyDescent="0.25">
      <c r="A594" t="s">
        <v>231</v>
      </c>
      <c r="B594" s="5">
        <v>41368</v>
      </c>
      <c r="C594" s="5" t="s">
        <v>3165</v>
      </c>
      <c r="D594" t="s">
        <v>3165</v>
      </c>
      <c r="E594" t="s">
        <v>1872</v>
      </c>
      <c r="F594" t="s">
        <v>979</v>
      </c>
      <c r="G594" t="s">
        <v>3165</v>
      </c>
    </row>
    <row r="595" spans="1:7" x14ac:dyDescent="0.25">
      <c r="A595" t="s">
        <v>223</v>
      </c>
      <c r="B595" s="5">
        <v>37000</v>
      </c>
      <c r="C595" s="5" t="s">
        <v>5896</v>
      </c>
      <c r="E595" t="s">
        <v>1973</v>
      </c>
      <c r="F595" t="s">
        <v>980</v>
      </c>
      <c r="G595" t="s">
        <v>5896</v>
      </c>
    </row>
    <row r="596" spans="1:7" x14ac:dyDescent="0.25">
      <c r="A596" t="s">
        <v>272</v>
      </c>
      <c r="B596" s="5">
        <v>34836</v>
      </c>
      <c r="C596" s="5" t="s">
        <v>5897</v>
      </c>
      <c r="E596" t="s">
        <v>2385</v>
      </c>
      <c r="F596" t="s">
        <v>981</v>
      </c>
      <c r="G596" t="s">
        <v>5897</v>
      </c>
    </row>
    <row r="597" spans="1:7" x14ac:dyDescent="0.25">
      <c r="A597" t="s">
        <v>298</v>
      </c>
      <c r="B597" s="5">
        <v>33752</v>
      </c>
      <c r="C597" s="5" t="s">
        <v>5898</v>
      </c>
      <c r="E597" t="s">
        <v>2675</v>
      </c>
      <c r="F597" t="s">
        <v>982</v>
      </c>
      <c r="G597" t="s">
        <v>5898</v>
      </c>
    </row>
    <row r="598" spans="1:7" x14ac:dyDescent="0.25">
      <c r="A598" t="s">
        <v>183</v>
      </c>
      <c r="B598" s="5">
        <v>39961</v>
      </c>
      <c r="C598" s="5" t="s">
        <v>3198</v>
      </c>
      <c r="D598" t="s">
        <v>3198</v>
      </c>
      <c r="E598" t="s">
        <v>1976</v>
      </c>
      <c r="F598" t="s">
        <v>983</v>
      </c>
      <c r="G598" t="s">
        <v>3198</v>
      </c>
    </row>
    <row r="599" spans="1:7" x14ac:dyDescent="0.25">
      <c r="A599" t="s">
        <v>294</v>
      </c>
      <c r="B599" s="5">
        <v>37362</v>
      </c>
      <c r="C599" s="5" t="s">
        <v>5899</v>
      </c>
      <c r="E599" t="s">
        <v>2105</v>
      </c>
      <c r="F599" t="s">
        <v>984</v>
      </c>
      <c r="G599" t="s">
        <v>5899</v>
      </c>
    </row>
    <row r="600" spans="1:7" x14ac:dyDescent="0.25">
      <c r="A600" t="s">
        <v>209</v>
      </c>
      <c r="B600" s="5">
        <v>34864</v>
      </c>
      <c r="C600" s="5" t="s">
        <v>5900</v>
      </c>
      <c r="E600" t="s">
        <v>2543</v>
      </c>
      <c r="F600" t="s">
        <v>985</v>
      </c>
      <c r="G600" t="s">
        <v>5900</v>
      </c>
    </row>
    <row r="601" spans="1:7" x14ac:dyDescent="0.25">
      <c r="A601" t="s">
        <v>287</v>
      </c>
      <c r="B601" s="5">
        <v>34815</v>
      </c>
      <c r="C601" s="5" t="s">
        <v>5901</v>
      </c>
      <c r="E601" t="s">
        <v>2268</v>
      </c>
      <c r="F601" t="s">
        <v>986</v>
      </c>
      <c r="G601" t="s">
        <v>5901</v>
      </c>
    </row>
    <row r="602" spans="1:7" x14ac:dyDescent="0.25">
      <c r="A602" t="s">
        <v>208</v>
      </c>
      <c r="B602" s="5">
        <v>39930</v>
      </c>
      <c r="C602" s="5" t="s">
        <v>3199</v>
      </c>
      <c r="D602" t="s">
        <v>3199</v>
      </c>
      <c r="E602" t="s">
        <v>1691</v>
      </c>
      <c r="F602" t="s">
        <v>987</v>
      </c>
      <c r="G602" t="s">
        <v>3199</v>
      </c>
    </row>
    <row r="603" spans="1:7" x14ac:dyDescent="0.25">
      <c r="A603" t="s">
        <v>299</v>
      </c>
      <c r="B603" s="5">
        <v>42493</v>
      </c>
      <c r="C603" s="5" t="s">
        <v>3200</v>
      </c>
      <c r="D603" t="s">
        <v>3200</v>
      </c>
      <c r="E603" t="s">
        <v>1559</v>
      </c>
      <c r="F603" t="s">
        <v>988</v>
      </c>
      <c r="G603" t="s">
        <v>3200</v>
      </c>
    </row>
    <row r="604" spans="1:7" x14ac:dyDescent="0.25">
      <c r="A604" t="s">
        <v>183</v>
      </c>
      <c r="B604" s="5">
        <v>36663</v>
      </c>
      <c r="C604" s="5" t="s">
        <v>5902</v>
      </c>
      <c r="F604" t="s">
        <v>989</v>
      </c>
      <c r="G604" t="s">
        <v>5902</v>
      </c>
    </row>
    <row r="605" spans="1:7" x14ac:dyDescent="0.25">
      <c r="A605" t="s">
        <v>233</v>
      </c>
      <c r="B605" s="5">
        <v>33785</v>
      </c>
      <c r="C605" s="5" t="s">
        <v>5903</v>
      </c>
      <c r="E605" t="s">
        <v>2634</v>
      </c>
      <c r="F605" t="s">
        <v>990</v>
      </c>
      <c r="G605" t="s">
        <v>5903</v>
      </c>
    </row>
    <row r="606" spans="1:7" x14ac:dyDescent="0.25">
      <c r="A606" t="s">
        <v>300</v>
      </c>
      <c r="B606" s="5">
        <v>33751</v>
      </c>
      <c r="C606" s="5" t="s">
        <v>5904</v>
      </c>
      <c r="E606" t="s">
        <v>2365</v>
      </c>
      <c r="F606" t="s">
        <v>991</v>
      </c>
      <c r="G606" t="s">
        <v>5904</v>
      </c>
    </row>
    <row r="607" spans="1:7" x14ac:dyDescent="0.25">
      <c r="A607" t="s">
        <v>260</v>
      </c>
      <c r="B607" s="5">
        <v>34835</v>
      </c>
      <c r="C607" s="5" t="s">
        <v>5905</v>
      </c>
      <c r="E607" t="s">
        <v>2572</v>
      </c>
      <c r="F607" t="s">
        <v>992</v>
      </c>
      <c r="G607" t="s">
        <v>5905</v>
      </c>
    </row>
    <row r="608" spans="1:7" x14ac:dyDescent="0.25">
      <c r="A608" t="s">
        <v>261</v>
      </c>
      <c r="B608" s="5">
        <v>39568</v>
      </c>
      <c r="C608" s="5" t="s">
        <v>3201</v>
      </c>
      <c r="D608" t="s">
        <v>3201</v>
      </c>
      <c r="E608" t="s">
        <v>1965</v>
      </c>
      <c r="F608" t="s">
        <v>993</v>
      </c>
      <c r="G608" t="s">
        <v>3201</v>
      </c>
    </row>
    <row r="609" spans="1:7" x14ac:dyDescent="0.25">
      <c r="A609" t="s">
        <v>301</v>
      </c>
      <c r="B609" s="5">
        <v>36633</v>
      </c>
      <c r="C609" s="5" t="s">
        <v>5906</v>
      </c>
      <c r="E609" t="s">
        <v>1989</v>
      </c>
      <c r="F609" t="s">
        <v>994</v>
      </c>
      <c r="G609" t="s">
        <v>5906</v>
      </c>
    </row>
    <row r="610" spans="1:7" x14ac:dyDescent="0.25">
      <c r="A610" t="s">
        <v>190</v>
      </c>
      <c r="B610" s="5">
        <v>41052</v>
      </c>
      <c r="C610" s="5" t="s">
        <v>3202</v>
      </c>
      <c r="D610" t="s">
        <v>3202</v>
      </c>
      <c r="E610" t="s">
        <v>1381</v>
      </c>
      <c r="F610" t="s">
        <v>995</v>
      </c>
      <c r="G610" t="s">
        <v>3202</v>
      </c>
    </row>
    <row r="611" spans="1:7" x14ac:dyDescent="0.25">
      <c r="A611" t="s">
        <v>214</v>
      </c>
      <c r="B611" s="5">
        <v>34154</v>
      </c>
      <c r="C611" s="5" t="s">
        <v>5907</v>
      </c>
      <c r="E611" t="s">
        <v>2621</v>
      </c>
      <c r="F611" t="s">
        <v>996</v>
      </c>
      <c r="G611" t="s">
        <v>5907</v>
      </c>
    </row>
    <row r="612" spans="1:7" x14ac:dyDescent="0.25">
      <c r="A612" t="s">
        <v>302</v>
      </c>
      <c r="B612" s="5">
        <v>36277</v>
      </c>
      <c r="C612" s="5" t="s">
        <v>5908</v>
      </c>
      <c r="F612" t="s">
        <v>997</v>
      </c>
      <c r="G612" t="s">
        <v>5908</v>
      </c>
    </row>
    <row r="613" spans="1:7" x14ac:dyDescent="0.25">
      <c r="A613" t="s">
        <v>252</v>
      </c>
      <c r="B613" s="5">
        <v>35563</v>
      </c>
      <c r="C613" s="5" t="s">
        <v>5909</v>
      </c>
      <c r="E613" t="s">
        <v>1504</v>
      </c>
      <c r="F613" t="s">
        <v>998</v>
      </c>
      <c r="G613" t="s">
        <v>5909</v>
      </c>
    </row>
    <row r="614" spans="1:7" x14ac:dyDescent="0.25">
      <c r="A614" t="s">
        <v>303</v>
      </c>
      <c r="B614" s="5">
        <v>38912</v>
      </c>
      <c r="C614" s="5" t="s">
        <v>5910</v>
      </c>
      <c r="F614" t="s">
        <v>999</v>
      </c>
      <c r="G614" t="s">
        <v>5910</v>
      </c>
    </row>
    <row r="615" spans="1:7" x14ac:dyDescent="0.25">
      <c r="A615" t="s">
        <v>290</v>
      </c>
      <c r="B615" s="5">
        <v>34434</v>
      </c>
      <c r="C615" s="5" t="s">
        <v>5911</v>
      </c>
      <c r="E615" t="s">
        <v>2386</v>
      </c>
      <c r="F615" t="s">
        <v>1000</v>
      </c>
      <c r="G615" t="s">
        <v>5911</v>
      </c>
    </row>
    <row r="616" spans="1:7" x14ac:dyDescent="0.25">
      <c r="A616" t="s">
        <v>205</v>
      </c>
      <c r="B616" s="5">
        <v>34152</v>
      </c>
      <c r="C616" s="5" t="s">
        <v>5912</v>
      </c>
      <c r="E616" t="s">
        <v>2439</v>
      </c>
      <c r="F616" t="s">
        <v>1001</v>
      </c>
      <c r="G616" t="s">
        <v>5912</v>
      </c>
    </row>
    <row r="617" spans="1:7" x14ac:dyDescent="0.25">
      <c r="A617" t="s">
        <v>236</v>
      </c>
      <c r="B617" s="5">
        <v>33769</v>
      </c>
      <c r="C617" s="5" t="s">
        <v>5913</v>
      </c>
      <c r="E617" t="s">
        <v>2266</v>
      </c>
      <c r="F617" t="s">
        <v>1002</v>
      </c>
      <c r="G617" t="s">
        <v>5913</v>
      </c>
    </row>
    <row r="618" spans="1:7" x14ac:dyDescent="0.25">
      <c r="A618" t="s">
        <v>304</v>
      </c>
      <c r="B618" s="5">
        <v>38118</v>
      </c>
      <c r="C618" s="5" t="s">
        <v>5914</v>
      </c>
      <c r="E618" t="s">
        <v>1587</v>
      </c>
      <c r="F618" t="s">
        <v>1003</v>
      </c>
      <c r="G618" t="s">
        <v>5914</v>
      </c>
    </row>
    <row r="619" spans="1:7" x14ac:dyDescent="0.25">
      <c r="A619" t="s">
        <v>296</v>
      </c>
      <c r="B619" s="5">
        <v>38855</v>
      </c>
      <c r="C619" s="5" t="s">
        <v>5892</v>
      </c>
      <c r="E619" t="s">
        <v>1885</v>
      </c>
      <c r="F619" t="s">
        <v>1004</v>
      </c>
      <c r="G619" t="s">
        <v>5892</v>
      </c>
    </row>
    <row r="620" spans="1:7" x14ac:dyDescent="0.25">
      <c r="A620" t="s">
        <v>222</v>
      </c>
      <c r="B620" s="5">
        <v>34095</v>
      </c>
      <c r="C620" s="5" t="s">
        <v>5915</v>
      </c>
      <c r="E620" t="s">
        <v>2315</v>
      </c>
      <c r="F620" t="s">
        <v>1005</v>
      </c>
      <c r="G620" t="s">
        <v>5915</v>
      </c>
    </row>
    <row r="621" spans="1:7" x14ac:dyDescent="0.25">
      <c r="A621" t="s">
        <v>301</v>
      </c>
      <c r="B621" s="5">
        <v>36633</v>
      </c>
      <c r="C621" s="5" t="s">
        <v>5906</v>
      </c>
      <c r="E621" t="s">
        <v>1989</v>
      </c>
      <c r="F621" t="s">
        <v>1006</v>
      </c>
      <c r="G621" t="s">
        <v>5906</v>
      </c>
    </row>
    <row r="622" spans="1:7" x14ac:dyDescent="0.25">
      <c r="A622" t="s">
        <v>226</v>
      </c>
      <c r="B622" s="5">
        <v>34824</v>
      </c>
      <c r="C622" s="5" t="s">
        <v>5916</v>
      </c>
      <c r="E622" t="s">
        <v>2390</v>
      </c>
      <c r="F622" t="s">
        <v>1007</v>
      </c>
      <c r="G622" t="s">
        <v>5916</v>
      </c>
    </row>
    <row r="623" spans="1:7" x14ac:dyDescent="0.25">
      <c r="A623" t="s">
        <v>190</v>
      </c>
      <c r="B623" s="5">
        <v>33745</v>
      </c>
      <c r="C623" s="5" t="s">
        <v>5917</v>
      </c>
      <c r="E623" t="s">
        <v>2528</v>
      </c>
      <c r="F623" t="s">
        <v>1008</v>
      </c>
      <c r="G623" t="s">
        <v>5917</v>
      </c>
    </row>
    <row r="624" spans="1:7" x14ac:dyDescent="0.25">
      <c r="A624" t="s">
        <v>186</v>
      </c>
      <c r="B624" s="5">
        <v>36628</v>
      </c>
      <c r="C624" s="5" t="s">
        <v>5918</v>
      </c>
      <c r="E624" t="s">
        <v>1722</v>
      </c>
      <c r="F624" t="s">
        <v>1009</v>
      </c>
      <c r="G624" t="s">
        <v>5918</v>
      </c>
    </row>
    <row r="625" spans="1:7" x14ac:dyDescent="0.25">
      <c r="A625" t="s">
        <v>305</v>
      </c>
      <c r="B625" s="5">
        <v>41052</v>
      </c>
      <c r="C625" s="5" t="s">
        <v>3203</v>
      </c>
      <c r="D625" t="s">
        <v>3203</v>
      </c>
      <c r="E625" t="s">
        <v>1400</v>
      </c>
      <c r="F625" t="s">
        <v>1010</v>
      </c>
      <c r="G625" t="s">
        <v>3203</v>
      </c>
    </row>
    <row r="626" spans="1:7" x14ac:dyDescent="0.25">
      <c r="A626" t="s">
        <v>306</v>
      </c>
      <c r="B626" s="5">
        <v>34807</v>
      </c>
      <c r="C626" s="5" t="s">
        <v>5919</v>
      </c>
      <c r="E626" t="s">
        <v>2452</v>
      </c>
      <c r="F626" t="s">
        <v>1011</v>
      </c>
      <c r="G626" t="s">
        <v>5919</v>
      </c>
    </row>
    <row r="627" spans="1:7" x14ac:dyDescent="0.25">
      <c r="A627" t="s">
        <v>307</v>
      </c>
      <c r="B627" s="5">
        <v>36285</v>
      </c>
      <c r="C627" s="5" t="s">
        <v>5920</v>
      </c>
      <c r="E627" t="s">
        <v>1445</v>
      </c>
      <c r="F627" t="s">
        <v>1012</v>
      </c>
      <c r="G627" t="s">
        <v>5920</v>
      </c>
    </row>
    <row r="628" spans="1:7" x14ac:dyDescent="0.25">
      <c r="A628" t="s">
        <v>275</v>
      </c>
      <c r="B628" s="5">
        <v>34088</v>
      </c>
      <c r="C628" s="5" t="s">
        <v>5921</v>
      </c>
      <c r="E628" t="s">
        <v>2361</v>
      </c>
      <c r="F628" t="s">
        <v>1013</v>
      </c>
      <c r="G628" t="s">
        <v>5921</v>
      </c>
    </row>
    <row r="629" spans="1:7" x14ac:dyDescent="0.25">
      <c r="A629" t="s">
        <v>193</v>
      </c>
      <c r="B629" s="5">
        <v>41386</v>
      </c>
      <c r="C629" s="5" t="s">
        <v>3204</v>
      </c>
      <c r="D629" t="s">
        <v>3204</v>
      </c>
      <c r="E629" t="s">
        <v>1609</v>
      </c>
      <c r="F629" t="s">
        <v>1014</v>
      </c>
      <c r="G629" t="s">
        <v>3204</v>
      </c>
    </row>
    <row r="630" spans="1:7" x14ac:dyDescent="0.25">
      <c r="A630" t="s">
        <v>294</v>
      </c>
      <c r="B630" s="5">
        <v>37733</v>
      </c>
      <c r="C630" s="5" t="s">
        <v>5922</v>
      </c>
      <c r="E630" t="s">
        <v>1594</v>
      </c>
      <c r="F630" t="s">
        <v>1015</v>
      </c>
      <c r="G630" t="s">
        <v>5922</v>
      </c>
    </row>
    <row r="631" spans="1:7" x14ac:dyDescent="0.25">
      <c r="A631" t="s">
        <v>226</v>
      </c>
      <c r="B631" s="5">
        <v>37364</v>
      </c>
      <c r="C631" s="5" t="s">
        <v>5923</v>
      </c>
      <c r="E631" t="s">
        <v>2033</v>
      </c>
      <c r="F631" t="s">
        <v>1016</v>
      </c>
      <c r="G631" t="s">
        <v>5923</v>
      </c>
    </row>
    <row r="632" spans="1:7" x14ac:dyDescent="0.25">
      <c r="A632" t="s">
        <v>189</v>
      </c>
      <c r="B632" s="5">
        <v>34457</v>
      </c>
      <c r="C632" s="5" t="s">
        <v>5924</v>
      </c>
      <c r="E632" t="s">
        <v>2211</v>
      </c>
      <c r="F632" t="s">
        <v>1017</v>
      </c>
      <c r="G632" t="s">
        <v>5924</v>
      </c>
    </row>
    <row r="633" spans="1:7" x14ac:dyDescent="0.25">
      <c r="A633" t="s">
        <v>278</v>
      </c>
      <c r="B633" s="5">
        <v>41410</v>
      </c>
      <c r="C633" s="5" t="s">
        <v>3186</v>
      </c>
      <c r="D633" t="s">
        <v>3186</v>
      </c>
      <c r="E633" t="s">
        <v>1370</v>
      </c>
      <c r="F633" t="s">
        <v>1018</v>
      </c>
      <c r="G633" t="s">
        <v>3186</v>
      </c>
    </row>
    <row r="634" spans="1:7" x14ac:dyDescent="0.25">
      <c r="A634" t="s">
        <v>308</v>
      </c>
      <c r="B634" s="5">
        <v>37041</v>
      </c>
      <c r="C634" s="5" t="s">
        <v>5925</v>
      </c>
      <c r="E634" t="s">
        <v>1969</v>
      </c>
      <c r="F634" t="s">
        <v>1019</v>
      </c>
      <c r="G634" t="s">
        <v>5925</v>
      </c>
    </row>
    <row r="635" spans="1:7" x14ac:dyDescent="0.25">
      <c r="A635" t="s">
        <v>280</v>
      </c>
      <c r="B635" s="5">
        <v>36284</v>
      </c>
      <c r="C635" s="5" t="s">
        <v>5926</v>
      </c>
      <c r="E635" t="s">
        <v>2077</v>
      </c>
      <c r="F635" t="s">
        <v>1020</v>
      </c>
      <c r="G635" t="s">
        <v>5926</v>
      </c>
    </row>
    <row r="636" spans="1:7" x14ac:dyDescent="0.25">
      <c r="A636" t="s">
        <v>309</v>
      </c>
      <c r="B636" s="5">
        <v>41366</v>
      </c>
      <c r="C636" s="5" t="s">
        <v>3205</v>
      </c>
      <c r="D636" t="s">
        <v>3205</v>
      </c>
      <c r="E636" t="s">
        <v>2123</v>
      </c>
      <c r="F636" t="s">
        <v>1021</v>
      </c>
      <c r="G636" t="s">
        <v>3205</v>
      </c>
    </row>
    <row r="637" spans="1:7" x14ac:dyDescent="0.25">
      <c r="A637" t="s">
        <v>210</v>
      </c>
      <c r="B637" s="5">
        <v>36279</v>
      </c>
      <c r="C637" s="5" t="s">
        <v>5927</v>
      </c>
      <c r="E637" t="s">
        <v>1549</v>
      </c>
      <c r="F637" t="s">
        <v>1022</v>
      </c>
      <c r="G637" t="s">
        <v>5927</v>
      </c>
    </row>
    <row r="638" spans="1:7" x14ac:dyDescent="0.25">
      <c r="A638" t="s">
        <v>310</v>
      </c>
      <c r="B638" s="5">
        <v>34492</v>
      </c>
      <c r="C638" s="5" t="s">
        <v>5928</v>
      </c>
      <c r="E638" t="s">
        <v>2282</v>
      </c>
      <c r="F638" t="s">
        <v>1023</v>
      </c>
      <c r="G638" t="s">
        <v>5928</v>
      </c>
    </row>
    <row r="639" spans="1:7" x14ac:dyDescent="0.25">
      <c r="A639" t="s">
        <v>311</v>
      </c>
      <c r="B639" s="5">
        <v>36668</v>
      </c>
      <c r="C639" s="5" t="s">
        <v>5929</v>
      </c>
      <c r="F639" t="s">
        <v>1024</v>
      </c>
      <c r="G639" t="s">
        <v>5929</v>
      </c>
    </row>
    <row r="640" spans="1:7" x14ac:dyDescent="0.25">
      <c r="A640" t="s">
        <v>312</v>
      </c>
      <c r="B640" s="5">
        <v>38105</v>
      </c>
      <c r="C640" s="5" t="s">
        <v>5930</v>
      </c>
      <c r="E640" t="s">
        <v>1606</v>
      </c>
      <c r="F640" t="s">
        <v>1025</v>
      </c>
      <c r="G640" t="s">
        <v>5930</v>
      </c>
    </row>
    <row r="641" spans="1:7" x14ac:dyDescent="0.25">
      <c r="A641" t="s">
        <v>217</v>
      </c>
      <c r="B641" s="5">
        <v>36627</v>
      </c>
      <c r="C641" s="5" t="s">
        <v>5931</v>
      </c>
      <c r="F641" t="s">
        <v>1026</v>
      </c>
      <c r="G641" t="s">
        <v>5931</v>
      </c>
    </row>
    <row r="642" spans="1:7" x14ac:dyDescent="0.25">
      <c r="A642" t="s">
        <v>289</v>
      </c>
      <c r="B642" s="5">
        <v>39988</v>
      </c>
      <c r="C642" s="5" t="s">
        <v>3206</v>
      </c>
      <c r="D642" t="s">
        <v>3206</v>
      </c>
      <c r="E642" t="s">
        <v>1701</v>
      </c>
      <c r="F642" t="s">
        <v>1027</v>
      </c>
      <c r="G642" t="s">
        <v>3206</v>
      </c>
    </row>
    <row r="643" spans="1:7" x14ac:dyDescent="0.25">
      <c r="A643" t="s">
        <v>221</v>
      </c>
      <c r="B643" s="5">
        <v>39924</v>
      </c>
      <c r="C643" s="5" t="s">
        <v>3161</v>
      </c>
      <c r="D643" t="s">
        <v>3161</v>
      </c>
      <c r="E643" t="s">
        <v>2040</v>
      </c>
      <c r="F643" t="s">
        <v>1028</v>
      </c>
      <c r="G643" t="s">
        <v>3161</v>
      </c>
    </row>
    <row r="644" spans="1:7" x14ac:dyDescent="0.25">
      <c r="A644" t="s">
        <v>279</v>
      </c>
      <c r="B644" s="5">
        <v>36626</v>
      </c>
      <c r="C644" s="5" t="s">
        <v>5932</v>
      </c>
      <c r="E644" t="s">
        <v>1542</v>
      </c>
      <c r="F644" t="s">
        <v>1029</v>
      </c>
      <c r="G644" t="s">
        <v>5932</v>
      </c>
    </row>
    <row r="645" spans="1:7" x14ac:dyDescent="0.25">
      <c r="A645" t="s">
        <v>290</v>
      </c>
      <c r="B645" s="5">
        <v>36663</v>
      </c>
      <c r="C645" s="5" t="s">
        <v>5933</v>
      </c>
      <c r="E645" t="s">
        <v>1377</v>
      </c>
      <c r="F645" t="s">
        <v>1030</v>
      </c>
      <c r="G645" t="s">
        <v>5933</v>
      </c>
    </row>
    <row r="646" spans="1:7" x14ac:dyDescent="0.25">
      <c r="A646" t="s">
        <v>222</v>
      </c>
      <c r="B646" s="5">
        <v>33736</v>
      </c>
      <c r="C646" s="5" t="s">
        <v>5934</v>
      </c>
      <c r="E646" t="s">
        <v>2540</v>
      </c>
      <c r="F646" t="s">
        <v>1031</v>
      </c>
      <c r="G646" t="s">
        <v>5934</v>
      </c>
    </row>
    <row r="647" spans="1:7" x14ac:dyDescent="0.25">
      <c r="A647" t="s">
        <v>214</v>
      </c>
      <c r="B647" s="5">
        <v>33772</v>
      </c>
      <c r="C647" s="5" t="s">
        <v>5935</v>
      </c>
      <c r="E647" t="s">
        <v>2556</v>
      </c>
      <c r="F647" t="s">
        <v>1032</v>
      </c>
      <c r="G647" t="s">
        <v>5935</v>
      </c>
    </row>
    <row r="648" spans="1:7" x14ac:dyDescent="0.25">
      <c r="A648" t="s">
        <v>200</v>
      </c>
      <c r="B648" s="5">
        <v>42100</v>
      </c>
      <c r="C648" s="5" t="s">
        <v>3207</v>
      </c>
      <c r="D648" t="s">
        <v>3207</v>
      </c>
      <c r="E648" t="s">
        <v>1814</v>
      </c>
      <c r="F648" t="s">
        <v>1033</v>
      </c>
      <c r="G648" t="s">
        <v>3207</v>
      </c>
    </row>
    <row r="649" spans="1:7" x14ac:dyDescent="0.25">
      <c r="A649" t="s">
        <v>214</v>
      </c>
      <c r="B649" s="5">
        <v>34523</v>
      </c>
      <c r="C649" s="5" t="s">
        <v>5936</v>
      </c>
      <c r="E649" t="s">
        <v>2674</v>
      </c>
      <c r="F649" t="s">
        <v>1034</v>
      </c>
      <c r="G649" t="s">
        <v>5936</v>
      </c>
    </row>
    <row r="650" spans="1:7" x14ac:dyDescent="0.25">
      <c r="A650" t="s">
        <v>199</v>
      </c>
      <c r="B650" s="5">
        <v>34479</v>
      </c>
      <c r="C650" s="5" t="s">
        <v>5937</v>
      </c>
      <c r="E650" t="s">
        <v>2659</v>
      </c>
      <c r="F650" t="s">
        <v>1035</v>
      </c>
      <c r="G650" t="s">
        <v>5937</v>
      </c>
    </row>
    <row r="651" spans="1:7" x14ac:dyDescent="0.25">
      <c r="A651" t="s">
        <v>241</v>
      </c>
      <c r="B651" s="5">
        <v>33711</v>
      </c>
      <c r="C651" s="5" t="s">
        <v>5938</v>
      </c>
      <c r="E651" t="s">
        <v>2524</v>
      </c>
      <c r="F651" t="s">
        <v>1036</v>
      </c>
      <c r="G651" t="s">
        <v>5938</v>
      </c>
    </row>
    <row r="652" spans="1:7" x14ac:dyDescent="0.25">
      <c r="A652" t="s">
        <v>313</v>
      </c>
      <c r="B652" s="5">
        <v>41395</v>
      </c>
      <c r="C652" s="5" t="s">
        <v>3208</v>
      </c>
      <c r="D652" t="s">
        <v>3208</v>
      </c>
      <c r="E652" t="s">
        <v>1647</v>
      </c>
      <c r="F652" t="s">
        <v>1037</v>
      </c>
      <c r="G652" t="s">
        <v>3208</v>
      </c>
    </row>
    <row r="653" spans="1:7" x14ac:dyDescent="0.25">
      <c r="A653" t="s">
        <v>242</v>
      </c>
      <c r="B653" s="5">
        <v>38119</v>
      </c>
      <c r="C653" s="5" t="s">
        <v>5859</v>
      </c>
      <c r="E653" t="s">
        <v>1870</v>
      </c>
      <c r="F653" t="s">
        <v>1038</v>
      </c>
      <c r="G653" t="s">
        <v>5859</v>
      </c>
    </row>
    <row r="654" spans="1:7" x14ac:dyDescent="0.25">
      <c r="A654" t="s">
        <v>307</v>
      </c>
      <c r="B654" s="5">
        <v>34816</v>
      </c>
      <c r="C654" s="5" t="s">
        <v>5939</v>
      </c>
      <c r="E654" t="s">
        <v>2451</v>
      </c>
      <c r="F654" t="s">
        <v>1039</v>
      </c>
      <c r="G654" t="s">
        <v>5939</v>
      </c>
    </row>
    <row r="655" spans="1:7" x14ac:dyDescent="0.25">
      <c r="A655" t="s">
        <v>252</v>
      </c>
      <c r="B655" s="5">
        <v>33771</v>
      </c>
      <c r="C655" s="5" t="s">
        <v>5940</v>
      </c>
      <c r="E655" t="s">
        <v>2680</v>
      </c>
      <c r="F655" t="s">
        <v>1040</v>
      </c>
      <c r="G655" t="s">
        <v>5940</v>
      </c>
    </row>
    <row r="656" spans="1:7" x14ac:dyDescent="0.25">
      <c r="A656" t="s">
        <v>202</v>
      </c>
      <c r="B656" s="5">
        <v>37040</v>
      </c>
      <c r="C656" s="5" t="s">
        <v>5941</v>
      </c>
      <c r="E656" t="s">
        <v>1979</v>
      </c>
      <c r="F656" t="s">
        <v>1041</v>
      </c>
      <c r="G656" t="s">
        <v>5941</v>
      </c>
    </row>
    <row r="657" spans="1:7" x14ac:dyDescent="0.25">
      <c r="A657" t="s">
        <v>261</v>
      </c>
      <c r="B657" s="5">
        <v>36285</v>
      </c>
      <c r="C657" s="5" t="s">
        <v>5942</v>
      </c>
      <c r="E657" t="s">
        <v>1882</v>
      </c>
      <c r="F657" t="s">
        <v>1042</v>
      </c>
      <c r="G657" t="s">
        <v>5942</v>
      </c>
    </row>
    <row r="658" spans="1:7" x14ac:dyDescent="0.25">
      <c r="A658" t="s">
        <v>275</v>
      </c>
      <c r="B658" s="5">
        <v>41072</v>
      </c>
      <c r="C658" s="5" t="s">
        <v>3209</v>
      </c>
      <c r="D658" t="s">
        <v>3209</v>
      </c>
      <c r="E658" t="s">
        <v>1661</v>
      </c>
      <c r="F658" t="s">
        <v>1043</v>
      </c>
      <c r="G658" t="s">
        <v>3209</v>
      </c>
    </row>
    <row r="659" spans="1:7" x14ac:dyDescent="0.25">
      <c r="A659" t="s">
        <v>247</v>
      </c>
      <c r="B659" s="5">
        <v>41410</v>
      </c>
      <c r="C659" s="5" t="s">
        <v>3210</v>
      </c>
      <c r="D659" t="s">
        <v>3210</v>
      </c>
      <c r="E659" t="s">
        <v>1548</v>
      </c>
      <c r="F659" t="s">
        <v>1044</v>
      </c>
      <c r="G659" t="s">
        <v>3210</v>
      </c>
    </row>
    <row r="660" spans="1:7" x14ac:dyDescent="0.25">
      <c r="A660" t="s">
        <v>274</v>
      </c>
      <c r="B660" s="5">
        <v>39604</v>
      </c>
      <c r="C660" s="5" t="s">
        <v>3211</v>
      </c>
      <c r="D660" t="s">
        <v>3211</v>
      </c>
      <c r="E660" t="s">
        <v>1908</v>
      </c>
      <c r="F660" t="s">
        <v>1045</v>
      </c>
      <c r="G660" t="s">
        <v>3211</v>
      </c>
    </row>
    <row r="661" spans="1:7" x14ac:dyDescent="0.25">
      <c r="A661" t="s">
        <v>314</v>
      </c>
      <c r="B661" s="5">
        <v>35606</v>
      </c>
      <c r="C661" s="5" t="s">
        <v>5943</v>
      </c>
      <c r="E661" t="s">
        <v>1847</v>
      </c>
      <c r="F661" t="s">
        <v>1046</v>
      </c>
      <c r="G661" t="s">
        <v>5943</v>
      </c>
    </row>
    <row r="662" spans="1:7" x14ac:dyDescent="0.25">
      <c r="A662" t="s">
        <v>238</v>
      </c>
      <c r="B662" s="5">
        <v>37027</v>
      </c>
      <c r="C662" s="5" t="s">
        <v>5944</v>
      </c>
      <c r="E662" t="s">
        <v>1904</v>
      </c>
      <c r="F662" t="s">
        <v>1047</v>
      </c>
      <c r="G662" t="s">
        <v>5944</v>
      </c>
    </row>
    <row r="663" spans="1:7" x14ac:dyDescent="0.25">
      <c r="A663" t="s">
        <v>234</v>
      </c>
      <c r="B663" s="5">
        <v>42465</v>
      </c>
      <c r="C663" s="5" t="s">
        <v>3212</v>
      </c>
      <c r="D663" t="s">
        <v>3212</v>
      </c>
      <c r="E663" t="s">
        <v>1552</v>
      </c>
      <c r="F663" t="s">
        <v>1048</v>
      </c>
      <c r="G663" t="s">
        <v>3212</v>
      </c>
    </row>
    <row r="664" spans="1:7" x14ac:dyDescent="0.25">
      <c r="A664" t="s">
        <v>204</v>
      </c>
      <c r="B664" s="5">
        <v>33701</v>
      </c>
      <c r="C664" s="5" t="s">
        <v>5945</v>
      </c>
      <c r="E664" t="s">
        <v>2197</v>
      </c>
      <c r="F664" t="s">
        <v>1049</v>
      </c>
      <c r="G664" t="s">
        <v>5945</v>
      </c>
    </row>
    <row r="665" spans="1:7" x14ac:dyDescent="0.25">
      <c r="A665" t="s">
        <v>285</v>
      </c>
      <c r="B665" s="5">
        <v>34843</v>
      </c>
      <c r="C665" s="5" t="s">
        <v>5946</v>
      </c>
      <c r="E665" t="s">
        <v>2202</v>
      </c>
      <c r="F665" t="s">
        <v>1050</v>
      </c>
      <c r="G665" t="s">
        <v>5946</v>
      </c>
    </row>
    <row r="666" spans="1:7" x14ac:dyDescent="0.25">
      <c r="A666" t="s">
        <v>315</v>
      </c>
      <c r="B666" s="5">
        <v>41393</v>
      </c>
      <c r="C666" s="5" t="s">
        <v>3213</v>
      </c>
      <c r="D666" t="s">
        <v>3213</v>
      </c>
      <c r="E666" t="s">
        <v>1774</v>
      </c>
      <c r="F666" t="s">
        <v>1051</v>
      </c>
      <c r="G666" t="s">
        <v>3213</v>
      </c>
    </row>
    <row r="667" spans="1:7" x14ac:dyDescent="0.25">
      <c r="A667" t="s">
        <v>275</v>
      </c>
      <c r="B667" s="5">
        <v>39911</v>
      </c>
      <c r="C667" s="5" t="s">
        <v>3214</v>
      </c>
      <c r="D667" t="s">
        <v>3214</v>
      </c>
      <c r="E667" t="s">
        <v>1978</v>
      </c>
      <c r="F667" t="s">
        <v>1052</v>
      </c>
      <c r="G667" t="s">
        <v>3214</v>
      </c>
    </row>
    <row r="668" spans="1:7" x14ac:dyDescent="0.25">
      <c r="A668" t="s">
        <v>294</v>
      </c>
      <c r="B668" s="5">
        <v>38112</v>
      </c>
      <c r="C668" s="5" t="s">
        <v>5947</v>
      </c>
      <c r="E668" t="s">
        <v>2051</v>
      </c>
      <c r="F668" t="s">
        <v>1053</v>
      </c>
      <c r="G668" t="s">
        <v>5947</v>
      </c>
    </row>
    <row r="669" spans="1:7" x14ac:dyDescent="0.25">
      <c r="A669" t="s">
        <v>300</v>
      </c>
      <c r="B669" s="5">
        <v>35541</v>
      </c>
      <c r="C669" s="5" t="s">
        <v>5948</v>
      </c>
      <c r="E669" t="s">
        <v>2034</v>
      </c>
      <c r="F669" t="s">
        <v>1054</v>
      </c>
      <c r="G669" t="s">
        <v>5948</v>
      </c>
    </row>
    <row r="670" spans="1:7" x14ac:dyDescent="0.25">
      <c r="A670" t="s">
        <v>196</v>
      </c>
      <c r="B670" s="5">
        <v>37019</v>
      </c>
      <c r="C670" s="5" t="s">
        <v>5949</v>
      </c>
      <c r="E670" t="s">
        <v>1759</v>
      </c>
      <c r="F670" t="s">
        <v>1055</v>
      </c>
      <c r="G670" t="s">
        <v>5949</v>
      </c>
    </row>
    <row r="671" spans="1:7" x14ac:dyDescent="0.25">
      <c r="A671" t="s">
        <v>316</v>
      </c>
      <c r="B671" s="5">
        <v>37383</v>
      </c>
      <c r="C671" s="5" t="s">
        <v>5950</v>
      </c>
      <c r="E671" t="s">
        <v>1668</v>
      </c>
      <c r="F671" t="s">
        <v>1056</v>
      </c>
      <c r="G671" t="s">
        <v>5950</v>
      </c>
    </row>
    <row r="672" spans="1:7" x14ac:dyDescent="0.25">
      <c r="A672" t="s">
        <v>230</v>
      </c>
      <c r="B672" s="5">
        <v>41414</v>
      </c>
      <c r="C672" s="5" t="s">
        <v>3215</v>
      </c>
      <c r="D672" t="s">
        <v>3215</v>
      </c>
      <c r="E672" t="s">
        <v>1854</v>
      </c>
      <c r="F672" t="s">
        <v>1057</v>
      </c>
      <c r="G672" t="s">
        <v>3215</v>
      </c>
    </row>
    <row r="673" spans="1:7" x14ac:dyDescent="0.25">
      <c r="A673" t="s">
        <v>265</v>
      </c>
      <c r="B673" s="5">
        <v>36284</v>
      </c>
      <c r="C673" s="5" t="s">
        <v>5951</v>
      </c>
      <c r="E673" t="s">
        <v>2741</v>
      </c>
      <c r="F673" t="s">
        <v>1058</v>
      </c>
      <c r="G673" t="s">
        <v>5951</v>
      </c>
    </row>
    <row r="674" spans="1:7" x14ac:dyDescent="0.25">
      <c r="A674" t="s">
        <v>285</v>
      </c>
      <c r="B674" s="5">
        <v>34128</v>
      </c>
      <c r="C674" s="5" t="s">
        <v>5952</v>
      </c>
      <c r="E674" t="s">
        <v>2681</v>
      </c>
      <c r="F674" t="s">
        <v>1059</v>
      </c>
      <c r="G674" t="s">
        <v>5952</v>
      </c>
    </row>
    <row r="675" spans="1:7" x14ac:dyDescent="0.25">
      <c r="A675" t="s">
        <v>317</v>
      </c>
      <c r="B675" s="5">
        <v>34492</v>
      </c>
      <c r="C675" s="5" t="s">
        <v>5953</v>
      </c>
      <c r="E675" t="s">
        <v>2420</v>
      </c>
      <c r="F675" t="s">
        <v>1060</v>
      </c>
      <c r="G675" t="s">
        <v>5953</v>
      </c>
    </row>
    <row r="676" spans="1:7" x14ac:dyDescent="0.25">
      <c r="A676" t="s">
        <v>261</v>
      </c>
      <c r="B676" s="5">
        <v>34813</v>
      </c>
      <c r="C676" s="5" t="s">
        <v>5954</v>
      </c>
      <c r="E676" t="s">
        <v>2635</v>
      </c>
      <c r="F676" t="s">
        <v>1061</v>
      </c>
      <c r="G676" t="s">
        <v>5954</v>
      </c>
    </row>
    <row r="677" spans="1:7" x14ac:dyDescent="0.25">
      <c r="A677" t="s">
        <v>252</v>
      </c>
      <c r="B677" s="5">
        <v>34487</v>
      </c>
      <c r="C677" s="5" t="s">
        <v>5955</v>
      </c>
      <c r="E677" t="s">
        <v>2307</v>
      </c>
      <c r="F677" t="s">
        <v>1062</v>
      </c>
      <c r="G677" t="s">
        <v>5955</v>
      </c>
    </row>
    <row r="678" spans="1:7" x14ac:dyDescent="0.25">
      <c r="A678" t="s">
        <v>261</v>
      </c>
      <c r="B678" s="5">
        <v>34470</v>
      </c>
      <c r="C678" s="5" t="s">
        <v>5956</v>
      </c>
      <c r="E678" t="s">
        <v>2640</v>
      </c>
      <c r="F678" t="s">
        <v>1063</v>
      </c>
      <c r="G678" t="s">
        <v>5956</v>
      </c>
    </row>
    <row r="679" spans="1:7" x14ac:dyDescent="0.25">
      <c r="A679" t="s">
        <v>242</v>
      </c>
      <c r="B679" s="5">
        <v>36649</v>
      </c>
      <c r="C679" s="5" t="s">
        <v>5957</v>
      </c>
      <c r="E679" t="s">
        <v>2112</v>
      </c>
      <c r="F679" t="s">
        <v>1064</v>
      </c>
      <c r="G679" t="s">
        <v>5957</v>
      </c>
    </row>
    <row r="680" spans="1:7" x14ac:dyDescent="0.25">
      <c r="A680" t="s">
        <v>275</v>
      </c>
      <c r="B680" s="5">
        <v>37364</v>
      </c>
      <c r="C680" s="5" t="s">
        <v>5958</v>
      </c>
      <c r="E680" t="s">
        <v>1898</v>
      </c>
      <c r="F680" t="s">
        <v>1065</v>
      </c>
      <c r="G680" t="s">
        <v>5958</v>
      </c>
    </row>
    <row r="681" spans="1:7" x14ac:dyDescent="0.25">
      <c r="A681" t="s">
        <v>318</v>
      </c>
      <c r="B681" s="5">
        <v>42499</v>
      </c>
      <c r="C681" s="5" t="s">
        <v>3216</v>
      </c>
      <c r="D681" t="s">
        <v>3216</v>
      </c>
      <c r="E681" t="s">
        <v>1617</v>
      </c>
      <c r="F681" t="s">
        <v>1066</v>
      </c>
      <c r="G681" t="s">
        <v>3216</v>
      </c>
    </row>
    <row r="682" spans="1:7" x14ac:dyDescent="0.25">
      <c r="A682" t="s">
        <v>238</v>
      </c>
      <c r="B682" s="5">
        <v>41044</v>
      </c>
      <c r="C682" s="5" t="s">
        <v>3217</v>
      </c>
      <c r="D682" t="s">
        <v>3217</v>
      </c>
      <c r="E682" t="s">
        <v>1838</v>
      </c>
      <c r="F682" t="s">
        <v>1067</v>
      </c>
      <c r="G682" t="s">
        <v>3217</v>
      </c>
    </row>
    <row r="683" spans="1:7" x14ac:dyDescent="0.25">
      <c r="A683" t="s">
        <v>295</v>
      </c>
      <c r="B683" s="5">
        <v>38105</v>
      </c>
      <c r="C683" s="5" t="s">
        <v>5959</v>
      </c>
      <c r="E683" t="s">
        <v>1815</v>
      </c>
      <c r="F683" t="s">
        <v>1068</v>
      </c>
      <c r="G683" t="s">
        <v>5959</v>
      </c>
    </row>
    <row r="684" spans="1:7" x14ac:dyDescent="0.25">
      <c r="A684" t="s">
        <v>319</v>
      </c>
      <c r="B684" s="5">
        <v>35556</v>
      </c>
      <c r="C684" s="5" t="s">
        <v>5960</v>
      </c>
      <c r="E684" t="s">
        <v>1775</v>
      </c>
      <c r="F684" t="s">
        <v>1069</v>
      </c>
      <c r="G684" t="s">
        <v>5960</v>
      </c>
    </row>
    <row r="685" spans="1:7" x14ac:dyDescent="0.25">
      <c r="A685" t="s">
        <v>320</v>
      </c>
      <c r="B685" s="5">
        <v>39216</v>
      </c>
      <c r="C685" s="5" t="s">
        <v>5961</v>
      </c>
      <c r="E685" t="s">
        <v>2106</v>
      </c>
      <c r="F685" t="s">
        <v>1070</v>
      </c>
      <c r="G685" t="s">
        <v>5961</v>
      </c>
    </row>
    <row r="686" spans="1:7" x14ac:dyDescent="0.25">
      <c r="A686" t="s">
        <v>234</v>
      </c>
      <c r="B686" s="5">
        <v>42100</v>
      </c>
      <c r="C686" s="5" t="s">
        <v>3218</v>
      </c>
      <c r="D686" t="s">
        <v>3218</v>
      </c>
      <c r="E686" t="s">
        <v>2053</v>
      </c>
      <c r="F686" t="s">
        <v>1071</v>
      </c>
      <c r="G686" t="s">
        <v>3218</v>
      </c>
    </row>
    <row r="687" spans="1:7" x14ac:dyDescent="0.25">
      <c r="A687" t="s">
        <v>193</v>
      </c>
      <c r="B687" s="5">
        <v>35921</v>
      </c>
      <c r="C687" s="5" t="s">
        <v>5962</v>
      </c>
      <c r="E687" t="s">
        <v>1907</v>
      </c>
      <c r="F687" t="s">
        <v>1072</v>
      </c>
      <c r="G687" t="s">
        <v>5962</v>
      </c>
    </row>
    <row r="688" spans="1:7" x14ac:dyDescent="0.25">
      <c r="A688" t="s">
        <v>321</v>
      </c>
      <c r="B688" s="5">
        <v>35899</v>
      </c>
      <c r="C688" s="5" t="s">
        <v>5963</v>
      </c>
      <c r="F688" t="s">
        <v>1073</v>
      </c>
      <c r="G688" t="s">
        <v>5963</v>
      </c>
    </row>
    <row r="689" spans="1:7" x14ac:dyDescent="0.25">
      <c r="A689" t="s">
        <v>250</v>
      </c>
      <c r="B689" s="5">
        <v>40695</v>
      </c>
      <c r="C689" s="5" t="s">
        <v>3219</v>
      </c>
      <c r="D689" t="s">
        <v>3219</v>
      </c>
      <c r="E689" t="s">
        <v>1705</v>
      </c>
      <c r="F689" t="s">
        <v>1074</v>
      </c>
      <c r="G689" t="s">
        <v>3219</v>
      </c>
    </row>
    <row r="690" spans="1:7" x14ac:dyDescent="0.25">
      <c r="A690" t="s">
        <v>238</v>
      </c>
      <c r="B690" s="5">
        <v>38118</v>
      </c>
      <c r="C690" s="5" t="s">
        <v>5964</v>
      </c>
      <c r="E690" t="s">
        <v>1753</v>
      </c>
      <c r="F690" t="s">
        <v>1075</v>
      </c>
      <c r="G690" t="s">
        <v>5964</v>
      </c>
    </row>
    <row r="691" spans="1:7" x14ac:dyDescent="0.25">
      <c r="A691" t="s">
        <v>289</v>
      </c>
      <c r="B691" s="5">
        <v>34072</v>
      </c>
      <c r="C691" s="5" t="s">
        <v>5965</v>
      </c>
      <c r="E691" t="s">
        <v>2682</v>
      </c>
      <c r="F691" t="s">
        <v>1076</v>
      </c>
      <c r="G691" t="s">
        <v>5965</v>
      </c>
    </row>
    <row r="692" spans="1:7" x14ac:dyDescent="0.25">
      <c r="A692" t="s">
        <v>322</v>
      </c>
      <c r="B692" s="5">
        <v>36608</v>
      </c>
      <c r="C692" s="5" t="s">
        <v>5966</v>
      </c>
      <c r="E692" t="s">
        <v>1748</v>
      </c>
      <c r="F692" t="s">
        <v>1077</v>
      </c>
      <c r="G692" t="s">
        <v>5966</v>
      </c>
    </row>
    <row r="693" spans="1:7" x14ac:dyDescent="0.25">
      <c r="A693" t="s">
        <v>298</v>
      </c>
      <c r="B693" s="5">
        <v>34450</v>
      </c>
      <c r="C693" s="5" t="s">
        <v>5967</v>
      </c>
      <c r="E693" t="s">
        <v>2205</v>
      </c>
      <c r="F693" t="s">
        <v>1078</v>
      </c>
      <c r="G693" t="s">
        <v>5967</v>
      </c>
    </row>
    <row r="694" spans="1:7" x14ac:dyDescent="0.25">
      <c r="A694" t="s">
        <v>323</v>
      </c>
      <c r="B694" s="5">
        <v>36277</v>
      </c>
      <c r="C694" s="5" t="s">
        <v>5968</v>
      </c>
      <c r="E694" t="s">
        <v>1752</v>
      </c>
      <c r="F694" t="s">
        <v>1079</v>
      </c>
      <c r="G694" t="s">
        <v>5968</v>
      </c>
    </row>
    <row r="695" spans="1:7" x14ac:dyDescent="0.25">
      <c r="A695" t="s">
        <v>324</v>
      </c>
      <c r="B695" s="5">
        <v>39216</v>
      </c>
      <c r="C695" s="5" t="s">
        <v>5969</v>
      </c>
      <c r="E695" t="s">
        <v>1380</v>
      </c>
      <c r="F695" t="s">
        <v>1080</v>
      </c>
      <c r="G695" t="s">
        <v>5969</v>
      </c>
    </row>
    <row r="696" spans="1:7" x14ac:dyDescent="0.25">
      <c r="A696" t="s">
        <v>325</v>
      </c>
      <c r="B696" s="5">
        <v>34107</v>
      </c>
      <c r="C696" s="5" t="s">
        <v>5970</v>
      </c>
      <c r="E696" t="s">
        <v>2565</v>
      </c>
      <c r="F696" t="s">
        <v>1081</v>
      </c>
      <c r="G696" t="s">
        <v>5970</v>
      </c>
    </row>
    <row r="697" spans="1:7" x14ac:dyDescent="0.25">
      <c r="A697" t="s">
        <v>241</v>
      </c>
      <c r="B697" s="5">
        <v>34445</v>
      </c>
      <c r="C697" s="5" t="s">
        <v>5971</v>
      </c>
      <c r="E697" t="s">
        <v>2521</v>
      </c>
      <c r="F697" t="s">
        <v>1082</v>
      </c>
      <c r="G697" t="s">
        <v>5971</v>
      </c>
    </row>
    <row r="698" spans="1:7" x14ac:dyDescent="0.25">
      <c r="A698" t="s">
        <v>183</v>
      </c>
      <c r="B698" s="5">
        <v>34430</v>
      </c>
      <c r="C698" s="5" t="s">
        <v>5972</v>
      </c>
      <c r="E698" t="s">
        <v>2426</v>
      </c>
      <c r="F698" t="s">
        <v>1083</v>
      </c>
      <c r="G698" t="s">
        <v>5972</v>
      </c>
    </row>
    <row r="699" spans="1:7" x14ac:dyDescent="0.25">
      <c r="A699" t="s">
        <v>243</v>
      </c>
      <c r="B699" s="5">
        <v>36662</v>
      </c>
      <c r="C699" s="5" t="s">
        <v>5973</v>
      </c>
      <c r="E699" t="s">
        <v>1426</v>
      </c>
      <c r="F699" t="s">
        <v>1084</v>
      </c>
      <c r="G699" t="s">
        <v>5973</v>
      </c>
    </row>
    <row r="700" spans="1:7" x14ac:dyDescent="0.25">
      <c r="A700" t="s">
        <v>326</v>
      </c>
      <c r="B700" s="5">
        <v>42142</v>
      </c>
      <c r="C700" s="5" t="s">
        <v>3220</v>
      </c>
      <c r="D700" t="s">
        <v>3220</v>
      </c>
      <c r="E700" t="s">
        <v>1725</v>
      </c>
      <c r="F700" t="s">
        <v>1085</v>
      </c>
      <c r="G700" t="s">
        <v>3220</v>
      </c>
    </row>
    <row r="701" spans="1:7" x14ac:dyDescent="0.25">
      <c r="A701" t="s">
        <v>200</v>
      </c>
      <c r="B701" s="5">
        <v>42465</v>
      </c>
      <c r="C701" s="5" t="s">
        <v>3221</v>
      </c>
      <c r="D701" t="s">
        <v>3221</v>
      </c>
      <c r="E701" t="s">
        <v>1778</v>
      </c>
      <c r="F701" t="s">
        <v>1086</v>
      </c>
      <c r="G701" t="s">
        <v>3221</v>
      </c>
    </row>
    <row r="702" spans="1:7" x14ac:dyDescent="0.25">
      <c r="A702" t="s">
        <v>290</v>
      </c>
      <c r="B702" s="5">
        <v>33711</v>
      </c>
      <c r="C702" s="5" t="s">
        <v>5974</v>
      </c>
      <c r="E702" t="s">
        <v>2374</v>
      </c>
      <c r="F702" t="s">
        <v>1087</v>
      </c>
      <c r="G702" t="s">
        <v>5974</v>
      </c>
    </row>
    <row r="703" spans="1:7" x14ac:dyDescent="0.25">
      <c r="A703" t="s">
        <v>256</v>
      </c>
      <c r="B703" s="5">
        <v>34435</v>
      </c>
      <c r="C703" s="5" t="s">
        <v>5975</v>
      </c>
      <c r="E703" t="s">
        <v>2397</v>
      </c>
      <c r="F703" t="s">
        <v>1088</v>
      </c>
      <c r="G703" t="s">
        <v>5975</v>
      </c>
    </row>
    <row r="704" spans="1:7" x14ac:dyDescent="0.25">
      <c r="A704" t="s">
        <v>242</v>
      </c>
      <c r="B704" s="5">
        <v>37363</v>
      </c>
      <c r="C704" s="5" t="s">
        <v>5976</v>
      </c>
      <c r="E704" t="s">
        <v>1947</v>
      </c>
      <c r="F704" t="s">
        <v>1089</v>
      </c>
      <c r="G704" t="s">
        <v>5976</v>
      </c>
    </row>
    <row r="705" spans="1:7" x14ac:dyDescent="0.25">
      <c r="A705" t="s">
        <v>313</v>
      </c>
      <c r="B705" s="5">
        <v>39611</v>
      </c>
      <c r="C705" s="5" t="s">
        <v>3222</v>
      </c>
      <c r="D705" t="s">
        <v>3222</v>
      </c>
      <c r="E705" t="s">
        <v>1795</v>
      </c>
      <c r="F705" t="s">
        <v>1090</v>
      </c>
      <c r="G705" t="s">
        <v>3222</v>
      </c>
    </row>
    <row r="706" spans="1:7" x14ac:dyDescent="0.25">
      <c r="A706" t="s">
        <v>226</v>
      </c>
      <c r="B706" s="5">
        <v>41072</v>
      </c>
      <c r="C706" s="5" t="s">
        <v>3223</v>
      </c>
      <c r="D706" t="s">
        <v>3223</v>
      </c>
      <c r="E706" t="s">
        <v>1655</v>
      </c>
      <c r="F706" t="s">
        <v>1091</v>
      </c>
      <c r="G706" t="s">
        <v>3223</v>
      </c>
    </row>
    <row r="707" spans="1:7" x14ac:dyDescent="0.25">
      <c r="A707" t="s">
        <v>193</v>
      </c>
      <c r="B707" s="5">
        <v>35556</v>
      </c>
      <c r="C707" s="5" t="s">
        <v>5977</v>
      </c>
      <c r="E707" t="s">
        <v>1558</v>
      </c>
      <c r="F707" t="s">
        <v>1092</v>
      </c>
      <c r="G707" t="s">
        <v>5977</v>
      </c>
    </row>
    <row r="708" spans="1:7" x14ac:dyDescent="0.25">
      <c r="A708" t="s">
        <v>274</v>
      </c>
      <c r="B708" s="5">
        <v>34864</v>
      </c>
      <c r="C708" s="5" t="s">
        <v>5978</v>
      </c>
      <c r="E708" t="s">
        <v>2527</v>
      </c>
      <c r="F708" t="s">
        <v>1093</v>
      </c>
      <c r="G708" t="s">
        <v>5978</v>
      </c>
    </row>
    <row r="709" spans="1:7" x14ac:dyDescent="0.25">
      <c r="A709" t="s">
        <v>267</v>
      </c>
      <c r="B709" s="5">
        <v>34808</v>
      </c>
      <c r="C709" s="5" t="s">
        <v>5979</v>
      </c>
      <c r="E709" t="s">
        <v>2612</v>
      </c>
      <c r="F709" t="s">
        <v>1094</v>
      </c>
      <c r="G709" t="s">
        <v>5979</v>
      </c>
    </row>
    <row r="710" spans="1:7" x14ac:dyDescent="0.25">
      <c r="A710" t="s">
        <v>275</v>
      </c>
      <c r="B710" s="5">
        <v>34458</v>
      </c>
      <c r="C710" s="5" t="s">
        <v>5980</v>
      </c>
      <c r="E710" t="s">
        <v>2213</v>
      </c>
      <c r="F710" t="s">
        <v>1095</v>
      </c>
      <c r="G710" t="s">
        <v>5980</v>
      </c>
    </row>
    <row r="711" spans="1:7" x14ac:dyDescent="0.25">
      <c r="A711" t="s">
        <v>327</v>
      </c>
      <c r="B711" s="5">
        <v>38111</v>
      </c>
      <c r="C711" s="5" t="s">
        <v>5981</v>
      </c>
      <c r="E711" t="s">
        <v>1608</v>
      </c>
      <c r="F711" t="s">
        <v>1096</v>
      </c>
      <c r="G711" t="s">
        <v>5981</v>
      </c>
    </row>
    <row r="712" spans="1:7" x14ac:dyDescent="0.25">
      <c r="A712" t="s">
        <v>267</v>
      </c>
      <c r="B712" s="5">
        <v>35919</v>
      </c>
      <c r="C712" s="5" t="s">
        <v>5982</v>
      </c>
      <c r="F712" t="s">
        <v>1097</v>
      </c>
      <c r="G712" t="s">
        <v>5982</v>
      </c>
    </row>
    <row r="713" spans="1:7" x14ac:dyDescent="0.25">
      <c r="A713" t="s">
        <v>328</v>
      </c>
      <c r="B713" s="5">
        <v>38825</v>
      </c>
      <c r="C713" s="5" t="s">
        <v>3224</v>
      </c>
      <c r="D713" t="s">
        <v>3224</v>
      </c>
      <c r="E713" t="s">
        <v>2009</v>
      </c>
      <c r="F713" t="s">
        <v>1098</v>
      </c>
      <c r="G713" t="s">
        <v>3224</v>
      </c>
    </row>
    <row r="714" spans="1:7" x14ac:dyDescent="0.25">
      <c r="A714" t="s">
        <v>329</v>
      </c>
      <c r="B714" s="5">
        <v>41751</v>
      </c>
      <c r="C714" s="5" t="s">
        <v>3225</v>
      </c>
      <c r="D714" t="s">
        <v>3225</v>
      </c>
      <c r="E714" t="s">
        <v>2102</v>
      </c>
      <c r="F714" t="s">
        <v>1099</v>
      </c>
      <c r="G714" t="s">
        <v>3225</v>
      </c>
    </row>
    <row r="715" spans="1:7" x14ac:dyDescent="0.25">
      <c r="A715" t="s">
        <v>241</v>
      </c>
      <c r="B715" s="5">
        <v>35215</v>
      </c>
      <c r="C715" s="5" t="s">
        <v>5983</v>
      </c>
      <c r="E715" t="s">
        <v>2434</v>
      </c>
      <c r="F715" t="s">
        <v>1100</v>
      </c>
      <c r="G715" t="s">
        <v>5983</v>
      </c>
    </row>
    <row r="716" spans="1:7" x14ac:dyDescent="0.25">
      <c r="A716" t="s">
        <v>202</v>
      </c>
      <c r="B716" s="5">
        <v>36629</v>
      </c>
      <c r="C716" s="5" t="s">
        <v>5984</v>
      </c>
      <c r="E716" t="s">
        <v>1741</v>
      </c>
      <c r="F716" t="s">
        <v>1101</v>
      </c>
      <c r="G716" t="s">
        <v>5984</v>
      </c>
    </row>
    <row r="717" spans="1:7" x14ac:dyDescent="0.25">
      <c r="A717" t="s">
        <v>274</v>
      </c>
      <c r="B717" s="5">
        <v>34099</v>
      </c>
      <c r="C717" s="5" t="s">
        <v>5985</v>
      </c>
      <c r="E717" t="s">
        <v>2579</v>
      </c>
      <c r="F717" t="s">
        <v>1102</v>
      </c>
      <c r="G717" t="s">
        <v>5985</v>
      </c>
    </row>
    <row r="718" spans="1:7" x14ac:dyDescent="0.25">
      <c r="A718" t="s">
        <v>330</v>
      </c>
      <c r="B718" s="5">
        <v>37762</v>
      </c>
      <c r="C718" s="5" t="s">
        <v>5986</v>
      </c>
      <c r="E718" t="s">
        <v>1714</v>
      </c>
      <c r="F718" t="s">
        <v>1103</v>
      </c>
      <c r="G718" t="s">
        <v>5986</v>
      </c>
    </row>
    <row r="719" spans="1:7" x14ac:dyDescent="0.25">
      <c r="A719" t="s">
        <v>262</v>
      </c>
      <c r="B719" s="5">
        <v>36655</v>
      </c>
      <c r="C719" s="5" t="s">
        <v>5987</v>
      </c>
      <c r="E719" t="s">
        <v>1644</v>
      </c>
      <c r="F719" t="s">
        <v>1104</v>
      </c>
      <c r="G719" t="s">
        <v>5987</v>
      </c>
    </row>
    <row r="720" spans="1:7" x14ac:dyDescent="0.25">
      <c r="A720" t="s">
        <v>247</v>
      </c>
      <c r="B720" s="5">
        <v>37018</v>
      </c>
      <c r="C720" s="5" t="s">
        <v>5988</v>
      </c>
      <c r="E720" t="s">
        <v>1873</v>
      </c>
      <c r="F720" t="s">
        <v>1105</v>
      </c>
      <c r="G720" t="s">
        <v>5988</v>
      </c>
    </row>
    <row r="721" spans="1:7" x14ac:dyDescent="0.25">
      <c r="A721" t="s">
        <v>262</v>
      </c>
      <c r="B721" s="5">
        <v>37761</v>
      </c>
      <c r="C721" s="5" t="s">
        <v>5989</v>
      </c>
      <c r="E721" t="s">
        <v>1909</v>
      </c>
      <c r="F721" t="s">
        <v>1106</v>
      </c>
      <c r="G721" t="s">
        <v>5989</v>
      </c>
    </row>
    <row r="722" spans="1:7" x14ac:dyDescent="0.25">
      <c r="A722" t="s">
        <v>262</v>
      </c>
      <c r="B722" s="5">
        <v>41045</v>
      </c>
      <c r="C722" s="5" t="s">
        <v>3226</v>
      </c>
      <c r="D722" t="s">
        <v>3226</v>
      </c>
      <c r="E722" t="s">
        <v>1405</v>
      </c>
      <c r="F722" t="s">
        <v>1107</v>
      </c>
      <c r="G722" t="s">
        <v>3226</v>
      </c>
    </row>
    <row r="723" spans="1:7" x14ac:dyDescent="0.25">
      <c r="A723" t="s">
        <v>267</v>
      </c>
      <c r="B723" s="5">
        <v>33721</v>
      </c>
      <c r="C723" s="5" t="s">
        <v>5990</v>
      </c>
      <c r="E723" t="s">
        <v>2599</v>
      </c>
      <c r="F723" t="s">
        <v>1108</v>
      </c>
      <c r="G723" t="s">
        <v>5990</v>
      </c>
    </row>
    <row r="724" spans="1:7" x14ac:dyDescent="0.25">
      <c r="A724" t="s">
        <v>264</v>
      </c>
      <c r="B724" s="5">
        <v>36276</v>
      </c>
      <c r="C724" s="5" t="s">
        <v>5991</v>
      </c>
      <c r="E724" t="s">
        <v>1406</v>
      </c>
      <c r="F724" t="s">
        <v>1109</v>
      </c>
      <c r="G724" t="s">
        <v>5991</v>
      </c>
    </row>
    <row r="725" spans="1:7" x14ac:dyDescent="0.25">
      <c r="A725" t="s">
        <v>331</v>
      </c>
      <c r="B725" s="5">
        <v>33707</v>
      </c>
      <c r="C725" s="5" t="s">
        <v>5992</v>
      </c>
      <c r="E725" t="s">
        <v>2300</v>
      </c>
      <c r="F725" t="s">
        <v>1110</v>
      </c>
      <c r="G725" t="s">
        <v>5992</v>
      </c>
    </row>
    <row r="726" spans="1:7" x14ac:dyDescent="0.25">
      <c r="A726" t="s">
        <v>292</v>
      </c>
      <c r="B726" s="5">
        <v>35936</v>
      </c>
      <c r="C726" s="5" t="s">
        <v>5889</v>
      </c>
      <c r="E726" t="s">
        <v>1560</v>
      </c>
      <c r="F726" t="s">
        <v>1111</v>
      </c>
      <c r="G726" t="s">
        <v>5889</v>
      </c>
    </row>
    <row r="727" spans="1:7" x14ac:dyDescent="0.25">
      <c r="A727" t="s">
        <v>332</v>
      </c>
      <c r="B727" s="5">
        <v>40660</v>
      </c>
      <c r="C727" s="5" t="s">
        <v>3227</v>
      </c>
      <c r="D727" t="s">
        <v>3227</v>
      </c>
      <c r="E727" t="s">
        <v>1723</v>
      </c>
      <c r="F727" t="s">
        <v>1112</v>
      </c>
      <c r="G727" t="s">
        <v>3227</v>
      </c>
    </row>
    <row r="728" spans="1:7" x14ac:dyDescent="0.25">
      <c r="A728" t="s">
        <v>247</v>
      </c>
      <c r="B728" s="5">
        <v>40340</v>
      </c>
      <c r="C728" s="5" t="s">
        <v>3228</v>
      </c>
      <c r="D728" t="s">
        <v>3228</v>
      </c>
      <c r="F728" t="s">
        <v>1113</v>
      </c>
      <c r="G728" t="s">
        <v>3228</v>
      </c>
    </row>
    <row r="729" spans="1:7" x14ac:dyDescent="0.25">
      <c r="A729" t="s">
        <v>295</v>
      </c>
      <c r="B729" s="5">
        <v>34102</v>
      </c>
      <c r="C729" s="5" t="s">
        <v>5993</v>
      </c>
      <c r="E729" t="s">
        <v>2265</v>
      </c>
      <c r="F729" t="s">
        <v>1114</v>
      </c>
      <c r="G729" t="s">
        <v>5993</v>
      </c>
    </row>
    <row r="730" spans="1:7" x14ac:dyDescent="0.25">
      <c r="A730" t="s">
        <v>333</v>
      </c>
      <c r="B730" s="5">
        <v>41429</v>
      </c>
      <c r="C730" s="5" t="s">
        <v>3229</v>
      </c>
      <c r="D730" t="s">
        <v>3229</v>
      </c>
      <c r="E730" t="s">
        <v>1450</v>
      </c>
      <c r="F730" t="s">
        <v>1115</v>
      </c>
      <c r="G730" t="s">
        <v>3229</v>
      </c>
    </row>
    <row r="731" spans="1:7" x14ac:dyDescent="0.25">
      <c r="A731" t="s">
        <v>238</v>
      </c>
      <c r="B731" s="5">
        <v>37761</v>
      </c>
      <c r="C731" s="5" t="s">
        <v>5994</v>
      </c>
      <c r="E731" t="s">
        <v>2062</v>
      </c>
      <c r="F731" t="s">
        <v>1116</v>
      </c>
      <c r="G731" t="s">
        <v>5994</v>
      </c>
    </row>
    <row r="732" spans="1:7" x14ac:dyDescent="0.25">
      <c r="A732" t="s">
        <v>262</v>
      </c>
      <c r="B732" s="5">
        <v>34477</v>
      </c>
      <c r="C732" s="5" t="s">
        <v>5995</v>
      </c>
      <c r="E732" t="s">
        <v>2549</v>
      </c>
      <c r="F732" t="s">
        <v>1117</v>
      </c>
      <c r="G732" t="s">
        <v>5995</v>
      </c>
    </row>
    <row r="733" spans="1:7" x14ac:dyDescent="0.25">
      <c r="A733" t="s">
        <v>334</v>
      </c>
      <c r="B733" s="5">
        <v>40688</v>
      </c>
      <c r="C733" s="5" t="s">
        <v>3230</v>
      </c>
      <c r="D733" t="s">
        <v>3230</v>
      </c>
      <c r="E733" t="s">
        <v>1695</v>
      </c>
      <c r="F733" t="s">
        <v>1118</v>
      </c>
      <c r="G733" t="s">
        <v>3230</v>
      </c>
    </row>
    <row r="734" spans="1:7" x14ac:dyDescent="0.25">
      <c r="A734" t="s">
        <v>236</v>
      </c>
      <c r="B734" s="5">
        <v>34519</v>
      </c>
      <c r="C734" s="5" t="s">
        <v>5996</v>
      </c>
      <c r="E734" t="s">
        <v>2289</v>
      </c>
      <c r="F734" t="s">
        <v>1119</v>
      </c>
      <c r="G734" t="s">
        <v>5996</v>
      </c>
    </row>
    <row r="735" spans="1:7" x14ac:dyDescent="0.25">
      <c r="A735" t="s">
        <v>290</v>
      </c>
      <c r="B735" s="5">
        <v>35549</v>
      </c>
      <c r="C735" s="5" t="s">
        <v>5997</v>
      </c>
      <c r="E735" t="s">
        <v>2039</v>
      </c>
      <c r="F735" t="s">
        <v>1120</v>
      </c>
      <c r="G735" t="s">
        <v>5997</v>
      </c>
    </row>
    <row r="736" spans="1:7" x14ac:dyDescent="0.25">
      <c r="A736" t="s">
        <v>290</v>
      </c>
      <c r="B736" s="5">
        <v>38461</v>
      </c>
      <c r="C736" s="5" t="s">
        <v>5998</v>
      </c>
      <c r="E736" t="s">
        <v>2012</v>
      </c>
      <c r="F736" t="s">
        <v>1121</v>
      </c>
      <c r="G736" t="s">
        <v>5998</v>
      </c>
    </row>
    <row r="737" spans="1:7" x14ac:dyDescent="0.25">
      <c r="A737" t="s">
        <v>335</v>
      </c>
      <c r="B737" s="5">
        <v>35606</v>
      </c>
      <c r="C737" s="5" t="s">
        <v>5999</v>
      </c>
      <c r="E737" t="s">
        <v>2104</v>
      </c>
      <c r="F737" t="s">
        <v>1122</v>
      </c>
      <c r="G737" t="s">
        <v>5999</v>
      </c>
    </row>
    <row r="738" spans="1:7" x14ac:dyDescent="0.25">
      <c r="A738" t="s">
        <v>217</v>
      </c>
      <c r="B738" s="5">
        <v>37761</v>
      </c>
      <c r="C738" s="5" t="s">
        <v>6000</v>
      </c>
      <c r="E738" t="s">
        <v>1897</v>
      </c>
      <c r="F738" t="s">
        <v>1123</v>
      </c>
      <c r="G738" t="s">
        <v>6000</v>
      </c>
    </row>
    <row r="739" spans="1:7" x14ac:dyDescent="0.25">
      <c r="A739" t="s">
        <v>199</v>
      </c>
      <c r="B739" s="5">
        <v>41401</v>
      </c>
      <c r="C739" s="5" t="s">
        <v>3231</v>
      </c>
      <c r="D739" t="s">
        <v>3231</v>
      </c>
      <c r="E739" t="s">
        <v>1633</v>
      </c>
      <c r="F739" t="s">
        <v>1124</v>
      </c>
      <c r="G739" t="s">
        <v>3231</v>
      </c>
    </row>
    <row r="740" spans="1:7" x14ac:dyDescent="0.25">
      <c r="A740" t="s">
        <v>292</v>
      </c>
      <c r="B740" s="5">
        <v>37383</v>
      </c>
      <c r="C740" s="5" t="s">
        <v>6001</v>
      </c>
      <c r="F740" t="s">
        <v>1125</v>
      </c>
      <c r="G740" t="s">
        <v>6001</v>
      </c>
    </row>
    <row r="741" spans="1:7" x14ac:dyDescent="0.25">
      <c r="A741" t="s">
        <v>295</v>
      </c>
      <c r="B741" s="5">
        <v>33721</v>
      </c>
      <c r="C741" s="5" t="s">
        <v>6002</v>
      </c>
      <c r="E741" t="s">
        <v>2656</v>
      </c>
      <c r="F741" t="s">
        <v>1126</v>
      </c>
      <c r="G741" t="s">
        <v>6002</v>
      </c>
    </row>
    <row r="742" spans="1:7" x14ac:dyDescent="0.25">
      <c r="A742" t="s">
        <v>336</v>
      </c>
      <c r="B742" s="5">
        <v>35562</v>
      </c>
      <c r="C742" s="5" t="s">
        <v>6003</v>
      </c>
      <c r="E742" t="s">
        <v>1996</v>
      </c>
      <c r="F742" t="s">
        <v>1127</v>
      </c>
      <c r="G742" t="s">
        <v>6003</v>
      </c>
    </row>
    <row r="743" spans="1:7" x14ac:dyDescent="0.25">
      <c r="A743" t="s">
        <v>275</v>
      </c>
      <c r="B743" s="5">
        <v>33745</v>
      </c>
      <c r="C743" s="5" t="s">
        <v>6004</v>
      </c>
      <c r="E743" t="s">
        <v>2514</v>
      </c>
      <c r="F743" t="s">
        <v>1128</v>
      </c>
      <c r="G743" t="s">
        <v>6004</v>
      </c>
    </row>
    <row r="744" spans="1:7" x14ac:dyDescent="0.25">
      <c r="A744" t="s">
        <v>337</v>
      </c>
      <c r="B744" s="5">
        <v>33752</v>
      </c>
      <c r="C744" s="5" t="s">
        <v>6005</v>
      </c>
      <c r="E744" t="s">
        <v>2253</v>
      </c>
      <c r="F744" t="s">
        <v>1129</v>
      </c>
      <c r="G744" t="s">
        <v>6005</v>
      </c>
    </row>
    <row r="745" spans="1:7" x14ac:dyDescent="0.25">
      <c r="A745" t="s">
        <v>326</v>
      </c>
      <c r="B745" s="5">
        <v>38825</v>
      </c>
      <c r="C745" s="5" t="s">
        <v>3232</v>
      </c>
      <c r="D745" t="s">
        <v>3232</v>
      </c>
      <c r="E745" t="s">
        <v>1604</v>
      </c>
      <c r="F745" t="s">
        <v>1130</v>
      </c>
      <c r="G745" t="s">
        <v>3232</v>
      </c>
    </row>
    <row r="746" spans="1:7" x14ac:dyDescent="0.25">
      <c r="A746" t="s">
        <v>192</v>
      </c>
      <c r="B746" s="5">
        <v>42170</v>
      </c>
      <c r="C746" s="5" t="s">
        <v>3233</v>
      </c>
      <c r="D746" t="s">
        <v>3233</v>
      </c>
      <c r="E746" t="s">
        <v>1379</v>
      </c>
      <c r="F746" t="s">
        <v>1131</v>
      </c>
      <c r="G746" t="s">
        <v>3233</v>
      </c>
    </row>
    <row r="747" spans="1:7" x14ac:dyDescent="0.25">
      <c r="A747" t="s">
        <v>271</v>
      </c>
      <c r="B747" s="5">
        <v>36283</v>
      </c>
      <c r="C747" s="5" t="s">
        <v>6006</v>
      </c>
      <c r="E747" t="s">
        <v>1361</v>
      </c>
      <c r="F747" t="s">
        <v>1132</v>
      </c>
      <c r="G747" t="s">
        <v>6006</v>
      </c>
    </row>
    <row r="748" spans="1:7" x14ac:dyDescent="0.25">
      <c r="A748" t="s">
        <v>250</v>
      </c>
      <c r="B748" s="5">
        <v>34095</v>
      </c>
      <c r="C748" s="5" t="s">
        <v>6007</v>
      </c>
      <c r="E748" t="s">
        <v>2648</v>
      </c>
      <c r="F748" t="s">
        <v>1133</v>
      </c>
      <c r="G748" t="s">
        <v>6007</v>
      </c>
    </row>
    <row r="749" spans="1:7" x14ac:dyDescent="0.25">
      <c r="A749" t="s">
        <v>209</v>
      </c>
      <c r="B749" s="5">
        <v>34463</v>
      </c>
      <c r="C749" s="5" t="s">
        <v>6008</v>
      </c>
      <c r="F749" t="s">
        <v>1134</v>
      </c>
      <c r="G749" t="s">
        <v>6008</v>
      </c>
    </row>
    <row r="750" spans="1:7" x14ac:dyDescent="0.25">
      <c r="A750" t="s">
        <v>338</v>
      </c>
      <c r="B750" s="5">
        <v>35605</v>
      </c>
      <c r="C750" s="5" t="s">
        <v>6009</v>
      </c>
      <c r="E750" t="s">
        <v>1490</v>
      </c>
      <c r="F750" t="s">
        <v>1135</v>
      </c>
      <c r="G750" t="s">
        <v>6009</v>
      </c>
    </row>
    <row r="751" spans="1:7" x14ac:dyDescent="0.25">
      <c r="A751" t="s">
        <v>234</v>
      </c>
      <c r="B751" s="5">
        <v>41367</v>
      </c>
      <c r="C751" s="5" t="s">
        <v>3234</v>
      </c>
      <c r="D751" t="s">
        <v>3234</v>
      </c>
      <c r="E751" t="s">
        <v>1397</v>
      </c>
      <c r="F751" t="s">
        <v>1136</v>
      </c>
      <c r="G751" t="s">
        <v>3234</v>
      </c>
    </row>
    <row r="752" spans="1:7" x14ac:dyDescent="0.25">
      <c r="A752" t="s">
        <v>199</v>
      </c>
      <c r="B752" s="5">
        <v>39946</v>
      </c>
      <c r="C752" s="5" t="s">
        <v>3235</v>
      </c>
      <c r="D752" t="s">
        <v>3235</v>
      </c>
      <c r="E752" t="s">
        <v>1905</v>
      </c>
      <c r="F752" t="s">
        <v>1137</v>
      </c>
      <c r="G752" t="s">
        <v>3235</v>
      </c>
    </row>
    <row r="753" spans="1:7" x14ac:dyDescent="0.25">
      <c r="A753" t="s">
        <v>295</v>
      </c>
      <c r="B753" s="5">
        <v>34807</v>
      </c>
      <c r="C753" s="5" t="s">
        <v>6010</v>
      </c>
      <c r="E753" t="s">
        <v>2503</v>
      </c>
      <c r="F753" t="s">
        <v>1138</v>
      </c>
      <c r="G753" t="s">
        <v>6010</v>
      </c>
    </row>
    <row r="754" spans="1:7" x14ac:dyDescent="0.25">
      <c r="A754" t="s">
        <v>271</v>
      </c>
      <c r="B754" s="5">
        <v>34470</v>
      </c>
      <c r="C754" s="5" t="s">
        <v>6011</v>
      </c>
      <c r="E754" t="s">
        <v>2308</v>
      </c>
      <c r="F754" t="s">
        <v>1139</v>
      </c>
      <c r="G754" t="s">
        <v>6011</v>
      </c>
    </row>
    <row r="755" spans="1:7" x14ac:dyDescent="0.25">
      <c r="A755" t="s">
        <v>339</v>
      </c>
      <c r="B755" s="5">
        <v>39931</v>
      </c>
      <c r="C755" s="5" t="s">
        <v>6012</v>
      </c>
      <c r="F755" t="s">
        <v>1140</v>
      </c>
      <c r="G755" t="s">
        <v>6012</v>
      </c>
    </row>
    <row r="756" spans="1:7" x14ac:dyDescent="0.25">
      <c r="A756" t="s">
        <v>340</v>
      </c>
      <c r="B756" s="5">
        <v>33753</v>
      </c>
      <c r="C756" s="5" t="s">
        <v>6013</v>
      </c>
      <c r="E756" t="s">
        <v>2354</v>
      </c>
      <c r="F756" t="s">
        <v>1141</v>
      </c>
      <c r="G756" t="s">
        <v>6013</v>
      </c>
    </row>
    <row r="757" spans="1:7" x14ac:dyDescent="0.25">
      <c r="A757" t="s">
        <v>233</v>
      </c>
      <c r="B757" s="5">
        <v>35199</v>
      </c>
      <c r="C757" s="5" t="s">
        <v>6014</v>
      </c>
      <c r="E757" t="s">
        <v>2510</v>
      </c>
      <c r="F757" t="s">
        <v>1142</v>
      </c>
      <c r="G757" t="s">
        <v>6014</v>
      </c>
    </row>
    <row r="758" spans="1:7" x14ac:dyDescent="0.25">
      <c r="A758" t="s">
        <v>204</v>
      </c>
      <c r="B758" s="5">
        <v>34434</v>
      </c>
      <c r="C758" s="5" t="s">
        <v>6015</v>
      </c>
      <c r="E758" t="s">
        <v>2372</v>
      </c>
      <c r="F758" t="s">
        <v>1143</v>
      </c>
      <c r="G758" t="s">
        <v>6015</v>
      </c>
    </row>
    <row r="759" spans="1:7" x14ac:dyDescent="0.25">
      <c r="A759" t="s">
        <v>329</v>
      </c>
      <c r="B759" s="5">
        <v>38126</v>
      </c>
      <c r="C759" s="5" t="s">
        <v>6016</v>
      </c>
      <c r="E759" t="s">
        <v>1788</v>
      </c>
      <c r="F759" t="s">
        <v>1144</v>
      </c>
      <c r="G759" t="s">
        <v>6016</v>
      </c>
    </row>
    <row r="760" spans="1:7" x14ac:dyDescent="0.25">
      <c r="A760" t="s">
        <v>304</v>
      </c>
      <c r="B760" s="5">
        <v>35921</v>
      </c>
      <c r="C760" s="5" t="s">
        <v>6017</v>
      </c>
      <c r="E760" t="s">
        <v>2724</v>
      </c>
      <c r="F760" t="s">
        <v>1145</v>
      </c>
      <c r="G760" t="s">
        <v>6017</v>
      </c>
    </row>
    <row r="761" spans="1:7" x14ac:dyDescent="0.25">
      <c r="A761" t="s">
        <v>341</v>
      </c>
      <c r="B761" s="5">
        <v>33785</v>
      </c>
      <c r="C761" s="5" t="s">
        <v>6018</v>
      </c>
      <c r="F761" t="s">
        <v>1146</v>
      </c>
      <c r="G761" t="s">
        <v>6018</v>
      </c>
    </row>
    <row r="762" spans="1:7" x14ac:dyDescent="0.25">
      <c r="A762" t="s">
        <v>199</v>
      </c>
      <c r="B762" s="5">
        <v>35200</v>
      </c>
      <c r="C762" s="5" t="s">
        <v>6019</v>
      </c>
      <c r="E762" t="s">
        <v>2632</v>
      </c>
      <c r="F762" t="s">
        <v>1147</v>
      </c>
      <c r="G762" t="s">
        <v>6019</v>
      </c>
    </row>
    <row r="763" spans="1:7" x14ac:dyDescent="0.25">
      <c r="A763" t="s">
        <v>289</v>
      </c>
      <c r="B763" s="5">
        <v>34437</v>
      </c>
      <c r="C763" s="5" t="s">
        <v>6020</v>
      </c>
      <c r="E763" t="s">
        <v>2219</v>
      </c>
      <c r="F763" t="s">
        <v>1148</v>
      </c>
      <c r="G763" t="s">
        <v>6020</v>
      </c>
    </row>
    <row r="764" spans="1:7" x14ac:dyDescent="0.25">
      <c r="A764" t="s">
        <v>342</v>
      </c>
      <c r="B764" s="5">
        <v>37390</v>
      </c>
      <c r="C764" s="5" t="s">
        <v>6021</v>
      </c>
      <c r="E764" t="s">
        <v>1537</v>
      </c>
      <c r="F764" t="s">
        <v>1149</v>
      </c>
      <c r="G764" t="s">
        <v>6021</v>
      </c>
    </row>
    <row r="765" spans="1:7" x14ac:dyDescent="0.25">
      <c r="A765" t="s">
        <v>329</v>
      </c>
      <c r="B765" s="5">
        <v>40703</v>
      </c>
      <c r="C765" s="5" t="s">
        <v>3236</v>
      </c>
      <c r="D765" t="s">
        <v>3236</v>
      </c>
      <c r="E765" t="s">
        <v>1688</v>
      </c>
      <c r="F765" t="s">
        <v>1150</v>
      </c>
      <c r="G765" t="s">
        <v>3236</v>
      </c>
    </row>
    <row r="766" spans="1:7" x14ac:dyDescent="0.25">
      <c r="A766" t="s">
        <v>289</v>
      </c>
      <c r="B766" s="5">
        <v>33704</v>
      </c>
      <c r="C766" s="5" t="s">
        <v>6022</v>
      </c>
      <c r="E766" t="s">
        <v>2706</v>
      </c>
      <c r="F766" t="s">
        <v>1151</v>
      </c>
      <c r="G766" t="s">
        <v>6022</v>
      </c>
    </row>
    <row r="767" spans="1:7" x14ac:dyDescent="0.25">
      <c r="A767" t="s">
        <v>222</v>
      </c>
      <c r="B767" s="5">
        <v>40686</v>
      </c>
      <c r="C767" s="5" t="s">
        <v>3237</v>
      </c>
      <c r="D767" t="s">
        <v>3237</v>
      </c>
      <c r="E767" t="s">
        <v>1464</v>
      </c>
      <c r="F767" t="s">
        <v>1152</v>
      </c>
      <c r="G767" t="s">
        <v>3237</v>
      </c>
    </row>
    <row r="768" spans="1:7" x14ac:dyDescent="0.25">
      <c r="A768" t="s">
        <v>271</v>
      </c>
      <c r="B768" s="5">
        <v>33730</v>
      </c>
      <c r="C768" s="5" t="s">
        <v>6023</v>
      </c>
      <c r="E768" t="s">
        <v>2561</v>
      </c>
      <c r="F768" t="s">
        <v>1153</v>
      </c>
      <c r="G768" t="s">
        <v>6023</v>
      </c>
    </row>
    <row r="769" spans="1:7" x14ac:dyDescent="0.25">
      <c r="A769" t="s">
        <v>343</v>
      </c>
      <c r="B769" s="5">
        <v>42166</v>
      </c>
      <c r="C769" s="5" t="s">
        <v>3238</v>
      </c>
      <c r="D769" t="s">
        <v>3238</v>
      </c>
      <c r="E769" t="s">
        <v>1554</v>
      </c>
      <c r="F769" t="s">
        <v>1154</v>
      </c>
      <c r="G769" t="s">
        <v>3238</v>
      </c>
    </row>
    <row r="770" spans="1:7" x14ac:dyDescent="0.25">
      <c r="A770" t="s">
        <v>262</v>
      </c>
      <c r="B770" s="5">
        <v>33784</v>
      </c>
      <c r="C770" s="5" t="s">
        <v>6024</v>
      </c>
      <c r="E770" t="s">
        <v>2487</v>
      </c>
      <c r="F770" t="s">
        <v>1155</v>
      </c>
      <c r="G770" t="s">
        <v>6024</v>
      </c>
    </row>
    <row r="771" spans="1:7" x14ac:dyDescent="0.25">
      <c r="A771" t="s">
        <v>204</v>
      </c>
      <c r="B771" s="5">
        <v>36663</v>
      </c>
      <c r="C771" s="5" t="s">
        <v>6025</v>
      </c>
      <c r="E771" t="s">
        <v>1364</v>
      </c>
      <c r="F771" t="s">
        <v>1156</v>
      </c>
      <c r="G771" t="s">
        <v>6025</v>
      </c>
    </row>
    <row r="772" spans="1:7" x14ac:dyDescent="0.25">
      <c r="A772" t="s">
        <v>261</v>
      </c>
      <c r="B772" s="5">
        <v>35920</v>
      </c>
      <c r="C772" s="5" t="s">
        <v>6026</v>
      </c>
      <c r="F772" t="s">
        <v>1157</v>
      </c>
      <c r="G772" t="s">
        <v>6026</v>
      </c>
    </row>
    <row r="773" spans="1:7" x14ac:dyDescent="0.25">
      <c r="A773" t="s">
        <v>262</v>
      </c>
      <c r="B773" s="5">
        <v>38854</v>
      </c>
      <c r="C773" s="5" t="s">
        <v>3239</v>
      </c>
      <c r="D773" t="s">
        <v>3239</v>
      </c>
      <c r="E773" t="s">
        <v>1354</v>
      </c>
      <c r="F773" t="s">
        <v>1158</v>
      </c>
      <c r="G773" t="s">
        <v>3239</v>
      </c>
    </row>
    <row r="774" spans="1:7" x14ac:dyDescent="0.25">
      <c r="A774" t="s">
        <v>304</v>
      </c>
      <c r="B774" s="5">
        <v>34836</v>
      </c>
      <c r="C774" s="5" t="s">
        <v>6027</v>
      </c>
      <c r="E774" t="s">
        <v>2512</v>
      </c>
      <c r="F774" t="s">
        <v>1159</v>
      </c>
      <c r="G774" t="s">
        <v>6027</v>
      </c>
    </row>
    <row r="775" spans="1:7" x14ac:dyDescent="0.25">
      <c r="A775" t="s">
        <v>217</v>
      </c>
      <c r="B775" s="5">
        <v>36665</v>
      </c>
      <c r="C775" s="5" t="s">
        <v>6028</v>
      </c>
      <c r="E775" t="s">
        <v>1639</v>
      </c>
      <c r="F775" t="s">
        <v>1160</v>
      </c>
      <c r="G775" t="s">
        <v>6028</v>
      </c>
    </row>
    <row r="776" spans="1:7" x14ac:dyDescent="0.25">
      <c r="A776" t="s">
        <v>204</v>
      </c>
      <c r="B776" s="5">
        <v>36669</v>
      </c>
      <c r="C776" s="5" t="s">
        <v>6029</v>
      </c>
      <c r="E776" t="s">
        <v>1929</v>
      </c>
      <c r="F776" t="s">
        <v>1161</v>
      </c>
      <c r="G776" t="s">
        <v>6029</v>
      </c>
    </row>
    <row r="777" spans="1:7" x14ac:dyDescent="0.25">
      <c r="A777" t="s">
        <v>290</v>
      </c>
      <c r="B777" s="5">
        <v>36668</v>
      </c>
      <c r="C777" s="5" t="s">
        <v>6030</v>
      </c>
      <c r="F777" t="s">
        <v>1162</v>
      </c>
      <c r="G777" t="s">
        <v>6030</v>
      </c>
    </row>
    <row r="778" spans="1:7" x14ac:dyDescent="0.25">
      <c r="A778" t="s">
        <v>292</v>
      </c>
      <c r="B778" s="5">
        <v>36665</v>
      </c>
      <c r="C778" s="5" t="s">
        <v>6031</v>
      </c>
      <c r="E778" t="s">
        <v>1822</v>
      </c>
      <c r="F778" t="s">
        <v>1163</v>
      </c>
      <c r="G778" t="s">
        <v>6031</v>
      </c>
    </row>
    <row r="779" spans="1:7" x14ac:dyDescent="0.25">
      <c r="A779" t="s">
        <v>261</v>
      </c>
      <c r="B779" s="5">
        <v>33730</v>
      </c>
      <c r="C779" s="5" t="s">
        <v>6032</v>
      </c>
      <c r="E779" t="s">
        <v>2683</v>
      </c>
      <c r="F779" t="s">
        <v>1164</v>
      </c>
      <c r="G779" t="s">
        <v>6032</v>
      </c>
    </row>
    <row r="780" spans="1:7" x14ac:dyDescent="0.25">
      <c r="A780" t="s">
        <v>255</v>
      </c>
      <c r="B780" s="5">
        <v>35548</v>
      </c>
      <c r="C780" s="5" t="s">
        <v>6033</v>
      </c>
      <c r="E780" t="s">
        <v>1777</v>
      </c>
      <c r="F780" t="s">
        <v>1165</v>
      </c>
      <c r="G780" t="s">
        <v>6033</v>
      </c>
    </row>
    <row r="781" spans="1:7" x14ac:dyDescent="0.25">
      <c r="A781" t="s">
        <v>295</v>
      </c>
      <c r="B781" s="5">
        <v>35919</v>
      </c>
      <c r="C781" s="5" t="s">
        <v>6034</v>
      </c>
      <c r="E781" t="s">
        <v>2732</v>
      </c>
      <c r="F781" t="s">
        <v>1166</v>
      </c>
      <c r="G781" t="s">
        <v>6034</v>
      </c>
    </row>
    <row r="782" spans="1:7" x14ac:dyDescent="0.25">
      <c r="A782" t="s">
        <v>226</v>
      </c>
      <c r="B782" s="5">
        <v>34458</v>
      </c>
      <c r="C782" s="5" t="s">
        <v>6035</v>
      </c>
      <c r="E782" t="s">
        <v>2200</v>
      </c>
      <c r="F782" t="s">
        <v>1167</v>
      </c>
      <c r="G782" t="s">
        <v>6035</v>
      </c>
    </row>
    <row r="783" spans="1:7" x14ac:dyDescent="0.25">
      <c r="A783" t="s">
        <v>308</v>
      </c>
      <c r="B783" s="5">
        <v>38113</v>
      </c>
      <c r="C783" s="5" t="s">
        <v>6036</v>
      </c>
      <c r="E783" t="s">
        <v>1371</v>
      </c>
      <c r="F783" t="s">
        <v>1168</v>
      </c>
      <c r="G783" t="s">
        <v>6036</v>
      </c>
    </row>
    <row r="784" spans="1:7" x14ac:dyDescent="0.25">
      <c r="A784" t="s">
        <v>329</v>
      </c>
      <c r="B784" s="5">
        <v>40703</v>
      </c>
      <c r="C784" s="5" t="s">
        <v>3236</v>
      </c>
      <c r="D784" t="s">
        <v>3236</v>
      </c>
      <c r="E784" t="s">
        <v>1688</v>
      </c>
      <c r="F784" t="s">
        <v>1169</v>
      </c>
      <c r="G784" t="s">
        <v>3236</v>
      </c>
    </row>
    <row r="785" spans="1:7" x14ac:dyDescent="0.25">
      <c r="A785" t="s">
        <v>308</v>
      </c>
      <c r="B785" s="5">
        <v>37385</v>
      </c>
      <c r="C785" s="5" t="s">
        <v>6037</v>
      </c>
      <c r="E785" t="s">
        <v>1462</v>
      </c>
      <c r="F785" t="s">
        <v>1170</v>
      </c>
      <c r="G785" t="s">
        <v>6037</v>
      </c>
    </row>
    <row r="786" spans="1:7" x14ac:dyDescent="0.25">
      <c r="A786" t="s">
        <v>298</v>
      </c>
      <c r="B786" s="5">
        <v>35542</v>
      </c>
      <c r="C786" s="5" t="s">
        <v>6038</v>
      </c>
      <c r="E786" t="s">
        <v>1506</v>
      </c>
      <c r="F786" t="s">
        <v>1171</v>
      </c>
      <c r="G786" t="s">
        <v>6038</v>
      </c>
    </row>
    <row r="787" spans="1:7" x14ac:dyDescent="0.25">
      <c r="A787" t="s">
        <v>195</v>
      </c>
      <c r="B787" s="5">
        <v>36283</v>
      </c>
      <c r="C787" s="5" t="s">
        <v>6039</v>
      </c>
      <c r="E787" t="s">
        <v>1511</v>
      </c>
      <c r="F787" t="s">
        <v>1172</v>
      </c>
      <c r="G787" t="s">
        <v>6039</v>
      </c>
    </row>
    <row r="788" spans="1:7" x14ac:dyDescent="0.25">
      <c r="A788" t="s">
        <v>267</v>
      </c>
      <c r="B788" s="5">
        <v>34102</v>
      </c>
      <c r="C788" s="5" t="s">
        <v>6040</v>
      </c>
      <c r="E788" t="s">
        <v>2604</v>
      </c>
      <c r="F788" t="s">
        <v>1173</v>
      </c>
      <c r="G788" t="s">
        <v>6040</v>
      </c>
    </row>
    <row r="789" spans="1:7" x14ac:dyDescent="0.25">
      <c r="A789" t="s">
        <v>297</v>
      </c>
      <c r="B789" s="5">
        <v>36664</v>
      </c>
      <c r="C789" s="5" t="s">
        <v>6041</v>
      </c>
      <c r="E789" t="s">
        <v>1776</v>
      </c>
      <c r="F789" t="s">
        <v>1174</v>
      </c>
      <c r="G789" t="s">
        <v>6041</v>
      </c>
    </row>
    <row r="790" spans="1:7" x14ac:dyDescent="0.25">
      <c r="A790" t="s">
        <v>344</v>
      </c>
      <c r="B790" s="5">
        <v>39932</v>
      </c>
      <c r="C790" s="5" t="s">
        <v>3240</v>
      </c>
      <c r="D790" t="s">
        <v>3240</v>
      </c>
      <c r="E790" t="s">
        <v>1486</v>
      </c>
      <c r="F790" t="s">
        <v>1175</v>
      </c>
      <c r="G790" t="s">
        <v>3240</v>
      </c>
    </row>
    <row r="791" spans="1:7" x14ac:dyDescent="0.25">
      <c r="A791" t="s">
        <v>274</v>
      </c>
      <c r="B791" s="5">
        <v>33722</v>
      </c>
      <c r="C791" s="5" t="s">
        <v>6042</v>
      </c>
      <c r="E791" t="s">
        <v>2277</v>
      </c>
      <c r="F791" t="s">
        <v>1176</v>
      </c>
      <c r="G791" t="s">
        <v>6042</v>
      </c>
    </row>
    <row r="792" spans="1:7" x14ac:dyDescent="0.25">
      <c r="A792" t="s">
        <v>333</v>
      </c>
      <c r="B792" s="5">
        <v>39931</v>
      </c>
      <c r="C792" s="5" t="s">
        <v>3241</v>
      </c>
      <c r="D792" t="s">
        <v>3241</v>
      </c>
      <c r="E792" t="s">
        <v>1395</v>
      </c>
      <c r="F792" t="s">
        <v>1177</v>
      </c>
      <c r="G792" t="s">
        <v>3241</v>
      </c>
    </row>
    <row r="793" spans="1:7" x14ac:dyDescent="0.25">
      <c r="A793" t="s">
        <v>336</v>
      </c>
      <c r="B793" s="5">
        <v>34486</v>
      </c>
      <c r="C793" s="5" t="s">
        <v>6043</v>
      </c>
      <c r="E793" t="s">
        <v>2611</v>
      </c>
      <c r="F793" t="s">
        <v>1178</v>
      </c>
      <c r="G793" t="s">
        <v>6043</v>
      </c>
    </row>
    <row r="794" spans="1:7" x14ac:dyDescent="0.25">
      <c r="A794" t="s">
        <v>306</v>
      </c>
      <c r="B794" s="5">
        <v>38106</v>
      </c>
      <c r="C794" s="5" t="s">
        <v>6044</v>
      </c>
      <c r="E794" t="s">
        <v>2085</v>
      </c>
      <c r="F794" t="s">
        <v>1179</v>
      </c>
      <c r="G794" t="s">
        <v>6044</v>
      </c>
    </row>
    <row r="795" spans="1:7" x14ac:dyDescent="0.25">
      <c r="A795" t="s">
        <v>242</v>
      </c>
      <c r="B795" s="5">
        <v>37042</v>
      </c>
      <c r="C795" s="5" t="s">
        <v>6045</v>
      </c>
      <c r="E795" t="s">
        <v>1760</v>
      </c>
      <c r="F795" t="s">
        <v>1180</v>
      </c>
      <c r="G795" t="s">
        <v>6045</v>
      </c>
    </row>
    <row r="796" spans="1:7" x14ac:dyDescent="0.25">
      <c r="A796" t="s">
        <v>274</v>
      </c>
      <c r="B796" s="5">
        <v>41387</v>
      </c>
      <c r="C796" s="5" t="s">
        <v>3242</v>
      </c>
      <c r="D796" t="s">
        <v>3242</v>
      </c>
      <c r="E796" t="s">
        <v>2003</v>
      </c>
      <c r="F796" t="s">
        <v>1181</v>
      </c>
      <c r="G796" t="s">
        <v>3242</v>
      </c>
    </row>
    <row r="797" spans="1:7" x14ac:dyDescent="0.25">
      <c r="A797" t="s">
        <v>342</v>
      </c>
      <c r="B797" s="5">
        <v>37026</v>
      </c>
      <c r="C797" s="5" t="s">
        <v>6046</v>
      </c>
      <c r="E797" t="s">
        <v>1922</v>
      </c>
      <c r="F797" t="s">
        <v>1182</v>
      </c>
      <c r="G797" t="s">
        <v>6046</v>
      </c>
    </row>
    <row r="798" spans="1:7" x14ac:dyDescent="0.25">
      <c r="A798" t="s">
        <v>285</v>
      </c>
      <c r="B798" s="5">
        <v>34494</v>
      </c>
      <c r="C798" s="5" t="s">
        <v>6047</v>
      </c>
      <c r="E798" t="s">
        <v>2367</v>
      </c>
      <c r="F798" t="s">
        <v>1183</v>
      </c>
      <c r="G798" t="s">
        <v>6047</v>
      </c>
    </row>
    <row r="799" spans="1:7" x14ac:dyDescent="0.25">
      <c r="A799" t="s">
        <v>285</v>
      </c>
      <c r="B799" s="5">
        <v>35571</v>
      </c>
      <c r="C799" s="5" t="s">
        <v>6048</v>
      </c>
      <c r="E799" t="s">
        <v>1561</v>
      </c>
      <c r="F799" t="s">
        <v>1184</v>
      </c>
      <c r="G799" t="s">
        <v>6048</v>
      </c>
    </row>
    <row r="800" spans="1:7" x14ac:dyDescent="0.25">
      <c r="A800" t="s">
        <v>345</v>
      </c>
      <c r="B800" s="5">
        <v>36283</v>
      </c>
      <c r="C800" s="5" t="s">
        <v>6049</v>
      </c>
      <c r="E800" t="s">
        <v>2723</v>
      </c>
      <c r="F800" t="s">
        <v>1185</v>
      </c>
      <c r="G800" t="s">
        <v>6049</v>
      </c>
    </row>
    <row r="801" spans="1:7" x14ac:dyDescent="0.25">
      <c r="A801" t="s">
        <v>346</v>
      </c>
      <c r="B801" s="5">
        <v>41401</v>
      </c>
      <c r="C801" s="5" t="s">
        <v>3243</v>
      </c>
      <c r="D801" t="s">
        <v>3243</v>
      </c>
      <c r="E801" t="s">
        <v>1906</v>
      </c>
      <c r="F801" t="s">
        <v>1186</v>
      </c>
      <c r="G801" t="s">
        <v>3243</v>
      </c>
    </row>
    <row r="802" spans="1:7" x14ac:dyDescent="0.25">
      <c r="A802" t="s">
        <v>347</v>
      </c>
      <c r="B802" s="5">
        <v>35191</v>
      </c>
      <c r="C802" s="5" t="s">
        <v>6050</v>
      </c>
      <c r="E802" t="s">
        <v>2322</v>
      </c>
      <c r="F802" t="s">
        <v>1187</v>
      </c>
      <c r="G802" t="s">
        <v>6050</v>
      </c>
    </row>
    <row r="803" spans="1:7" x14ac:dyDescent="0.25">
      <c r="A803" t="s">
        <v>348</v>
      </c>
      <c r="B803" s="5">
        <v>39612</v>
      </c>
      <c r="C803" s="5" t="s">
        <v>3244</v>
      </c>
      <c r="D803" t="s">
        <v>3244</v>
      </c>
      <c r="E803" t="s">
        <v>2035</v>
      </c>
      <c r="F803" t="s">
        <v>1188</v>
      </c>
      <c r="G803" t="s">
        <v>3244</v>
      </c>
    </row>
    <row r="804" spans="1:7" x14ac:dyDescent="0.25">
      <c r="A804" t="s">
        <v>231</v>
      </c>
      <c r="B804" s="5">
        <v>39947</v>
      </c>
      <c r="C804" s="5" t="s">
        <v>3245</v>
      </c>
      <c r="D804" t="s">
        <v>3245</v>
      </c>
      <c r="E804" t="s">
        <v>2037</v>
      </c>
      <c r="F804" t="s">
        <v>1189</v>
      </c>
      <c r="G804" t="s">
        <v>3245</v>
      </c>
    </row>
    <row r="805" spans="1:7" x14ac:dyDescent="0.25">
      <c r="A805" t="s">
        <v>250</v>
      </c>
      <c r="B805" s="5">
        <v>35193</v>
      </c>
      <c r="C805" s="5" t="s">
        <v>6051</v>
      </c>
      <c r="E805" t="s">
        <v>2498</v>
      </c>
      <c r="F805" t="s">
        <v>1190</v>
      </c>
      <c r="G805" t="s">
        <v>6051</v>
      </c>
    </row>
    <row r="806" spans="1:7" x14ac:dyDescent="0.25">
      <c r="A806" t="s">
        <v>340</v>
      </c>
      <c r="B806" s="5">
        <v>35544</v>
      </c>
      <c r="C806" s="5" t="s">
        <v>6052</v>
      </c>
      <c r="E806" t="s">
        <v>1378</v>
      </c>
      <c r="F806" t="s">
        <v>1191</v>
      </c>
      <c r="G806" t="s">
        <v>6052</v>
      </c>
    </row>
    <row r="807" spans="1:7" x14ac:dyDescent="0.25">
      <c r="A807" t="s">
        <v>238</v>
      </c>
      <c r="B807" s="5">
        <v>39980</v>
      </c>
      <c r="C807" s="5" t="s">
        <v>3246</v>
      </c>
      <c r="D807" t="s">
        <v>3246</v>
      </c>
      <c r="E807" t="s">
        <v>1478</v>
      </c>
      <c r="F807" t="s">
        <v>1192</v>
      </c>
      <c r="G807" t="s">
        <v>3246</v>
      </c>
    </row>
    <row r="808" spans="1:7" x14ac:dyDescent="0.25">
      <c r="A808" t="s">
        <v>328</v>
      </c>
      <c r="B808" s="5">
        <v>38119</v>
      </c>
      <c r="C808" s="5" t="s">
        <v>6053</v>
      </c>
      <c r="E808" t="s">
        <v>1797</v>
      </c>
      <c r="F808" t="s">
        <v>1193</v>
      </c>
      <c r="G808" t="s">
        <v>6053</v>
      </c>
    </row>
    <row r="809" spans="1:7" x14ac:dyDescent="0.25">
      <c r="A809" t="s">
        <v>349</v>
      </c>
      <c r="B809" s="5">
        <v>34806</v>
      </c>
      <c r="C809" s="5" t="s">
        <v>6054</v>
      </c>
      <c r="E809" t="s">
        <v>2283</v>
      </c>
      <c r="F809" t="s">
        <v>1194</v>
      </c>
      <c r="G809" t="s">
        <v>6054</v>
      </c>
    </row>
    <row r="810" spans="1:7" x14ac:dyDescent="0.25">
      <c r="A810" t="s">
        <v>245</v>
      </c>
      <c r="B810" s="5">
        <v>34487</v>
      </c>
      <c r="C810" s="5" t="s">
        <v>6055</v>
      </c>
      <c r="E810" t="s">
        <v>2602</v>
      </c>
      <c r="F810" t="s">
        <v>1195</v>
      </c>
      <c r="G810" t="s">
        <v>6055</v>
      </c>
    </row>
    <row r="811" spans="1:7" x14ac:dyDescent="0.25">
      <c r="A811" t="s">
        <v>350</v>
      </c>
      <c r="B811" s="5">
        <v>39217</v>
      </c>
      <c r="C811" s="5" t="s">
        <v>6056</v>
      </c>
      <c r="E811" t="s">
        <v>1679</v>
      </c>
      <c r="F811" t="s">
        <v>1196</v>
      </c>
      <c r="G811" t="s">
        <v>6056</v>
      </c>
    </row>
    <row r="812" spans="1:7" x14ac:dyDescent="0.25">
      <c r="A812" t="s">
        <v>328</v>
      </c>
      <c r="B812" s="5">
        <v>39946</v>
      </c>
      <c r="C812" s="5" t="s">
        <v>6057</v>
      </c>
      <c r="F812" t="s">
        <v>1197</v>
      </c>
      <c r="G812" t="s">
        <v>6057</v>
      </c>
    </row>
    <row r="813" spans="1:7" x14ac:dyDescent="0.25">
      <c r="A813" t="s">
        <v>351</v>
      </c>
      <c r="B813" s="5">
        <v>37760</v>
      </c>
      <c r="C813" s="5" t="s">
        <v>6058</v>
      </c>
      <c r="E813" t="s">
        <v>1590</v>
      </c>
      <c r="F813" t="s">
        <v>1198</v>
      </c>
      <c r="G813" t="s">
        <v>6058</v>
      </c>
    </row>
    <row r="814" spans="1:7" x14ac:dyDescent="0.25">
      <c r="A814" t="s">
        <v>217</v>
      </c>
      <c r="B814" s="5">
        <v>42115</v>
      </c>
      <c r="C814" s="5" t="s">
        <v>3247</v>
      </c>
      <c r="D814" t="s">
        <v>3247</v>
      </c>
      <c r="E814" t="s">
        <v>1923</v>
      </c>
      <c r="F814" t="s">
        <v>1199</v>
      </c>
      <c r="G814" t="s">
        <v>3247</v>
      </c>
    </row>
    <row r="815" spans="1:7" x14ac:dyDescent="0.25">
      <c r="A815" t="s">
        <v>347</v>
      </c>
      <c r="B815" s="5">
        <v>34466</v>
      </c>
      <c r="C815" s="5" t="s">
        <v>6059</v>
      </c>
      <c r="E815" t="s">
        <v>2440</v>
      </c>
      <c r="F815" t="s">
        <v>1200</v>
      </c>
      <c r="G815" t="s">
        <v>6059</v>
      </c>
    </row>
    <row r="816" spans="1:7" x14ac:dyDescent="0.25">
      <c r="A816" t="s">
        <v>326</v>
      </c>
      <c r="B816" s="5">
        <v>36661</v>
      </c>
      <c r="C816" s="5" t="s">
        <v>6060</v>
      </c>
      <c r="E816" t="s">
        <v>1992</v>
      </c>
      <c r="F816" t="s">
        <v>1201</v>
      </c>
      <c r="G816" t="s">
        <v>6060</v>
      </c>
    </row>
    <row r="817" spans="1:7" x14ac:dyDescent="0.25">
      <c r="A817" t="s">
        <v>217</v>
      </c>
      <c r="B817" s="5">
        <v>42115</v>
      </c>
      <c r="C817" s="5" t="s">
        <v>3247</v>
      </c>
      <c r="D817" t="s">
        <v>3247</v>
      </c>
      <c r="E817" t="s">
        <v>1923</v>
      </c>
      <c r="F817" t="s">
        <v>1202</v>
      </c>
      <c r="G817" t="s">
        <v>3247</v>
      </c>
    </row>
    <row r="818" spans="1:7" x14ac:dyDescent="0.25">
      <c r="A818" t="s">
        <v>193</v>
      </c>
      <c r="B818" s="5">
        <v>34473</v>
      </c>
      <c r="C818" s="5" t="s">
        <v>6061</v>
      </c>
      <c r="E818" t="s">
        <v>2689</v>
      </c>
      <c r="F818" t="s">
        <v>1203</v>
      </c>
      <c r="G818" t="s">
        <v>6061</v>
      </c>
    </row>
    <row r="819" spans="1:7" x14ac:dyDescent="0.25">
      <c r="A819" t="s">
        <v>309</v>
      </c>
      <c r="B819" s="5">
        <v>33754</v>
      </c>
      <c r="C819" s="5" t="s">
        <v>6062</v>
      </c>
      <c r="E819" t="s">
        <v>2647</v>
      </c>
      <c r="F819" t="s">
        <v>1204</v>
      </c>
      <c r="G819" t="s">
        <v>6062</v>
      </c>
    </row>
    <row r="820" spans="1:7" x14ac:dyDescent="0.25">
      <c r="A820" t="s">
        <v>290</v>
      </c>
      <c r="B820" s="5">
        <v>39944</v>
      </c>
      <c r="C820" s="5" t="s">
        <v>3197</v>
      </c>
      <c r="D820" t="s">
        <v>3197</v>
      </c>
      <c r="E820" t="s">
        <v>2081</v>
      </c>
      <c r="F820" t="s">
        <v>1205</v>
      </c>
      <c r="G820" t="s">
        <v>3197</v>
      </c>
    </row>
    <row r="821" spans="1:7" x14ac:dyDescent="0.25">
      <c r="A821" t="s">
        <v>274</v>
      </c>
      <c r="B821" s="5">
        <v>36278</v>
      </c>
      <c r="C821" s="5" t="s">
        <v>6063</v>
      </c>
      <c r="E821" t="s">
        <v>1706</v>
      </c>
      <c r="F821" t="s">
        <v>1206</v>
      </c>
      <c r="G821" t="s">
        <v>6063</v>
      </c>
    </row>
    <row r="822" spans="1:7" x14ac:dyDescent="0.25">
      <c r="A822" t="s">
        <v>247</v>
      </c>
      <c r="B822" s="5">
        <v>36635</v>
      </c>
      <c r="C822" s="5" t="s">
        <v>6064</v>
      </c>
      <c r="E822" t="s">
        <v>1724</v>
      </c>
      <c r="F822" t="s">
        <v>1207</v>
      </c>
      <c r="G822" t="s">
        <v>6064</v>
      </c>
    </row>
    <row r="823" spans="1:7" x14ac:dyDescent="0.25">
      <c r="A823" t="s">
        <v>340</v>
      </c>
      <c r="B823" s="5">
        <v>34451</v>
      </c>
      <c r="C823" s="5" t="s">
        <v>6065</v>
      </c>
      <c r="E823" t="s">
        <v>2618</v>
      </c>
      <c r="F823" t="s">
        <v>1208</v>
      </c>
      <c r="G823" t="s">
        <v>6065</v>
      </c>
    </row>
    <row r="824" spans="1:7" x14ac:dyDescent="0.25">
      <c r="A824" t="s">
        <v>306</v>
      </c>
      <c r="B824" s="5">
        <v>39584</v>
      </c>
      <c r="C824" s="5" t="s">
        <v>6066</v>
      </c>
      <c r="F824" t="s">
        <v>1209</v>
      </c>
      <c r="G824" t="s">
        <v>6066</v>
      </c>
    </row>
    <row r="825" spans="1:7" x14ac:dyDescent="0.25">
      <c r="A825" t="s">
        <v>347</v>
      </c>
      <c r="B825" s="5">
        <v>33708</v>
      </c>
      <c r="C825" s="5" t="s">
        <v>6067</v>
      </c>
      <c r="E825" t="s">
        <v>2570</v>
      </c>
      <c r="F825" t="s">
        <v>1210</v>
      </c>
      <c r="G825" t="s">
        <v>6067</v>
      </c>
    </row>
    <row r="826" spans="1:7" x14ac:dyDescent="0.25">
      <c r="A826" t="s">
        <v>352</v>
      </c>
      <c r="B826" s="5">
        <v>33753</v>
      </c>
      <c r="C826" s="5" t="s">
        <v>6068</v>
      </c>
      <c r="E826" t="s">
        <v>2398</v>
      </c>
      <c r="F826" t="s">
        <v>1211</v>
      </c>
      <c r="G826" t="s">
        <v>6068</v>
      </c>
    </row>
    <row r="827" spans="1:7" x14ac:dyDescent="0.25">
      <c r="A827" t="s">
        <v>328</v>
      </c>
      <c r="B827" s="5">
        <v>37026</v>
      </c>
      <c r="C827" s="5" t="s">
        <v>6069</v>
      </c>
      <c r="E827" t="s">
        <v>1422</v>
      </c>
      <c r="F827" t="s">
        <v>1212</v>
      </c>
      <c r="G827" t="s">
        <v>6069</v>
      </c>
    </row>
    <row r="828" spans="1:7" x14ac:dyDescent="0.25">
      <c r="A828" t="s">
        <v>352</v>
      </c>
      <c r="B828" s="5">
        <v>34080</v>
      </c>
      <c r="C828" s="5" t="s">
        <v>6070</v>
      </c>
      <c r="E828" t="s">
        <v>2568</v>
      </c>
      <c r="F828" t="s">
        <v>1213</v>
      </c>
      <c r="G828" t="s">
        <v>6070</v>
      </c>
    </row>
    <row r="829" spans="1:7" x14ac:dyDescent="0.25">
      <c r="A829" t="s">
        <v>351</v>
      </c>
      <c r="B829" s="5">
        <v>36663</v>
      </c>
      <c r="C829" s="5" t="s">
        <v>6071</v>
      </c>
      <c r="E829" t="s">
        <v>1886</v>
      </c>
      <c r="F829" t="s">
        <v>1214</v>
      </c>
      <c r="G829" t="s">
        <v>6071</v>
      </c>
    </row>
    <row r="830" spans="1:7" x14ac:dyDescent="0.25">
      <c r="A830" t="s">
        <v>294</v>
      </c>
      <c r="B830" s="5">
        <v>37047</v>
      </c>
      <c r="C830" s="5" t="s">
        <v>6072</v>
      </c>
      <c r="E830" t="s">
        <v>1352</v>
      </c>
      <c r="F830" t="s">
        <v>1215</v>
      </c>
      <c r="G830" t="s">
        <v>6072</v>
      </c>
    </row>
    <row r="831" spans="1:7" x14ac:dyDescent="0.25">
      <c r="A831" t="s">
        <v>353</v>
      </c>
      <c r="B831" s="5">
        <v>42143</v>
      </c>
      <c r="C831" s="5" t="s">
        <v>3248</v>
      </c>
      <c r="D831" t="s">
        <v>3248</v>
      </c>
      <c r="E831" t="s">
        <v>1669</v>
      </c>
      <c r="F831" t="s">
        <v>1216</v>
      </c>
      <c r="G831" t="s">
        <v>3248</v>
      </c>
    </row>
    <row r="832" spans="1:7" x14ac:dyDescent="0.25">
      <c r="A832" t="s">
        <v>274</v>
      </c>
      <c r="B832" s="5">
        <v>34471</v>
      </c>
      <c r="C832" s="5" t="s">
        <v>6073</v>
      </c>
      <c r="E832" t="s">
        <v>2532</v>
      </c>
      <c r="F832" t="s">
        <v>1217</v>
      </c>
      <c r="G832" t="s">
        <v>6073</v>
      </c>
    </row>
    <row r="833" spans="1:7" x14ac:dyDescent="0.25">
      <c r="A833" t="s">
        <v>326</v>
      </c>
      <c r="B833" s="5">
        <v>38119</v>
      </c>
      <c r="C833" s="5" t="s">
        <v>6074</v>
      </c>
      <c r="E833" t="s">
        <v>1582</v>
      </c>
      <c r="F833" t="s">
        <v>1218</v>
      </c>
      <c r="G833" t="s">
        <v>6074</v>
      </c>
    </row>
    <row r="834" spans="1:7" x14ac:dyDescent="0.25">
      <c r="A834" t="s">
        <v>354</v>
      </c>
      <c r="B834" s="5">
        <v>35605</v>
      </c>
      <c r="C834" s="5" t="s">
        <v>6075</v>
      </c>
      <c r="E834" t="s">
        <v>2072</v>
      </c>
      <c r="F834" t="s">
        <v>1219</v>
      </c>
      <c r="G834" t="s">
        <v>6075</v>
      </c>
    </row>
    <row r="835" spans="1:7" x14ac:dyDescent="0.25">
      <c r="A835" t="s">
        <v>355</v>
      </c>
      <c r="B835" s="5">
        <v>42500</v>
      </c>
      <c r="C835" s="5" t="s">
        <v>3249</v>
      </c>
      <c r="D835" t="s">
        <v>3249</v>
      </c>
      <c r="E835" t="s">
        <v>1623</v>
      </c>
      <c r="F835" t="s">
        <v>1220</v>
      </c>
      <c r="G835" t="s">
        <v>3249</v>
      </c>
    </row>
    <row r="836" spans="1:7" x14ac:dyDescent="0.25">
      <c r="A836" t="s">
        <v>356</v>
      </c>
      <c r="B836" s="5">
        <v>38125</v>
      </c>
      <c r="C836" s="5" t="s">
        <v>6076</v>
      </c>
      <c r="E836" t="s">
        <v>1955</v>
      </c>
      <c r="F836" t="s">
        <v>1221</v>
      </c>
      <c r="G836" t="s">
        <v>6076</v>
      </c>
    </row>
    <row r="837" spans="1:7" x14ac:dyDescent="0.25">
      <c r="A837" t="s">
        <v>357</v>
      </c>
      <c r="B837" s="5">
        <v>41416</v>
      </c>
      <c r="C837" s="5" t="s">
        <v>3250</v>
      </c>
      <c r="D837" t="s">
        <v>3250</v>
      </c>
      <c r="E837" t="s">
        <v>1356</v>
      </c>
      <c r="F837" t="s">
        <v>1222</v>
      </c>
      <c r="G837" t="s">
        <v>3250</v>
      </c>
    </row>
    <row r="838" spans="1:7" x14ac:dyDescent="0.25">
      <c r="A838" t="s">
        <v>267</v>
      </c>
      <c r="B838" s="5">
        <v>35171</v>
      </c>
      <c r="C838" s="5" t="s">
        <v>6077</v>
      </c>
      <c r="F838" t="s">
        <v>1223</v>
      </c>
      <c r="G838" t="s">
        <v>6077</v>
      </c>
    </row>
    <row r="839" spans="1:7" x14ac:dyDescent="0.25">
      <c r="A839" t="s">
        <v>278</v>
      </c>
      <c r="B839" s="5">
        <v>40330</v>
      </c>
      <c r="C839" s="5" t="s">
        <v>6078</v>
      </c>
      <c r="F839" t="s">
        <v>1224</v>
      </c>
      <c r="G839" t="s">
        <v>6078</v>
      </c>
    </row>
    <row r="840" spans="1:7" x14ac:dyDescent="0.25">
      <c r="A840" t="s">
        <v>300</v>
      </c>
      <c r="B840" s="5">
        <v>34449</v>
      </c>
      <c r="C840" s="5" t="s">
        <v>6079</v>
      </c>
      <c r="E840" t="s">
        <v>2347</v>
      </c>
      <c r="F840" t="s">
        <v>1225</v>
      </c>
      <c r="G840" t="s">
        <v>6079</v>
      </c>
    </row>
    <row r="841" spans="1:7" x14ac:dyDescent="0.25">
      <c r="A841" t="s">
        <v>342</v>
      </c>
      <c r="B841" s="5">
        <v>36668</v>
      </c>
      <c r="C841" s="5" t="s">
        <v>6080</v>
      </c>
      <c r="E841" t="s">
        <v>2013</v>
      </c>
      <c r="F841" t="s">
        <v>1226</v>
      </c>
      <c r="G841" t="s">
        <v>6080</v>
      </c>
    </row>
    <row r="842" spans="1:7" x14ac:dyDescent="0.25">
      <c r="A842" t="s">
        <v>358</v>
      </c>
      <c r="B842" s="5">
        <v>34115</v>
      </c>
      <c r="C842" s="5" t="s">
        <v>6081</v>
      </c>
      <c r="E842" t="s">
        <v>2427</v>
      </c>
      <c r="F842" t="s">
        <v>1227</v>
      </c>
      <c r="G842" t="s">
        <v>6081</v>
      </c>
    </row>
    <row r="843" spans="1:7" x14ac:dyDescent="0.25">
      <c r="A843" t="s">
        <v>250</v>
      </c>
      <c r="B843" s="5">
        <v>34464</v>
      </c>
      <c r="C843" s="5" t="s">
        <v>6082</v>
      </c>
      <c r="F843" t="s">
        <v>1228</v>
      </c>
      <c r="G843" t="s">
        <v>6082</v>
      </c>
    </row>
    <row r="844" spans="1:7" x14ac:dyDescent="0.25">
      <c r="A844" t="s">
        <v>342</v>
      </c>
      <c r="B844" s="5">
        <v>36668</v>
      </c>
      <c r="C844" s="5" t="s">
        <v>6080</v>
      </c>
      <c r="E844" t="s">
        <v>2013</v>
      </c>
      <c r="F844" t="s">
        <v>1229</v>
      </c>
      <c r="G844" t="s">
        <v>6080</v>
      </c>
    </row>
    <row r="845" spans="1:7" x14ac:dyDescent="0.25">
      <c r="A845" t="s">
        <v>337</v>
      </c>
      <c r="B845" s="5">
        <v>34449</v>
      </c>
      <c r="C845" s="5" t="s">
        <v>6083</v>
      </c>
      <c r="F845" t="s">
        <v>1230</v>
      </c>
      <c r="G845" t="s">
        <v>6083</v>
      </c>
    </row>
    <row r="846" spans="1:7" x14ac:dyDescent="0.25">
      <c r="A846" t="s">
        <v>253</v>
      </c>
      <c r="B846" s="5">
        <v>38905</v>
      </c>
      <c r="C846" s="5" t="s">
        <v>6084</v>
      </c>
      <c r="E846" t="s">
        <v>1497</v>
      </c>
      <c r="F846" t="s">
        <v>1231</v>
      </c>
      <c r="G846" t="s">
        <v>6084</v>
      </c>
    </row>
    <row r="847" spans="1:7" x14ac:dyDescent="0.25">
      <c r="A847" t="s">
        <v>238</v>
      </c>
      <c r="B847" s="5">
        <v>37412</v>
      </c>
      <c r="C847" s="5" t="s">
        <v>6085</v>
      </c>
      <c r="E847" t="s">
        <v>1739</v>
      </c>
      <c r="F847" t="s">
        <v>1232</v>
      </c>
      <c r="G847" t="s">
        <v>6085</v>
      </c>
    </row>
    <row r="848" spans="1:7" x14ac:dyDescent="0.25">
      <c r="A848" t="s">
        <v>328</v>
      </c>
      <c r="B848" s="5">
        <v>36663</v>
      </c>
      <c r="C848" s="5" t="s">
        <v>6086</v>
      </c>
      <c r="E848" t="s">
        <v>2126</v>
      </c>
      <c r="F848" t="s">
        <v>1233</v>
      </c>
      <c r="G848" t="s">
        <v>6086</v>
      </c>
    </row>
    <row r="849" spans="1:7" x14ac:dyDescent="0.25">
      <c r="A849" t="s">
        <v>245</v>
      </c>
      <c r="B849" s="5">
        <v>33770</v>
      </c>
      <c r="C849" s="5" t="s">
        <v>6087</v>
      </c>
      <c r="E849" t="s">
        <v>2709</v>
      </c>
      <c r="F849" t="s">
        <v>1234</v>
      </c>
      <c r="G849" t="s">
        <v>6087</v>
      </c>
    </row>
    <row r="850" spans="1:7" x14ac:dyDescent="0.25">
      <c r="A850" t="s">
        <v>226</v>
      </c>
      <c r="B850" s="5">
        <v>33745</v>
      </c>
      <c r="C850" s="5" t="s">
        <v>6088</v>
      </c>
      <c r="E850" t="s">
        <v>2293</v>
      </c>
      <c r="F850" t="s">
        <v>1235</v>
      </c>
      <c r="G850" t="s">
        <v>6088</v>
      </c>
    </row>
    <row r="851" spans="1:7" x14ac:dyDescent="0.25">
      <c r="A851" t="s">
        <v>326</v>
      </c>
      <c r="B851" s="5">
        <v>37028</v>
      </c>
      <c r="C851" s="5" t="s">
        <v>6089</v>
      </c>
      <c r="E851" t="s">
        <v>1527</v>
      </c>
      <c r="F851" t="s">
        <v>1236</v>
      </c>
      <c r="G851" t="s">
        <v>6089</v>
      </c>
    </row>
    <row r="852" spans="1:7" x14ac:dyDescent="0.25">
      <c r="A852" t="s">
        <v>318</v>
      </c>
      <c r="B852" s="5">
        <v>40658</v>
      </c>
      <c r="C852" s="5" t="s">
        <v>3251</v>
      </c>
      <c r="D852" t="s">
        <v>3251</v>
      </c>
      <c r="E852" t="s">
        <v>1500</v>
      </c>
      <c r="F852" t="s">
        <v>1237</v>
      </c>
      <c r="G852" t="s">
        <v>3251</v>
      </c>
    </row>
    <row r="853" spans="1:7" x14ac:dyDescent="0.25">
      <c r="A853" t="s">
        <v>359</v>
      </c>
      <c r="B853" s="5">
        <v>36664</v>
      </c>
      <c r="C853" s="5" t="s">
        <v>6090</v>
      </c>
      <c r="F853" t="s">
        <v>1238</v>
      </c>
      <c r="G853" t="s">
        <v>6090</v>
      </c>
    </row>
    <row r="854" spans="1:7" x14ac:dyDescent="0.25">
      <c r="A854" t="s">
        <v>336</v>
      </c>
      <c r="B854" s="5">
        <v>34114</v>
      </c>
      <c r="C854" s="5" t="s">
        <v>6091</v>
      </c>
      <c r="E854" t="s">
        <v>2314</v>
      </c>
      <c r="F854" t="s">
        <v>1239</v>
      </c>
      <c r="G854" t="s">
        <v>6091</v>
      </c>
    </row>
    <row r="855" spans="1:7" x14ac:dyDescent="0.25">
      <c r="A855" t="s">
        <v>284</v>
      </c>
      <c r="B855" s="5">
        <v>35542</v>
      </c>
      <c r="C855" s="5" t="s">
        <v>6092</v>
      </c>
      <c r="E855" t="s">
        <v>1740</v>
      </c>
      <c r="F855" t="s">
        <v>1240</v>
      </c>
      <c r="G855" t="s">
        <v>6092</v>
      </c>
    </row>
    <row r="856" spans="1:7" x14ac:dyDescent="0.25">
      <c r="A856" t="s">
        <v>357</v>
      </c>
      <c r="B856" s="5">
        <v>39945</v>
      </c>
      <c r="C856" s="5" t="s">
        <v>3252</v>
      </c>
      <c r="D856" t="s">
        <v>3252</v>
      </c>
      <c r="E856" t="s">
        <v>2064</v>
      </c>
      <c r="F856" t="s">
        <v>1241</v>
      </c>
      <c r="G856" t="s">
        <v>3252</v>
      </c>
    </row>
    <row r="857" spans="1:7" x14ac:dyDescent="0.25">
      <c r="A857" t="s">
        <v>289</v>
      </c>
      <c r="B857" s="5">
        <v>35556</v>
      </c>
      <c r="C857" s="5" t="s">
        <v>6093</v>
      </c>
      <c r="E857" t="s">
        <v>1472</v>
      </c>
      <c r="F857" t="s">
        <v>1242</v>
      </c>
      <c r="G857" t="s">
        <v>6093</v>
      </c>
    </row>
    <row r="858" spans="1:7" x14ac:dyDescent="0.25">
      <c r="A858" t="s">
        <v>326</v>
      </c>
      <c r="B858" s="5">
        <v>41429</v>
      </c>
      <c r="C858" s="5" t="s">
        <v>3253</v>
      </c>
      <c r="D858" t="s">
        <v>3253</v>
      </c>
      <c r="E858" t="s">
        <v>1713</v>
      </c>
      <c r="F858" t="s">
        <v>1243</v>
      </c>
      <c r="G858" t="s">
        <v>3253</v>
      </c>
    </row>
    <row r="859" spans="1:7" x14ac:dyDescent="0.25">
      <c r="A859" t="s">
        <v>328</v>
      </c>
      <c r="B859" s="5">
        <v>36663</v>
      </c>
      <c r="C859" s="5" t="s">
        <v>6086</v>
      </c>
      <c r="E859" t="s">
        <v>2126</v>
      </c>
      <c r="F859" t="s">
        <v>1244</v>
      </c>
      <c r="G859" t="s">
        <v>6086</v>
      </c>
    </row>
    <row r="860" spans="1:7" x14ac:dyDescent="0.25">
      <c r="A860" t="s">
        <v>308</v>
      </c>
      <c r="B860" s="5">
        <v>36628</v>
      </c>
      <c r="C860" s="5" t="s">
        <v>6094</v>
      </c>
      <c r="E860" t="s">
        <v>1358</v>
      </c>
      <c r="F860" t="s">
        <v>1245</v>
      </c>
      <c r="G860" t="s">
        <v>6094</v>
      </c>
    </row>
    <row r="861" spans="1:7" x14ac:dyDescent="0.25">
      <c r="A861" t="s">
        <v>255</v>
      </c>
      <c r="B861" s="5">
        <v>36670</v>
      </c>
      <c r="C861" s="5" t="s">
        <v>6095</v>
      </c>
      <c r="E861" t="s">
        <v>2089</v>
      </c>
      <c r="F861" t="s">
        <v>1246</v>
      </c>
      <c r="G861" t="s">
        <v>6095</v>
      </c>
    </row>
    <row r="862" spans="1:7" x14ac:dyDescent="0.25">
      <c r="A862" t="s">
        <v>352</v>
      </c>
      <c r="B862" s="5">
        <v>35543</v>
      </c>
      <c r="C862" s="5" t="s">
        <v>6096</v>
      </c>
      <c r="E862" t="s">
        <v>2061</v>
      </c>
      <c r="F862" t="s">
        <v>1247</v>
      </c>
      <c r="G862" t="s">
        <v>6096</v>
      </c>
    </row>
    <row r="863" spans="1:7" x14ac:dyDescent="0.25">
      <c r="A863" t="s">
        <v>255</v>
      </c>
      <c r="B863" s="5">
        <v>36669</v>
      </c>
      <c r="C863" s="5" t="s">
        <v>6097</v>
      </c>
      <c r="F863" t="s">
        <v>1248</v>
      </c>
      <c r="G863" t="s">
        <v>6097</v>
      </c>
    </row>
    <row r="864" spans="1:7" x14ac:dyDescent="0.25">
      <c r="A864" t="s">
        <v>238</v>
      </c>
      <c r="B864" s="5">
        <v>36655</v>
      </c>
      <c r="C864" s="5" t="s">
        <v>6098</v>
      </c>
      <c r="E864" t="s">
        <v>1933</v>
      </c>
      <c r="F864" t="s">
        <v>1249</v>
      </c>
      <c r="G864" t="s">
        <v>6098</v>
      </c>
    </row>
    <row r="865" spans="1:7" x14ac:dyDescent="0.25">
      <c r="A865" t="s">
        <v>308</v>
      </c>
      <c r="B865" s="5">
        <v>36628</v>
      </c>
      <c r="C865" s="5" t="s">
        <v>6094</v>
      </c>
      <c r="E865" t="s">
        <v>1358</v>
      </c>
      <c r="F865" t="s">
        <v>1250</v>
      </c>
      <c r="G865" t="s">
        <v>6094</v>
      </c>
    </row>
    <row r="866" spans="1:7" x14ac:dyDescent="0.25">
      <c r="A866" t="s">
        <v>358</v>
      </c>
      <c r="B866" s="5">
        <v>33770</v>
      </c>
      <c r="C866" s="5" t="s">
        <v>6099</v>
      </c>
      <c r="E866" t="s">
        <v>2214</v>
      </c>
      <c r="F866" t="s">
        <v>1251</v>
      </c>
      <c r="G866" t="s">
        <v>6099</v>
      </c>
    </row>
    <row r="867" spans="1:7" x14ac:dyDescent="0.25">
      <c r="A867" t="s">
        <v>328</v>
      </c>
      <c r="B867" s="5">
        <v>41044</v>
      </c>
      <c r="C867" s="5" t="s">
        <v>3254</v>
      </c>
      <c r="D867" t="s">
        <v>3254</v>
      </c>
      <c r="E867" t="s">
        <v>1386</v>
      </c>
      <c r="F867" t="s">
        <v>1252</v>
      </c>
      <c r="G867" t="s">
        <v>3254</v>
      </c>
    </row>
    <row r="868" spans="1:7" x14ac:dyDescent="0.25">
      <c r="A868" t="s">
        <v>357</v>
      </c>
      <c r="B868" s="5">
        <v>38855</v>
      </c>
      <c r="C868" s="5" t="s">
        <v>3255</v>
      </c>
      <c r="D868" t="s">
        <v>3255</v>
      </c>
      <c r="E868" t="s">
        <v>1507</v>
      </c>
      <c r="F868" t="s">
        <v>1253</v>
      </c>
      <c r="G868" t="s">
        <v>3255</v>
      </c>
    </row>
    <row r="869" spans="1:7" x14ac:dyDescent="0.25">
      <c r="A869" t="s">
        <v>358</v>
      </c>
      <c r="B869" s="5">
        <v>34485</v>
      </c>
      <c r="C869" s="5" t="s">
        <v>6100</v>
      </c>
      <c r="E869" t="s">
        <v>2338</v>
      </c>
      <c r="F869" t="s">
        <v>1254</v>
      </c>
      <c r="G869" t="s">
        <v>6100</v>
      </c>
    </row>
    <row r="870" spans="1:7" x14ac:dyDescent="0.25">
      <c r="A870" t="s">
        <v>360</v>
      </c>
      <c r="B870" s="5">
        <v>41017</v>
      </c>
      <c r="C870" s="5" t="s">
        <v>3256</v>
      </c>
      <c r="D870" t="s">
        <v>3256</v>
      </c>
      <c r="E870" t="s">
        <v>1526</v>
      </c>
      <c r="F870" t="s">
        <v>1255</v>
      </c>
      <c r="G870" t="s">
        <v>3256</v>
      </c>
    </row>
    <row r="871" spans="1:7" x14ac:dyDescent="0.25">
      <c r="A871" t="s">
        <v>281</v>
      </c>
      <c r="B871" s="5">
        <v>38902</v>
      </c>
      <c r="C871" s="5" t="s">
        <v>6101</v>
      </c>
      <c r="F871" t="s">
        <v>1256</v>
      </c>
      <c r="G871" t="s">
        <v>6101</v>
      </c>
    </row>
    <row r="872" spans="1:7" x14ac:dyDescent="0.25">
      <c r="A872" t="s">
        <v>361</v>
      </c>
      <c r="B872" s="5">
        <v>34820</v>
      </c>
      <c r="C872" s="5" t="s">
        <v>6102</v>
      </c>
      <c r="F872" t="s">
        <v>1257</v>
      </c>
      <c r="G872" t="s">
        <v>6102</v>
      </c>
    </row>
    <row r="873" spans="1:7" x14ac:dyDescent="0.25">
      <c r="A873" t="s">
        <v>362</v>
      </c>
      <c r="B873" s="5">
        <v>39974</v>
      </c>
      <c r="C873" s="5" t="s">
        <v>3257</v>
      </c>
      <c r="D873" t="s">
        <v>3257</v>
      </c>
      <c r="E873" t="s">
        <v>1505</v>
      </c>
      <c r="F873" t="s">
        <v>1258</v>
      </c>
      <c r="G873" t="s">
        <v>3257</v>
      </c>
    </row>
    <row r="874" spans="1:7" x14ac:dyDescent="0.25">
      <c r="A874" t="s">
        <v>363</v>
      </c>
      <c r="B874" s="5">
        <v>33762</v>
      </c>
      <c r="C874" s="5" t="s">
        <v>6103</v>
      </c>
      <c r="E874" t="s">
        <v>2646</v>
      </c>
      <c r="F874" t="s">
        <v>1259</v>
      </c>
      <c r="G874" t="s">
        <v>6103</v>
      </c>
    </row>
    <row r="875" spans="1:7" x14ac:dyDescent="0.25">
      <c r="A875" t="s">
        <v>364</v>
      </c>
      <c r="B875" s="5">
        <v>34450</v>
      </c>
      <c r="C875" s="5" t="s">
        <v>6104</v>
      </c>
      <c r="F875" t="s">
        <v>1260</v>
      </c>
      <c r="G875" t="s">
        <v>6104</v>
      </c>
    </row>
    <row r="876" spans="1:7" x14ac:dyDescent="0.25">
      <c r="A876" t="s">
        <v>225</v>
      </c>
      <c r="B876" s="5">
        <v>38474</v>
      </c>
      <c r="C876" s="5" t="s">
        <v>6105</v>
      </c>
      <c r="E876" t="s">
        <v>1832</v>
      </c>
      <c r="F876" t="s">
        <v>1261</v>
      </c>
      <c r="G876" t="s">
        <v>6105</v>
      </c>
    </row>
    <row r="877" spans="1:7" x14ac:dyDescent="0.25">
      <c r="A877" t="s">
        <v>365</v>
      </c>
      <c r="B877" s="5">
        <v>41015</v>
      </c>
      <c r="C877" s="5" t="s">
        <v>3258</v>
      </c>
      <c r="D877" t="s">
        <v>3258</v>
      </c>
      <c r="E877" t="s">
        <v>1810</v>
      </c>
      <c r="F877" t="s">
        <v>1262</v>
      </c>
      <c r="G877" t="s">
        <v>3258</v>
      </c>
    </row>
    <row r="878" spans="1:7" x14ac:dyDescent="0.25">
      <c r="A878" t="s">
        <v>360</v>
      </c>
      <c r="B878" s="5">
        <v>40675</v>
      </c>
      <c r="C878" s="5" t="s">
        <v>3259</v>
      </c>
      <c r="D878" t="s">
        <v>3259</v>
      </c>
      <c r="E878" t="s">
        <v>1683</v>
      </c>
      <c r="F878" t="s">
        <v>1263</v>
      </c>
      <c r="G878" t="s">
        <v>3259</v>
      </c>
    </row>
    <row r="879" spans="1:7" x14ac:dyDescent="0.25">
      <c r="A879" t="s">
        <v>366</v>
      </c>
      <c r="B879" s="5">
        <v>37404</v>
      </c>
      <c r="C879" s="5" t="s">
        <v>6106</v>
      </c>
      <c r="E879" t="s">
        <v>1498</v>
      </c>
      <c r="F879" t="s">
        <v>1264</v>
      </c>
      <c r="G879" t="s">
        <v>6106</v>
      </c>
    </row>
    <row r="880" spans="1:7" x14ac:dyDescent="0.25">
      <c r="A880" t="s">
        <v>190</v>
      </c>
      <c r="B880" s="5">
        <v>39909</v>
      </c>
      <c r="C880" s="5" t="s">
        <v>3260</v>
      </c>
      <c r="D880" t="s">
        <v>3260</v>
      </c>
      <c r="E880" t="s">
        <v>1704</v>
      </c>
      <c r="F880" t="s">
        <v>1265</v>
      </c>
      <c r="G880" t="s">
        <v>3260</v>
      </c>
    </row>
    <row r="881" spans="1:7" x14ac:dyDescent="0.25">
      <c r="A881" t="s">
        <v>367</v>
      </c>
      <c r="B881" s="5">
        <v>35557</v>
      </c>
      <c r="C881" s="5" t="s">
        <v>6107</v>
      </c>
      <c r="E881" t="s">
        <v>1903</v>
      </c>
      <c r="F881" t="s">
        <v>1266</v>
      </c>
      <c r="G881" t="s">
        <v>6107</v>
      </c>
    </row>
    <row r="882" spans="1:7" x14ac:dyDescent="0.25">
      <c r="A882" t="s">
        <v>360</v>
      </c>
      <c r="B882" s="5">
        <v>41381</v>
      </c>
      <c r="C882" s="5" t="s">
        <v>3261</v>
      </c>
      <c r="D882" t="s">
        <v>3261</v>
      </c>
      <c r="E882" t="s">
        <v>1534</v>
      </c>
      <c r="F882" t="s">
        <v>1267</v>
      </c>
      <c r="G882" t="s">
        <v>3261</v>
      </c>
    </row>
    <row r="883" spans="1:7" x14ac:dyDescent="0.25">
      <c r="A883" t="s">
        <v>368</v>
      </c>
      <c r="B883" s="5">
        <v>34472</v>
      </c>
      <c r="C883" s="5" t="s">
        <v>6108</v>
      </c>
      <c r="F883" t="s">
        <v>1268</v>
      </c>
      <c r="G883" t="s">
        <v>6108</v>
      </c>
    </row>
    <row r="884" spans="1:7" x14ac:dyDescent="0.25">
      <c r="A884" t="s">
        <v>365</v>
      </c>
      <c r="B884" s="5">
        <v>42466</v>
      </c>
      <c r="C884" s="5" t="s">
        <v>3262</v>
      </c>
      <c r="D884" t="s">
        <v>3262</v>
      </c>
      <c r="E884" t="s">
        <v>1645</v>
      </c>
      <c r="F884" t="s">
        <v>1269</v>
      </c>
      <c r="G884" t="s">
        <v>3262</v>
      </c>
    </row>
    <row r="885" spans="1:7" x14ac:dyDescent="0.25">
      <c r="A885" t="s">
        <v>360</v>
      </c>
      <c r="B885" s="5">
        <v>42466</v>
      </c>
      <c r="C885" s="5" t="s">
        <v>3263</v>
      </c>
      <c r="D885" t="s">
        <v>3263</v>
      </c>
      <c r="E885" t="s">
        <v>1861</v>
      </c>
      <c r="F885" t="s">
        <v>1270</v>
      </c>
      <c r="G885" t="s">
        <v>3263</v>
      </c>
    </row>
    <row r="886" spans="1:7" x14ac:dyDescent="0.25">
      <c r="A886" t="s">
        <v>369</v>
      </c>
      <c r="B886" s="5">
        <v>41410</v>
      </c>
      <c r="C886" s="5" t="s">
        <v>3264</v>
      </c>
      <c r="D886" t="s">
        <v>3264</v>
      </c>
      <c r="E886" t="s">
        <v>1892</v>
      </c>
      <c r="F886" t="s">
        <v>1271</v>
      </c>
      <c r="G886" t="s">
        <v>3264</v>
      </c>
    </row>
    <row r="887" spans="1:7" x14ac:dyDescent="0.25">
      <c r="A887" t="s">
        <v>277</v>
      </c>
      <c r="B887" s="5">
        <v>34525</v>
      </c>
      <c r="C887" s="5" t="s">
        <v>6109</v>
      </c>
      <c r="E887" t="s">
        <v>2288</v>
      </c>
      <c r="F887" t="s">
        <v>1272</v>
      </c>
      <c r="G887" t="s">
        <v>6109</v>
      </c>
    </row>
    <row r="888" spans="1:7" x14ac:dyDescent="0.25">
      <c r="A888" t="s">
        <v>365</v>
      </c>
      <c r="B888" s="5">
        <v>42101</v>
      </c>
      <c r="C888" s="5" t="s">
        <v>3265</v>
      </c>
      <c r="D888" t="s">
        <v>3265</v>
      </c>
      <c r="E888" t="s">
        <v>1972</v>
      </c>
      <c r="F888" t="s">
        <v>1273</v>
      </c>
      <c r="G888" t="s">
        <v>3265</v>
      </c>
    </row>
    <row r="889" spans="1:7" x14ac:dyDescent="0.25">
      <c r="A889" t="s">
        <v>185</v>
      </c>
      <c r="B889" s="5">
        <v>41388</v>
      </c>
      <c r="C889" s="5" t="s">
        <v>6110</v>
      </c>
      <c r="E889" t="s">
        <v>1700</v>
      </c>
      <c r="F889" t="s">
        <v>1274</v>
      </c>
      <c r="G889" t="s">
        <v>6110</v>
      </c>
    </row>
    <row r="890" spans="1:7" x14ac:dyDescent="0.25">
      <c r="A890" t="s">
        <v>185</v>
      </c>
      <c r="B890" s="5">
        <v>41388</v>
      </c>
      <c r="C890" s="5" t="s">
        <v>6110</v>
      </c>
      <c r="E890" t="s">
        <v>1700</v>
      </c>
      <c r="F890" t="s">
        <v>1275</v>
      </c>
      <c r="G890" t="s">
        <v>6110</v>
      </c>
    </row>
    <row r="891" spans="1:7" x14ac:dyDescent="0.25">
      <c r="A891" t="s">
        <v>200</v>
      </c>
      <c r="B891" s="5">
        <v>41002</v>
      </c>
      <c r="C891" s="5" t="s">
        <v>3266</v>
      </c>
      <c r="D891" t="s">
        <v>3266</v>
      </c>
      <c r="E891" t="s">
        <v>2127</v>
      </c>
      <c r="F891" t="s">
        <v>1276</v>
      </c>
      <c r="G891" t="s">
        <v>3266</v>
      </c>
    </row>
    <row r="892" spans="1:7" x14ac:dyDescent="0.25">
      <c r="A892" t="s">
        <v>243</v>
      </c>
      <c r="B892" s="5">
        <v>38446</v>
      </c>
      <c r="C892" s="5" t="s">
        <v>6111</v>
      </c>
      <c r="E892" t="s">
        <v>2001</v>
      </c>
      <c r="F892" t="s">
        <v>1277</v>
      </c>
      <c r="G892" t="s">
        <v>6111</v>
      </c>
    </row>
    <row r="893" spans="1:7" x14ac:dyDescent="0.25">
      <c r="A893" t="s">
        <v>370</v>
      </c>
      <c r="B893" s="5">
        <v>33765</v>
      </c>
      <c r="C893" s="5" t="s">
        <v>6112</v>
      </c>
      <c r="E893" t="s">
        <v>2257</v>
      </c>
      <c r="F893" t="s">
        <v>1278</v>
      </c>
      <c r="G893" t="s">
        <v>6112</v>
      </c>
    </row>
    <row r="894" spans="1:7" x14ac:dyDescent="0.25">
      <c r="A894" t="s">
        <v>279</v>
      </c>
      <c r="B894" s="5">
        <v>38478</v>
      </c>
      <c r="C894" s="5" t="s">
        <v>6113</v>
      </c>
      <c r="E894" t="s">
        <v>1621</v>
      </c>
      <c r="F894" t="s">
        <v>1279</v>
      </c>
      <c r="G894" t="s">
        <v>6113</v>
      </c>
    </row>
    <row r="895" spans="1:7" x14ac:dyDescent="0.25">
      <c r="A895" t="s">
        <v>360</v>
      </c>
      <c r="B895" s="5">
        <v>42123</v>
      </c>
      <c r="C895" s="5" t="s">
        <v>3267</v>
      </c>
      <c r="D895" t="s">
        <v>3267</v>
      </c>
      <c r="E895" t="s">
        <v>1551</v>
      </c>
      <c r="F895" t="s">
        <v>1280</v>
      </c>
      <c r="G895" t="s">
        <v>3267</v>
      </c>
    </row>
    <row r="896" spans="1:7" x14ac:dyDescent="0.25">
      <c r="A896" t="s">
        <v>202</v>
      </c>
      <c r="B896" s="5">
        <v>39554</v>
      </c>
      <c r="C896" s="5" t="s">
        <v>6114</v>
      </c>
      <c r="E896" t="s">
        <v>1584</v>
      </c>
      <c r="F896" t="s">
        <v>1281</v>
      </c>
      <c r="G896" t="s">
        <v>6114</v>
      </c>
    </row>
    <row r="897" spans="1:7" x14ac:dyDescent="0.25">
      <c r="A897" t="s">
        <v>259</v>
      </c>
      <c r="B897" s="5">
        <v>34828</v>
      </c>
      <c r="C897" s="5" t="s">
        <v>6115</v>
      </c>
      <c r="E897" t="s">
        <v>2668</v>
      </c>
      <c r="F897" t="s">
        <v>1282</v>
      </c>
      <c r="G897" t="s">
        <v>6115</v>
      </c>
    </row>
    <row r="898" spans="1:7" x14ac:dyDescent="0.25">
      <c r="A898" t="s">
        <v>186</v>
      </c>
      <c r="B898" s="5">
        <v>37732</v>
      </c>
      <c r="C898" s="5" t="s">
        <v>6116</v>
      </c>
      <c r="E898" t="s">
        <v>1362</v>
      </c>
      <c r="F898" t="s">
        <v>1283</v>
      </c>
      <c r="G898" t="s">
        <v>6116</v>
      </c>
    </row>
    <row r="899" spans="1:7" x14ac:dyDescent="0.25">
      <c r="A899" t="s">
        <v>194</v>
      </c>
      <c r="B899" s="5">
        <v>41388</v>
      </c>
      <c r="C899" s="5" t="s">
        <v>3268</v>
      </c>
      <c r="D899" t="s">
        <v>3268</v>
      </c>
      <c r="E899" t="s">
        <v>1767</v>
      </c>
      <c r="F899" t="s">
        <v>1284</v>
      </c>
      <c r="G899" t="s">
        <v>3268</v>
      </c>
    </row>
    <row r="900" spans="1:7" x14ac:dyDescent="0.25">
      <c r="A900" t="s">
        <v>371</v>
      </c>
      <c r="B900" s="5">
        <v>34067</v>
      </c>
      <c r="C900" s="5" t="s">
        <v>6117</v>
      </c>
      <c r="E900" t="s">
        <v>2573</v>
      </c>
      <c r="F900" t="s">
        <v>1285</v>
      </c>
      <c r="G900" t="s">
        <v>6117</v>
      </c>
    </row>
    <row r="901" spans="1:7" x14ac:dyDescent="0.25">
      <c r="A901" t="s">
        <v>283</v>
      </c>
      <c r="B901" s="5">
        <v>34086</v>
      </c>
      <c r="C901" s="5" t="s">
        <v>6118</v>
      </c>
      <c r="E901" t="s">
        <v>2684</v>
      </c>
      <c r="F901" t="s">
        <v>1286</v>
      </c>
      <c r="G901" t="s">
        <v>6118</v>
      </c>
    </row>
    <row r="902" spans="1:7" x14ac:dyDescent="0.25">
      <c r="A902" t="s">
        <v>360</v>
      </c>
      <c r="B902" s="5">
        <v>41743</v>
      </c>
      <c r="C902" s="5" t="s">
        <v>3269</v>
      </c>
      <c r="D902" t="s">
        <v>3269</v>
      </c>
      <c r="E902" t="s">
        <v>2111</v>
      </c>
      <c r="F902" t="s">
        <v>1287</v>
      </c>
      <c r="G902" t="s">
        <v>3269</v>
      </c>
    </row>
    <row r="903" spans="1:7" x14ac:dyDescent="0.25">
      <c r="A903" t="s">
        <v>186</v>
      </c>
      <c r="B903" s="5">
        <v>37014</v>
      </c>
      <c r="C903" s="5" t="s">
        <v>6119</v>
      </c>
      <c r="E903" t="s">
        <v>1840</v>
      </c>
      <c r="F903" t="s">
        <v>1288</v>
      </c>
      <c r="G903" t="s">
        <v>6119</v>
      </c>
    </row>
    <row r="904" spans="1:7" x14ac:dyDescent="0.25">
      <c r="A904" t="s">
        <v>220</v>
      </c>
      <c r="B904" s="5">
        <v>39553</v>
      </c>
      <c r="C904" s="5" t="s">
        <v>3270</v>
      </c>
      <c r="D904" t="s">
        <v>3270</v>
      </c>
      <c r="E904" t="s">
        <v>1430</v>
      </c>
      <c r="F904" t="s">
        <v>1289</v>
      </c>
      <c r="G904" t="s">
        <v>3270</v>
      </c>
    </row>
    <row r="905" spans="1:7" x14ac:dyDescent="0.25">
      <c r="A905" t="s">
        <v>245</v>
      </c>
      <c r="B905" s="5">
        <v>35563</v>
      </c>
      <c r="C905" s="5" t="s">
        <v>6120</v>
      </c>
      <c r="E905" t="s">
        <v>2011</v>
      </c>
      <c r="F905" t="s">
        <v>1290</v>
      </c>
      <c r="G905" t="s">
        <v>6120</v>
      </c>
    </row>
    <row r="906" spans="1:7" x14ac:dyDescent="0.25">
      <c r="A906" t="s">
        <v>222</v>
      </c>
      <c r="B906" s="5">
        <v>35193</v>
      </c>
      <c r="C906" s="5" t="s">
        <v>6121</v>
      </c>
      <c r="E906" t="s">
        <v>2558</v>
      </c>
      <c r="F906" t="s">
        <v>1291</v>
      </c>
      <c r="G906" t="s">
        <v>6121</v>
      </c>
    </row>
    <row r="907" spans="1:7" x14ac:dyDescent="0.25">
      <c r="A907" t="s">
        <v>225</v>
      </c>
      <c r="B907" s="5">
        <v>38909</v>
      </c>
      <c r="C907" s="5" t="s">
        <v>6122</v>
      </c>
      <c r="E907" t="s">
        <v>1351</v>
      </c>
      <c r="F907" t="s">
        <v>1292</v>
      </c>
      <c r="G907" t="s">
        <v>6122</v>
      </c>
    </row>
    <row r="908" spans="1:7" x14ac:dyDescent="0.25">
      <c r="A908" t="s">
        <v>273</v>
      </c>
      <c r="B908" s="5">
        <v>39910</v>
      </c>
      <c r="C908" s="5" t="s">
        <v>3271</v>
      </c>
      <c r="D908" t="s">
        <v>3271</v>
      </c>
      <c r="E908" t="s">
        <v>1862</v>
      </c>
      <c r="F908" t="s">
        <v>1293</v>
      </c>
      <c r="G908" t="s">
        <v>3271</v>
      </c>
    </row>
    <row r="909" spans="1:7" x14ac:dyDescent="0.25">
      <c r="A909" t="s">
        <v>222</v>
      </c>
      <c r="B909" s="5">
        <v>39569</v>
      </c>
      <c r="C909" s="5" t="s">
        <v>3272</v>
      </c>
      <c r="D909" t="s">
        <v>3272</v>
      </c>
      <c r="E909" t="s">
        <v>2139</v>
      </c>
      <c r="F909" t="s">
        <v>1294</v>
      </c>
      <c r="G909" t="s">
        <v>3272</v>
      </c>
    </row>
    <row r="910" spans="1:7" x14ac:dyDescent="0.25">
      <c r="A910" t="s">
        <v>281</v>
      </c>
      <c r="B910" s="5">
        <v>38477</v>
      </c>
      <c r="C910" s="5" t="s">
        <v>6123</v>
      </c>
      <c r="E910" t="s">
        <v>2120</v>
      </c>
      <c r="F910" t="s">
        <v>1295</v>
      </c>
      <c r="G910" t="s">
        <v>6123</v>
      </c>
    </row>
    <row r="911" spans="1:7" x14ac:dyDescent="0.25">
      <c r="A911" t="s">
        <v>211</v>
      </c>
      <c r="B911" s="5">
        <v>42108</v>
      </c>
      <c r="C911" s="5" t="s">
        <v>3273</v>
      </c>
      <c r="D911" t="s">
        <v>3273</v>
      </c>
      <c r="E911" t="s">
        <v>2066</v>
      </c>
      <c r="F911" t="s">
        <v>1296</v>
      </c>
      <c r="G911" t="s">
        <v>3273</v>
      </c>
    </row>
    <row r="912" spans="1:7" x14ac:dyDescent="0.25">
      <c r="A912" t="s">
        <v>340</v>
      </c>
      <c r="B912" s="5">
        <v>34078</v>
      </c>
      <c r="C912" s="5" t="s">
        <v>6124</v>
      </c>
      <c r="E912" t="s">
        <v>2344</v>
      </c>
      <c r="F912" t="s">
        <v>1297</v>
      </c>
      <c r="G912" t="s">
        <v>6124</v>
      </c>
    </row>
    <row r="913" spans="1:7" x14ac:dyDescent="0.25">
      <c r="A913" t="s">
        <v>189</v>
      </c>
      <c r="B913" s="5">
        <v>33732</v>
      </c>
      <c r="C913" s="5" t="s">
        <v>6125</v>
      </c>
      <c r="E913" t="s">
        <v>2410</v>
      </c>
      <c r="F913" t="s">
        <v>1298</v>
      </c>
      <c r="G913" t="s">
        <v>6125</v>
      </c>
    </row>
    <row r="914" spans="1:7" x14ac:dyDescent="0.25">
      <c r="A914" t="s">
        <v>225</v>
      </c>
      <c r="B914" s="5">
        <v>34149</v>
      </c>
      <c r="C914" s="5" t="s">
        <v>6126</v>
      </c>
      <c r="E914" t="s">
        <v>2236</v>
      </c>
      <c r="F914" t="s">
        <v>1299</v>
      </c>
      <c r="G914" t="s">
        <v>6126</v>
      </c>
    </row>
    <row r="915" spans="1:7" x14ac:dyDescent="0.25">
      <c r="A915" t="s">
        <v>372</v>
      </c>
      <c r="B915" s="5">
        <v>35913</v>
      </c>
      <c r="C915" s="5" t="s">
        <v>6127</v>
      </c>
      <c r="E915" t="s">
        <v>1546</v>
      </c>
      <c r="F915" t="s">
        <v>1300</v>
      </c>
      <c r="G915" t="s">
        <v>6127</v>
      </c>
    </row>
    <row r="916" spans="1:7" x14ac:dyDescent="0.25">
      <c r="A916" t="s">
        <v>347</v>
      </c>
      <c r="B916" s="5">
        <v>39570</v>
      </c>
      <c r="C916" s="5" t="s">
        <v>3274</v>
      </c>
      <c r="D916" t="s">
        <v>3274</v>
      </c>
      <c r="E916" t="s">
        <v>2088</v>
      </c>
      <c r="F916" t="s">
        <v>1301</v>
      </c>
      <c r="G916" t="s">
        <v>3274</v>
      </c>
    </row>
    <row r="917" spans="1:7" x14ac:dyDescent="0.25">
      <c r="A917" t="s">
        <v>290</v>
      </c>
      <c r="B917" s="5">
        <v>34059</v>
      </c>
      <c r="C917" s="5" t="s">
        <v>6128</v>
      </c>
      <c r="E917" t="s">
        <v>2301</v>
      </c>
      <c r="F917" t="s">
        <v>1302</v>
      </c>
      <c r="G917" t="s">
        <v>6128</v>
      </c>
    </row>
    <row r="918" spans="1:7" x14ac:dyDescent="0.25">
      <c r="A918" t="s">
        <v>204</v>
      </c>
      <c r="B918" s="5">
        <v>34059</v>
      </c>
      <c r="C918" s="5" t="s">
        <v>6129</v>
      </c>
      <c r="E918" t="s">
        <v>2695</v>
      </c>
      <c r="F918" t="s">
        <v>1303</v>
      </c>
      <c r="G918" t="s">
        <v>6129</v>
      </c>
    </row>
    <row r="919" spans="1:7" x14ac:dyDescent="0.25">
      <c r="A919" t="s">
        <v>190</v>
      </c>
      <c r="B919" s="5">
        <v>35915</v>
      </c>
      <c r="C919" s="5" t="s">
        <v>6130</v>
      </c>
      <c r="F919" t="s">
        <v>1304</v>
      </c>
      <c r="G919" t="s">
        <v>6130</v>
      </c>
    </row>
    <row r="920" spans="1:7" x14ac:dyDescent="0.25">
      <c r="A920" t="s">
        <v>373</v>
      </c>
      <c r="B920" s="5">
        <v>36998</v>
      </c>
      <c r="C920" s="5" t="s">
        <v>6131</v>
      </c>
      <c r="E920" t="s">
        <v>1547</v>
      </c>
      <c r="F920" t="s">
        <v>1305</v>
      </c>
      <c r="G920" t="s">
        <v>6131</v>
      </c>
    </row>
    <row r="921" spans="1:7" x14ac:dyDescent="0.25">
      <c r="A921" t="s">
        <v>205</v>
      </c>
      <c r="B921" s="5">
        <v>34520</v>
      </c>
      <c r="C921" s="5" t="s">
        <v>6132</v>
      </c>
      <c r="E921" t="s">
        <v>2694</v>
      </c>
      <c r="F921" t="s">
        <v>1306</v>
      </c>
      <c r="G921" t="s">
        <v>6132</v>
      </c>
    </row>
    <row r="922" spans="1:7" x14ac:dyDescent="0.25">
      <c r="A922" t="s">
        <v>374</v>
      </c>
      <c r="B922" s="5">
        <v>39558</v>
      </c>
      <c r="C922" s="5" t="s">
        <v>3275</v>
      </c>
      <c r="D922" t="s">
        <v>3275</v>
      </c>
      <c r="E922" t="s">
        <v>1368</v>
      </c>
      <c r="F922" t="s">
        <v>1307</v>
      </c>
      <c r="G922" t="s">
        <v>3275</v>
      </c>
    </row>
    <row r="923" spans="1:7" x14ac:dyDescent="0.25">
      <c r="A923" t="s">
        <v>200</v>
      </c>
      <c r="B923" s="5">
        <v>41367</v>
      </c>
      <c r="C923" s="5" t="s">
        <v>3276</v>
      </c>
      <c r="D923" t="s">
        <v>3276</v>
      </c>
      <c r="E923" t="s">
        <v>1518</v>
      </c>
      <c r="F923" t="s">
        <v>1308</v>
      </c>
      <c r="G923" t="s">
        <v>3276</v>
      </c>
    </row>
    <row r="924" spans="1:7" x14ac:dyDescent="0.25">
      <c r="A924" t="s">
        <v>375</v>
      </c>
      <c r="B924" s="5">
        <v>39561</v>
      </c>
      <c r="C924" s="5" t="s">
        <v>3277</v>
      </c>
      <c r="D924" t="s">
        <v>3277</v>
      </c>
      <c r="E924" t="s">
        <v>2065</v>
      </c>
      <c r="F924" t="s">
        <v>1309</v>
      </c>
      <c r="G924" t="s">
        <v>3277</v>
      </c>
    </row>
    <row r="925" spans="1:7" x14ac:dyDescent="0.25">
      <c r="A925" t="s">
        <v>208</v>
      </c>
      <c r="B925" s="5">
        <v>36994</v>
      </c>
      <c r="C925" s="5" t="s">
        <v>6133</v>
      </c>
      <c r="E925" t="s">
        <v>1912</v>
      </c>
      <c r="F925" t="s">
        <v>1310</v>
      </c>
      <c r="G925" t="s">
        <v>6133</v>
      </c>
    </row>
    <row r="926" spans="1:7" x14ac:dyDescent="0.25">
      <c r="A926" t="s">
        <v>189</v>
      </c>
      <c r="B926" s="5">
        <v>35914</v>
      </c>
      <c r="C926" s="5" t="s">
        <v>6134</v>
      </c>
      <c r="E926" t="s">
        <v>1416</v>
      </c>
      <c r="F926" t="s">
        <v>1311</v>
      </c>
      <c r="G926" t="s">
        <v>6134</v>
      </c>
    </row>
    <row r="927" spans="1:7" x14ac:dyDescent="0.25">
      <c r="A927" t="s">
        <v>198</v>
      </c>
      <c r="B927" s="5">
        <v>34457</v>
      </c>
      <c r="C927" s="5" t="s">
        <v>6135</v>
      </c>
      <c r="F927" t="s">
        <v>1312</v>
      </c>
      <c r="G927" t="s">
        <v>6135</v>
      </c>
    </row>
    <row r="928" spans="1:7" x14ac:dyDescent="0.25">
      <c r="A928" t="s">
        <v>376</v>
      </c>
      <c r="B928" s="5">
        <v>38475</v>
      </c>
      <c r="C928" s="5" t="s">
        <v>6136</v>
      </c>
      <c r="E928" t="s">
        <v>1491</v>
      </c>
      <c r="F928" t="s">
        <v>1313</v>
      </c>
      <c r="G928" t="s">
        <v>6136</v>
      </c>
    </row>
    <row r="929" spans="1:7" x14ac:dyDescent="0.25">
      <c r="A929" t="s">
        <v>213</v>
      </c>
      <c r="B929" s="5">
        <v>41396</v>
      </c>
      <c r="C929" s="5" t="s">
        <v>3278</v>
      </c>
      <c r="D929" t="s">
        <v>3278</v>
      </c>
      <c r="E929" t="s">
        <v>1446</v>
      </c>
      <c r="F929" t="s">
        <v>1314</v>
      </c>
      <c r="G929" t="s">
        <v>3278</v>
      </c>
    </row>
    <row r="930" spans="1:7" x14ac:dyDescent="0.25">
      <c r="A930" t="s">
        <v>267</v>
      </c>
      <c r="B930" s="5">
        <v>39584</v>
      </c>
      <c r="C930" s="5" t="s">
        <v>3279</v>
      </c>
      <c r="D930" t="s">
        <v>3279</v>
      </c>
      <c r="E930" t="s">
        <v>1884</v>
      </c>
      <c r="F930" t="s">
        <v>1315</v>
      </c>
      <c r="G930" t="s">
        <v>3279</v>
      </c>
    </row>
    <row r="931" spans="1:7" x14ac:dyDescent="0.25">
      <c r="A931" t="s">
        <v>189</v>
      </c>
      <c r="B931" s="5">
        <v>34086</v>
      </c>
      <c r="C931" s="5" t="s">
        <v>6137</v>
      </c>
      <c r="E931" t="s">
        <v>2304</v>
      </c>
      <c r="F931" t="s">
        <v>1316</v>
      </c>
      <c r="G931" t="s">
        <v>6137</v>
      </c>
    </row>
    <row r="932" spans="1:7" x14ac:dyDescent="0.25">
      <c r="A932" t="s">
        <v>377</v>
      </c>
      <c r="B932" s="5">
        <v>36998</v>
      </c>
      <c r="C932" s="5" t="s">
        <v>6138</v>
      </c>
      <c r="F932" t="s">
        <v>1317</v>
      </c>
      <c r="G932" t="s">
        <v>6138</v>
      </c>
    </row>
    <row r="933" spans="1:7" x14ac:dyDescent="0.25">
      <c r="A933" t="s">
        <v>365</v>
      </c>
      <c r="B933" s="5">
        <v>40674</v>
      </c>
      <c r="C933" s="5" t="s">
        <v>3280</v>
      </c>
      <c r="D933" t="s">
        <v>3280</v>
      </c>
      <c r="E933" t="s">
        <v>1971</v>
      </c>
      <c r="F933" t="s">
        <v>1318</v>
      </c>
      <c r="G933" t="s">
        <v>3280</v>
      </c>
    </row>
    <row r="934" spans="1:7" x14ac:dyDescent="0.25">
      <c r="A934" t="s">
        <v>378</v>
      </c>
      <c r="B934" s="5">
        <v>33773</v>
      </c>
      <c r="C934" s="5" t="s">
        <v>6139</v>
      </c>
      <c r="E934" t="s">
        <v>2484</v>
      </c>
      <c r="F934" t="s">
        <v>1319</v>
      </c>
      <c r="G934" t="s">
        <v>6139</v>
      </c>
    </row>
    <row r="935" spans="1:7" x14ac:dyDescent="0.25">
      <c r="A935" t="s">
        <v>358</v>
      </c>
      <c r="B935" s="5">
        <v>39580</v>
      </c>
      <c r="C935" s="5" t="s">
        <v>3281</v>
      </c>
      <c r="D935" t="s">
        <v>3281</v>
      </c>
      <c r="E935" t="s">
        <v>2025</v>
      </c>
      <c r="F935" t="s">
        <v>1320</v>
      </c>
      <c r="G935" t="s">
        <v>3281</v>
      </c>
    </row>
    <row r="936" spans="1:7" x14ac:dyDescent="0.25">
      <c r="A936" t="s">
        <v>379</v>
      </c>
      <c r="B936" s="5">
        <v>38461</v>
      </c>
      <c r="C936" s="5" t="s">
        <v>6140</v>
      </c>
      <c r="E936" t="s">
        <v>1791</v>
      </c>
      <c r="F936" t="s">
        <v>1321</v>
      </c>
      <c r="G936" t="s">
        <v>6140</v>
      </c>
    </row>
    <row r="937" spans="1:7" x14ac:dyDescent="0.25">
      <c r="A937" t="s">
        <v>380</v>
      </c>
      <c r="B937" s="5">
        <v>34085</v>
      </c>
      <c r="C937" s="5" t="s">
        <v>6141</v>
      </c>
      <c r="E937" t="s">
        <v>2362</v>
      </c>
      <c r="F937" t="s">
        <v>1322</v>
      </c>
      <c r="G937" t="s">
        <v>6141</v>
      </c>
    </row>
    <row r="938" spans="1:7" x14ac:dyDescent="0.25">
      <c r="A938" t="s">
        <v>216</v>
      </c>
      <c r="B938" s="5">
        <v>41393</v>
      </c>
      <c r="C938" s="5" t="s">
        <v>3187</v>
      </c>
      <c r="D938" t="s">
        <v>3187</v>
      </c>
      <c r="E938" t="s">
        <v>2063</v>
      </c>
      <c r="F938" t="s">
        <v>1323</v>
      </c>
      <c r="G938" t="s">
        <v>3187</v>
      </c>
    </row>
    <row r="939" spans="1:7" x14ac:dyDescent="0.25">
      <c r="A939" t="s">
        <v>256</v>
      </c>
      <c r="B939" s="5">
        <v>34058</v>
      </c>
      <c r="C939" s="5" t="s">
        <v>6142</v>
      </c>
      <c r="E939" t="s">
        <v>2225</v>
      </c>
      <c r="F939" t="s">
        <v>1324</v>
      </c>
      <c r="G939" t="s">
        <v>6142</v>
      </c>
    </row>
    <row r="940" spans="1:7" x14ac:dyDescent="0.25">
      <c r="A940" t="s">
        <v>298</v>
      </c>
      <c r="B940" s="5">
        <v>34079</v>
      </c>
      <c r="C940" s="5" t="s">
        <v>6143</v>
      </c>
      <c r="E940" t="s">
        <v>2666</v>
      </c>
      <c r="F940" t="s">
        <v>1325</v>
      </c>
      <c r="G940" t="s">
        <v>6143</v>
      </c>
    </row>
    <row r="941" spans="1:7" x14ac:dyDescent="0.25">
      <c r="A941" t="s">
        <v>315</v>
      </c>
      <c r="B941" s="5">
        <v>40288</v>
      </c>
      <c r="C941" s="5" t="s">
        <v>3282</v>
      </c>
      <c r="D941" t="s">
        <v>3282</v>
      </c>
      <c r="E941" t="s">
        <v>1687</v>
      </c>
      <c r="F941" t="s">
        <v>1326</v>
      </c>
      <c r="G941" t="s">
        <v>3282</v>
      </c>
    </row>
    <row r="942" spans="1:7" x14ac:dyDescent="0.25">
      <c r="A942" t="s">
        <v>308</v>
      </c>
      <c r="B942" s="5">
        <v>37749</v>
      </c>
      <c r="C942" s="5" t="s">
        <v>6144</v>
      </c>
      <c r="E942" t="s">
        <v>1488</v>
      </c>
      <c r="F942" t="s">
        <v>1327</v>
      </c>
      <c r="G942" t="s">
        <v>6144</v>
      </c>
    </row>
    <row r="943" spans="1:7" x14ac:dyDescent="0.25">
      <c r="A943" t="s">
        <v>256</v>
      </c>
      <c r="B943" s="5">
        <v>38462</v>
      </c>
      <c r="C943" s="5" t="s">
        <v>6145</v>
      </c>
      <c r="E943" t="s">
        <v>2101</v>
      </c>
      <c r="F943" t="s">
        <v>1328</v>
      </c>
      <c r="G943" t="s">
        <v>6145</v>
      </c>
    </row>
    <row r="944" spans="1:7" x14ac:dyDescent="0.25">
      <c r="A944" t="s">
        <v>381</v>
      </c>
      <c r="B944" s="5">
        <v>34492</v>
      </c>
      <c r="C944" s="5" t="s">
        <v>6146</v>
      </c>
      <c r="E944" t="s">
        <v>2480</v>
      </c>
      <c r="F944" t="s">
        <v>1329</v>
      </c>
      <c r="G944" t="s">
        <v>6146</v>
      </c>
    </row>
    <row r="945" spans="1:7" x14ac:dyDescent="0.25">
      <c r="A945" t="s">
        <v>382</v>
      </c>
      <c r="B945" s="5">
        <v>37000</v>
      </c>
      <c r="C945" s="5" t="s">
        <v>6147</v>
      </c>
      <c r="E945" t="s">
        <v>2092</v>
      </c>
      <c r="F945" t="s">
        <v>1330</v>
      </c>
      <c r="G945" t="s">
        <v>6147</v>
      </c>
    </row>
    <row r="946" spans="1:7" x14ac:dyDescent="0.25">
      <c r="A946" t="s">
        <v>255</v>
      </c>
      <c r="B946" s="5">
        <v>34061</v>
      </c>
      <c r="C946" s="5" t="s">
        <v>6148</v>
      </c>
      <c r="E946" t="s">
        <v>2455</v>
      </c>
      <c r="F946" t="s">
        <v>1331</v>
      </c>
      <c r="G946" t="s">
        <v>6148</v>
      </c>
    </row>
    <row r="947" spans="1:7" x14ac:dyDescent="0.25">
      <c r="A947" t="s">
        <v>228</v>
      </c>
      <c r="B947" s="5">
        <v>42109</v>
      </c>
      <c r="C947" s="5" t="s">
        <v>3283</v>
      </c>
      <c r="D947" t="s">
        <v>3283</v>
      </c>
      <c r="E947" t="s">
        <v>1889</v>
      </c>
      <c r="F947" t="s">
        <v>1332</v>
      </c>
      <c r="G947" t="s">
        <v>3283</v>
      </c>
    </row>
    <row r="948" spans="1:7" x14ac:dyDescent="0.25">
      <c r="A948" t="s">
        <v>312</v>
      </c>
      <c r="B948" s="5">
        <v>34807</v>
      </c>
      <c r="C948" s="5" t="s">
        <v>6149</v>
      </c>
      <c r="E948" t="s">
        <v>2483</v>
      </c>
      <c r="F948" t="s">
        <v>1333</v>
      </c>
      <c r="G948" t="s">
        <v>6149</v>
      </c>
    </row>
    <row r="949" spans="1:7" x14ac:dyDescent="0.25">
      <c r="A949" t="s">
        <v>295</v>
      </c>
      <c r="B949" s="5">
        <v>39568</v>
      </c>
      <c r="C949" s="5" t="s">
        <v>3284</v>
      </c>
      <c r="D949" t="s">
        <v>3284</v>
      </c>
      <c r="E949" t="s">
        <v>1975</v>
      </c>
      <c r="F949" t="s">
        <v>1334</v>
      </c>
      <c r="G949" t="s">
        <v>3284</v>
      </c>
    </row>
    <row r="950" spans="1:7" x14ac:dyDescent="0.25">
      <c r="A950" t="s">
        <v>190</v>
      </c>
      <c r="B950" s="5">
        <v>34823</v>
      </c>
      <c r="C950" s="5" t="s">
        <v>6150</v>
      </c>
      <c r="E950" t="s">
        <v>2437</v>
      </c>
      <c r="F950" t="s">
        <v>1335</v>
      </c>
      <c r="G950" t="s">
        <v>6150</v>
      </c>
    </row>
    <row r="951" spans="1:7" x14ac:dyDescent="0.25">
      <c r="A951" t="s">
        <v>186</v>
      </c>
      <c r="B951" s="5">
        <v>38503</v>
      </c>
      <c r="C951" s="5" t="s">
        <v>6151</v>
      </c>
      <c r="E951" t="s">
        <v>1937</v>
      </c>
      <c r="F951" t="s">
        <v>1336</v>
      </c>
      <c r="G951" t="s">
        <v>6151</v>
      </c>
    </row>
    <row r="952" spans="1:7" x14ac:dyDescent="0.25">
      <c r="A952" t="s">
        <v>289</v>
      </c>
      <c r="B952" s="5">
        <v>37391</v>
      </c>
      <c r="C952" s="5" t="s">
        <v>6152</v>
      </c>
      <c r="E952" t="s">
        <v>1435</v>
      </c>
      <c r="F952" t="s">
        <v>1337</v>
      </c>
      <c r="G952" t="s">
        <v>6152</v>
      </c>
    </row>
    <row r="953" spans="1:7" x14ac:dyDescent="0.25">
      <c r="A953" t="s">
        <v>383</v>
      </c>
      <c r="B953" s="5">
        <v>42142</v>
      </c>
      <c r="C953" s="5" t="s">
        <v>6153</v>
      </c>
      <c r="E953" t="s">
        <v>1433</v>
      </c>
      <c r="F953" t="s">
        <v>1338</v>
      </c>
      <c r="G953" t="s">
        <v>6153</v>
      </c>
    </row>
    <row r="954" spans="1:7" x14ac:dyDescent="0.25">
      <c r="A954" t="s">
        <v>186</v>
      </c>
      <c r="B954" s="5">
        <v>37363</v>
      </c>
      <c r="C954" s="5" t="s">
        <v>6154</v>
      </c>
      <c r="E954" t="s">
        <v>1796</v>
      </c>
      <c r="F954" t="s">
        <v>1339</v>
      </c>
      <c r="G954" t="s">
        <v>6154</v>
      </c>
    </row>
    <row r="955" spans="1:7" x14ac:dyDescent="0.25">
      <c r="A955" t="s">
        <v>384</v>
      </c>
      <c r="B955" s="5">
        <v>34416</v>
      </c>
      <c r="C955" s="5" t="s">
        <v>6155</v>
      </c>
      <c r="F955" t="s">
        <v>1340</v>
      </c>
      <c r="G955" t="s">
        <v>6155</v>
      </c>
    </row>
    <row r="956" spans="1:7" x14ac:dyDescent="0.25">
      <c r="A956" t="s">
        <v>277</v>
      </c>
      <c r="B956" s="5">
        <v>34156</v>
      </c>
      <c r="C956" s="5" t="s">
        <v>6156</v>
      </c>
      <c r="E956" t="s">
        <v>2351</v>
      </c>
      <c r="F956" t="s">
        <v>1341</v>
      </c>
      <c r="G956" t="s">
        <v>6156</v>
      </c>
    </row>
    <row r="957" spans="1:7" x14ac:dyDescent="0.25">
      <c r="A957" t="s">
        <v>385</v>
      </c>
      <c r="B957" s="5">
        <v>40295</v>
      </c>
      <c r="C957" s="5" t="s">
        <v>3285</v>
      </c>
      <c r="D957" t="s">
        <v>3285</v>
      </c>
      <c r="E957" t="s">
        <v>1632</v>
      </c>
      <c r="F957" t="s">
        <v>1342</v>
      </c>
      <c r="G957" t="s">
        <v>3285</v>
      </c>
    </row>
    <row r="958" spans="1:7" x14ac:dyDescent="0.25">
      <c r="A958" t="s">
        <v>386</v>
      </c>
      <c r="B958" s="5">
        <v>35185</v>
      </c>
      <c r="C958" s="5" t="s">
        <v>6157</v>
      </c>
      <c r="E958" t="s">
        <v>2311</v>
      </c>
      <c r="F958" t="s">
        <v>1343</v>
      </c>
      <c r="G958" t="s">
        <v>6157</v>
      </c>
    </row>
    <row r="959" spans="1:7" x14ac:dyDescent="0.25">
      <c r="A959" t="s">
        <v>1366</v>
      </c>
      <c r="B959" s="5">
        <v>36642</v>
      </c>
      <c r="C959" s="5" t="s">
        <v>6158</v>
      </c>
      <c r="E959" t="s">
        <v>1367</v>
      </c>
      <c r="G959" t="s">
        <v>6159</v>
      </c>
    </row>
    <row r="960" spans="1:7" x14ac:dyDescent="0.25">
      <c r="A960" t="s">
        <v>1375</v>
      </c>
      <c r="B960" s="5">
        <v>37006</v>
      </c>
      <c r="C960" s="5" t="s">
        <v>6160</v>
      </c>
      <c r="E960" t="s">
        <v>1376</v>
      </c>
      <c r="G960" t="s">
        <v>6159</v>
      </c>
    </row>
    <row r="961" spans="1:7" x14ac:dyDescent="0.25">
      <c r="A961" t="s">
        <v>1387</v>
      </c>
      <c r="B961" s="5">
        <v>39884</v>
      </c>
      <c r="C961" s="5" t="s">
        <v>3286</v>
      </c>
      <c r="D961" t="s">
        <v>3286</v>
      </c>
      <c r="E961" t="s">
        <v>1388</v>
      </c>
      <c r="G961" t="s">
        <v>6159</v>
      </c>
    </row>
    <row r="962" spans="1:7" x14ac:dyDescent="0.25">
      <c r="A962" t="s">
        <v>375</v>
      </c>
      <c r="B962" s="5">
        <v>39721</v>
      </c>
      <c r="C962" s="5" t="s">
        <v>3287</v>
      </c>
      <c r="D962" t="s">
        <v>3287</v>
      </c>
      <c r="E962" t="s">
        <v>1390</v>
      </c>
      <c r="G962" t="s">
        <v>6159</v>
      </c>
    </row>
    <row r="963" spans="1:7" x14ac:dyDescent="0.25">
      <c r="A963" t="s">
        <v>183</v>
      </c>
      <c r="B963" s="5">
        <v>39800</v>
      </c>
      <c r="C963" s="5" t="s">
        <v>3288</v>
      </c>
      <c r="D963" t="s">
        <v>3288</v>
      </c>
      <c r="E963" t="s">
        <v>1391</v>
      </c>
      <c r="G963" t="s">
        <v>6159</v>
      </c>
    </row>
    <row r="964" spans="1:7" x14ac:dyDescent="0.25">
      <c r="A964" t="s">
        <v>1398</v>
      </c>
      <c r="B964" s="5">
        <v>38914</v>
      </c>
      <c r="C964" s="5" t="s">
        <v>6161</v>
      </c>
      <c r="E964" t="s">
        <v>1399</v>
      </c>
      <c r="G964" t="s">
        <v>6159</v>
      </c>
    </row>
    <row r="965" spans="1:7" x14ac:dyDescent="0.25">
      <c r="A965" t="s">
        <v>1402</v>
      </c>
      <c r="B965" s="5">
        <v>42474</v>
      </c>
      <c r="C965" s="5" t="s">
        <v>6162</v>
      </c>
      <c r="E965" t="s">
        <v>1403</v>
      </c>
      <c r="G965" t="s">
        <v>6159</v>
      </c>
    </row>
    <row r="966" spans="1:7" x14ac:dyDescent="0.25">
      <c r="A966" t="s">
        <v>1407</v>
      </c>
      <c r="B966" s="5">
        <v>37909</v>
      </c>
      <c r="C966" s="5" t="s">
        <v>6163</v>
      </c>
      <c r="E966" t="s">
        <v>1408</v>
      </c>
      <c r="G966" t="s">
        <v>6159</v>
      </c>
    </row>
    <row r="967" spans="1:7" x14ac:dyDescent="0.25">
      <c r="A967" t="s">
        <v>1411</v>
      </c>
      <c r="B967" s="5">
        <v>39562</v>
      </c>
      <c r="C967" s="5" t="s">
        <v>6164</v>
      </c>
      <c r="E967" t="s">
        <v>1412</v>
      </c>
      <c r="G967" t="s">
        <v>6159</v>
      </c>
    </row>
    <row r="968" spans="1:7" x14ac:dyDescent="0.25">
      <c r="A968" t="s">
        <v>1413</v>
      </c>
      <c r="B968" s="5">
        <v>38461</v>
      </c>
      <c r="C968" s="5" t="s">
        <v>6165</v>
      </c>
      <c r="E968" t="s">
        <v>1414</v>
      </c>
      <c r="G968" t="s">
        <v>6159</v>
      </c>
    </row>
    <row r="969" spans="1:7" x14ac:dyDescent="0.25">
      <c r="A969" t="s">
        <v>220</v>
      </c>
      <c r="B969" s="5">
        <v>39721</v>
      </c>
      <c r="C969" s="5" t="s">
        <v>3289</v>
      </c>
      <c r="D969" t="s">
        <v>3289</v>
      </c>
      <c r="E969" t="s">
        <v>1419</v>
      </c>
      <c r="G969" t="s">
        <v>6159</v>
      </c>
    </row>
    <row r="970" spans="1:7" x14ac:dyDescent="0.25">
      <c r="A970" t="s">
        <v>86</v>
      </c>
      <c r="B970" s="5">
        <v>39743</v>
      </c>
      <c r="C970" s="5" t="s">
        <v>3290</v>
      </c>
      <c r="D970" t="s">
        <v>3290</v>
      </c>
      <c r="E970" t="s">
        <v>1420</v>
      </c>
      <c r="G970" t="s">
        <v>6159</v>
      </c>
    </row>
    <row r="971" spans="1:7" x14ac:dyDescent="0.25">
      <c r="A971" t="s">
        <v>1411</v>
      </c>
      <c r="B971" s="5">
        <v>39910</v>
      </c>
      <c r="C971" s="5" t="s">
        <v>6166</v>
      </c>
      <c r="E971" t="s">
        <v>1425</v>
      </c>
      <c r="G971" t="s">
        <v>6159</v>
      </c>
    </row>
    <row r="972" spans="1:7" x14ac:dyDescent="0.25">
      <c r="A972" t="s">
        <v>274</v>
      </c>
      <c r="B972" s="5">
        <v>39755</v>
      </c>
      <c r="C972" s="5" t="s">
        <v>3291</v>
      </c>
      <c r="D972" t="s">
        <v>3291</v>
      </c>
      <c r="E972" t="s">
        <v>1431</v>
      </c>
      <c r="G972" t="s">
        <v>6159</v>
      </c>
    </row>
    <row r="973" spans="1:7" x14ac:dyDescent="0.25">
      <c r="A973" t="s">
        <v>359</v>
      </c>
      <c r="B973" s="5">
        <v>35403</v>
      </c>
      <c r="C973" s="5" t="s">
        <v>6167</v>
      </c>
      <c r="E973" t="s">
        <v>1438</v>
      </c>
      <c r="G973" t="s">
        <v>6159</v>
      </c>
    </row>
    <row r="974" spans="1:7" x14ac:dyDescent="0.25">
      <c r="A974" t="s">
        <v>1440</v>
      </c>
      <c r="B974" s="5">
        <v>39886</v>
      </c>
      <c r="C974" s="5" t="s">
        <v>6168</v>
      </c>
      <c r="E974" t="s">
        <v>1441</v>
      </c>
      <c r="G974" t="s">
        <v>6159</v>
      </c>
    </row>
    <row r="975" spans="1:7" x14ac:dyDescent="0.25">
      <c r="A975" t="s">
        <v>45</v>
      </c>
      <c r="B975" s="5">
        <v>42550</v>
      </c>
      <c r="C975" s="5" t="s">
        <v>3292</v>
      </c>
      <c r="D975" t="s">
        <v>3292</v>
      </c>
      <c r="E975" t="s">
        <v>1453</v>
      </c>
      <c r="G975" t="s">
        <v>6159</v>
      </c>
    </row>
    <row r="976" spans="1:7" x14ac:dyDescent="0.25">
      <c r="A976" t="s">
        <v>1454</v>
      </c>
      <c r="B976" s="5">
        <v>38481</v>
      </c>
      <c r="C976" s="5" t="s">
        <v>6169</v>
      </c>
      <c r="E976" t="s">
        <v>1455</v>
      </c>
      <c r="G976" t="s">
        <v>6159</v>
      </c>
    </row>
    <row r="977" spans="1:7" x14ac:dyDescent="0.25">
      <c r="A977" t="s">
        <v>1458</v>
      </c>
      <c r="B977" s="5">
        <v>39883</v>
      </c>
      <c r="C977" s="5" t="s">
        <v>6170</v>
      </c>
      <c r="E977" t="s">
        <v>1459</v>
      </c>
      <c r="G977" t="s">
        <v>6159</v>
      </c>
    </row>
    <row r="978" spans="1:7" x14ac:dyDescent="0.25">
      <c r="A978" t="s">
        <v>1460</v>
      </c>
      <c r="B978" s="5">
        <v>35696</v>
      </c>
      <c r="C978" s="5" t="s">
        <v>6171</v>
      </c>
      <c r="E978" t="s">
        <v>1461</v>
      </c>
      <c r="G978" t="s">
        <v>6159</v>
      </c>
    </row>
    <row r="979" spans="1:7" x14ac:dyDescent="0.25">
      <c r="A979" t="s">
        <v>281</v>
      </c>
      <c r="B979" s="5">
        <v>38912</v>
      </c>
      <c r="C979" s="5" t="s">
        <v>6172</v>
      </c>
      <c r="E979" t="s">
        <v>1463</v>
      </c>
      <c r="G979" t="s">
        <v>6159</v>
      </c>
    </row>
    <row r="980" spans="1:7" x14ac:dyDescent="0.25">
      <c r="A980" t="s">
        <v>1476</v>
      </c>
      <c r="B980" s="5">
        <v>35683</v>
      </c>
      <c r="C980" s="5" t="s">
        <v>6173</v>
      </c>
      <c r="E980" t="s">
        <v>1477</v>
      </c>
      <c r="G980" t="s">
        <v>6159</v>
      </c>
    </row>
    <row r="981" spans="1:7" x14ac:dyDescent="0.25">
      <c r="A981" t="s">
        <v>1480</v>
      </c>
      <c r="B981" s="5">
        <v>37910</v>
      </c>
      <c r="C981" s="5" t="s">
        <v>6174</v>
      </c>
      <c r="E981" t="s">
        <v>1481</v>
      </c>
      <c r="G981" t="s">
        <v>6159</v>
      </c>
    </row>
    <row r="982" spans="1:7" x14ac:dyDescent="0.25">
      <c r="A982" t="s">
        <v>18</v>
      </c>
      <c r="B982" s="5">
        <v>39798</v>
      </c>
      <c r="C982" s="5" t="s">
        <v>3293</v>
      </c>
      <c r="D982" t="s">
        <v>3293</v>
      </c>
      <c r="E982" t="s">
        <v>1482</v>
      </c>
      <c r="G982" t="s">
        <v>6159</v>
      </c>
    </row>
    <row r="983" spans="1:7" x14ac:dyDescent="0.25">
      <c r="A983" t="s">
        <v>1492</v>
      </c>
      <c r="B983" s="5">
        <v>38112</v>
      </c>
      <c r="C983" s="5" t="s">
        <v>6175</v>
      </c>
      <c r="E983" t="s">
        <v>1493</v>
      </c>
      <c r="G983" t="s">
        <v>6159</v>
      </c>
    </row>
    <row r="984" spans="1:7" x14ac:dyDescent="0.25">
      <c r="A984" t="s">
        <v>1495</v>
      </c>
      <c r="B984" s="5">
        <v>35718</v>
      </c>
      <c r="C984" s="5" t="s">
        <v>6176</v>
      </c>
      <c r="E984" t="s">
        <v>1496</v>
      </c>
      <c r="G984" t="s">
        <v>6159</v>
      </c>
    </row>
    <row r="985" spans="1:7" x14ac:dyDescent="0.25">
      <c r="A985" t="s">
        <v>1501</v>
      </c>
      <c r="B985" s="5">
        <v>42479</v>
      </c>
      <c r="C985" s="5" t="s">
        <v>6177</v>
      </c>
      <c r="E985" t="s">
        <v>1502</v>
      </c>
      <c r="G985" t="s">
        <v>6159</v>
      </c>
    </row>
    <row r="986" spans="1:7" x14ac:dyDescent="0.25">
      <c r="A986" t="s">
        <v>1509</v>
      </c>
      <c r="B986" s="5">
        <v>35717</v>
      </c>
      <c r="C986" s="5" t="s">
        <v>6178</v>
      </c>
      <c r="E986" t="s">
        <v>1510</v>
      </c>
      <c r="G986" t="s">
        <v>6159</v>
      </c>
    </row>
    <row r="987" spans="1:7" x14ac:dyDescent="0.25">
      <c r="A987" t="s">
        <v>1513</v>
      </c>
      <c r="B987" s="5">
        <v>39800</v>
      </c>
      <c r="C987" s="5" t="s">
        <v>6179</v>
      </c>
      <c r="E987" t="s">
        <v>1514</v>
      </c>
      <c r="G987" t="s">
        <v>6159</v>
      </c>
    </row>
    <row r="988" spans="1:7" x14ac:dyDescent="0.25">
      <c r="A988" t="s">
        <v>339</v>
      </c>
      <c r="B988" s="5">
        <v>39932</v>
      </c>
      <c r="C988" s="5" t="s">
        <v>3294</v>
      </c>
      <c r="D988" t="s">
        <v>3294</v>
      </c>
      <c r="E988" t="s">
        <v>1516</v>
      </c>
      <c r="G988" t="s">
        <v>6159</v>
      </c>
    </row>
    <row r="989" spans="1:7" x14ac:dyDescent="0.25">
      <c r="A989" t="s">
        <v>1519</v>
      </c>
      <c r="B989" s="5">
        <v>39218</v>
      </c>
      <c r="C989" s="5" t="s">
        <v>3295</v>
      </c>
      <c r="D989" t="s">
        <v>3295</v>
      </c>
      <c r="E989" t="s">
        <v>1520</v>
      </c>
      <c r="G989" t="s">
        <v>6159</v>
      </c>
    </row>
    <row r="990" spans="1:7" x14ac:dyDescent="0.25">
      <c r="A990" t="s">
        <v>305</v>
      </c>
      <c r="B990" s="5">
        <v>35915</v>
      </c>
      <c r="C990" s="5" t="s">
        <v>6180</v>
      </c>
      <c r="E990" t="s">
        <v>1521</v>
      </c>
      <c r="G990" t="s">
        <v>6159</v>
      </c>
    </row>
    <row r="991" spans="1:7" x14ac:dyDescent="0.25">
      <c r="A991" t="s">
        <v>205</v>
      </c>
      <c r="B991" s="5">
        <v>35716</v>
      </c>
      <c r="C991" s="5" t="s">
        <v>6181</v>
      </c>
      <c r="E991" t="s">
        <v>1522</v>
      </c>
      <c r="G991" t="s">
        <v>6159</v>
      </c>
    </row>
    <row r="992" spans="1:7" x14ac:dyDescent="0.25">
      <c r="A992" t="s">
        <v>170</v>
      </c>
      <c r="B992" s="5">
        <v>37910</v>
      </c>
      <c r="C992" s="5" t="s">
        <v>6182</v>
      </c>
      <c r="E992" t="s">
        <v>1524</v>
      </c>
      <c r="G992" t="s">
        <v>6159</v>
      </c>
    </row>
    <row r="993" spans="1:7" x14ac:dyDescent="0.25">
      <c r="A993" t="s">
        <v>1530</v>
      </c>
      <c r="B993" s="5">
        <v>37013</v>
      </c>
      <c r="C993" s="5" t="s">
        <v>6183</v>
      </c>
      <c r="E993" t="s">
        <v>1531</v>
      </c>
      <c r="G993" t="s">
        <v>6159</v>
      </c>
    </row>
    <row r="994" spans="1:7" x14ac:dyDescent="0.25">
      <c r="A994" t="s">
        <v>378</v>
      </c>
      <c r="B994" s="5">
        <v>40107</v>
      </c>
      <c r="C994" s="5" t="s">
        <v>3296</v>
      </c>
      <c r="D994" t="s">
        <v>3296</v>
      </c>
      <c r="E994" t="s">
        <v>1536</v>
      </c>
      <c r="G994" t="s">
        <v>6159</v>
      </c>
    </row>
    <row r="995" spans="1:7" x14ac:dyDescent="0.25">
      <c r="A995" t="s">
        <v>1539</v>
      </c>
      <c r="B995" s="5">
        <v>35557</v>
      </c>
      <c r="C995" s="5" t="s">
        <v>6184</v>
      </c>
      <c r="E995" t="s">
        <v>1540</v>
      </c>
      <c r="G995" t="s">
        <v>6159</v>
      </c>
    </row>
    <row r="996" spans="1:7" x14ac:dyDescent="0.25">
      <c r="A996" t="s">
        <v>1543</v>
      </c>
      <c r="B996" s="5">
        <v>35927</v>
      </c>
      <c r="C996" s="5" t="s">
        <v>6185</v>
      </c>
      <c r="E996" t="s">
        <v>1544</v>
      </c>
      <c r="G996" t="s">
        <v>6159</v>
      </c>
    </row>
    <row r="997" spans="1:7" x14ac:dyDescent="0.25">
      <c r="A997" t="s">
        <v>167</v>
      </c>
      <c r="B997" s="5">
        <v>39742</v>
      </c>
      <c r="C997" s="5" t="s">
        <v>3297</v>
      </c>
      <c r="D997" t="s">
        <v>3297</v>
      </c>
      <c r="E997" t="s">
        <v>1553</v>
      </c>
      <c r="G997" t="s">
        <v>6159</v>
      </c>
    </row>
    <row r="998" spans="1:7" x14ac:dyDescent="0.25">
      <c r="A998" t="s">
        <v>1568</v>
      </c>
      <c r="B998" s="5">
        <v>38477</v>
      </c>
      <c r="C998" s="5" t="s">
        <v>6186</v>
      </c>
      <c r="E998" t="s">
        <v>1569</v>
      </c>
      <c r="G998" t="s">
        <v>6159</v>
      </c>
    </row>
    <row r="999" spans="1:7" x14ac:dyDescent="0.25">
      <c r="A999" t="s">
        <v>1571</v>
      </c>
      <c r="B999" s="5">
        <v>39559</v>
      </c>
      <c r="C999" s="5" t="s">
        <v>6187</v>
      </c>
      <c r="E999" t="s">
        <v>1572</v>
      </c>
      <c r="G999" t="s">
        <v>6159</v>
      </c>
    </row>
    <row r="1000" spans="1:7" x14ac:dyDescent="0.25">
      <c r="A1000" t="s">
        <v>1573</v>
      </c>
      <c r="B1000" s="5">
        <v>38848</v>
      </c>
      <c r="C1000" s="5" t="s">
        <v>6188</v>
      </c>
      <c r="E1000" t="s">
        <v>1574</v>
      </c>
      <c r="G1000" t="s">
        <v>6159</v>
      </c>
    </row>
    <row r="1001" spans="1:7" x14ac:dyDescent="0.25">
      <c r="A1001" t="s">
        <v>1575</v>
      </c>
      <c r="B1001" s="5">
        <v>42598</v>
      </c>
      <c r="C1001" s="5" t="s">
        <v>6189</v>
      </c>
      <c r="E1001" t="s">
        <v>1576</v>
      </c>
      <c r="G1001" t="s">
        <v>6159</v>
      </c>
    </row>
    <row r="1002" spans="1:7" x14ac:dyDescent="0.25">
      <c r="A1002" t="s">
        <v>1577</v>
      </c>
      <c r="B1002" s="5">
        <v>37013</v>
      </c>
      <c r="C1002" s="5" t="s">
        <v>6190</v>
      </c>
      <c r="E1002" t="s">
        <v>1578</v>
      </c>
      <c r="G1002" t="s">
        <v>6159</v>
      </c>
    </row>
    <row r="1003" spans="1:7" x14ac:dyDescent="0.25">
      <c r="A1003" t="s">
        <v>1580</v>
      </c>
      <c r="B1003" s="5">
        <v>35726</v>
      </c>
      <c r="C1003" s="5" t="s">
        <v>6191</v>
      </c>
      <c r="E1003" t="s">
        <v>1581</v>
      </c>
      <c r="G1003" t="s">
        <v>6159</v>
      </c>
    </row>
    <row r="1004" spans="1:7" x14ac:dyDescent="0.25">
      <c r="A1004" t="s">
        <v>214</v>
      </c>
      <c r="B1004" s="5">
        <v>40106</v>
      </c>
      <c r="C1004" s="5" t="s">
        <v>3298</v>
      </c>
      <c r="D1004" t="s">
        <v>3298</v>
      </c>
      <c r="E1004" t="s">
        <v>1583</v>
      </c>
      <c r="G1004" t="s">
        <v>6159</v>
      </c>
    </row>
    <row r="1005" spans="1:7" x14ac:dyDescent="0.25">
      <c r="A1005" t="s">
        <v>289</v>
      </c>
      <c r="B1005" s="5">
        <v>39797</v>
      </c>
      <c r="C1005" s="5" t="s">
        <v>3299</v>
      </c>
      <c r="D1005" t="s">
        <v>3299</v>
      </c>
      <c r="E1005" t="s">
        <v>1589</v>
      </c>
      <c r="G1005" t="s">
        <v>6159</v>
      </c>
    </row>
    <row r="1006" spans="1:7" x14ac:dyDescent="0.25">
      <c r="A1006" t="s">
        <v>1513</v>
      </c>
      <c r="B1006" s="5">
        <v>39960</v>
      </c>
      <c r="C1006" s="5" t="s">
        <v>6192</v>
      </c>
      <c r="E1006" t="s">
        <v>1599</v>
      </c>
      <c r="G1006" t="s">
        <v>6159</v>
      </c>
    </row>
    <row r="1007" spans="1:7" x14ac:dyDescent="0.25">
      <c r="A1007" t="s">
        <v>1600</v>
      </c>
      <c r="B1007" s="5">
        <v>42641</v>
      </c>
      <c r="C1007" s="5" t="s">
        <v>6193</v>
      </c>
      <c r="E1007" t="s">
        <v>1601</v>
      </c>
      <c r="G1007" t="s">
        <v>6159</v>
      </c>
    </row>
    <row r="1008" spans="1:7" x14ac:dyDescent="0.25">
      <c r="A1008" t="s">
        <v>229</v>
      </c>
      <c r="B1008" s="5">
        <v>40316</v>
      </c>
      <c r="C1008" s="5" t="s">
        <v>3300</v>
      </c>
      <c r="D1008" t="s">
        <v>3300</v>
      </c>
      <c r="E1008" t="s">
        <v>1605</v>
      </c>
      <c r="G1008" t="s">
        <v>6159</v>
      </c>
    </row>
    <row r="1009" spans="1:7" x14ac:dyDescent="0.25">
      <c r="A1009" t="s">
        <v>1613</v>
      </c>
      <c r="B1009" s="5">
        <v>38461</v>
      </c>
      <c r="C1009" s="5" t="s">
        <v>6194</v>
      </c>
      <c r="E1009" t="s">
        <v>1614</v>
      </c>
      <c r="G1009" t="s">
        <v>6159</v>
      </c>
    </row>
    <row r="1010" spans="1:7" x14ac:dyDescent="0.25">
      <c r="A1010" t="s">
        <v>192</v>
      </c>
      <c r="B1010" s="5">
        <v>36641</v>
      </c>
      <c r="C1010" s="5" t="s">
        <v>6195</v>
      </c>
      <c r="E1010" t="s">
        <v>1616</v>
      </c>
      <c r="G1010" t="s">
        <v>6159</v>
      </c>
    </row>
    <row r="1011" spans="1:7" x14ac:dyDescent="0.25">
      <c r="A1011" t="s">
        <v>1618</v>
      </c>
      <c r="B1011" s="5">
        <v>39560</v>
      </c>
      <c r="C1011" s="5" t="s">
        <v>6196</v>
      </c>
      <c r="E1011" t="s">
        <v>1619</v>
      </c>
      <c r="G1011" t="s">
        <v>6159</v>
      </c>
    </row>
    <row r="1012" spans="1:7" x14ac:dyDescent="0.25">
      <c r="A1012" t="s">
        <v>136</v>
      </c>
      <c r="B1012" s="5">
        <v>39755</v>
      </c>
      <c r="C1012" s="5" t="s">
        <v>3301</v>
      </c>
      <c r="D1012" t="s">
        <v>3301</v>
      </c>
      <c r="E1012" t="s">
        <v>1626</v>
      </c>
      <c r="G1012" t="s">
        <v>6159</v>
      </c>
    </row>
    <row r="1013" spans="1:7" x14ac:dyDescent="0.25">
      <c r="A1013" t="s">
        <v>112</v>
      </c>
      <c r="B1013" s="5">
        <v>39744</v>
      </c>
      <c r="C1013" s="5" t="s">
        <v>3302</v>
      </c>
      <c r="D1013" t="s">
        <v>3302</v>
      </c>
      <c r="E1013" t="s">
        <v>1627</v>
      </c>
      <c r="G1013" t="s">
        <v>6159</v>
      </c>
    </row>
    <row r="1014" spans="1:7" x14ac:dyDescent="0.25">
      <c r="A1014" t="s">
        <v>1630</v>
      </c>
      <c r="B1014" s="5">
        <v>38518</v>
      </c>
      <c r="C1014" s="5" t="s">
        <v>6197</v>
      </c>
      <c r="E1014" t="s">
        <v>1631</v>
      </c>
      <c r="G1014" t="s">
        <v>6159</v>
      </c>
    </row>
    <row r="1015" spans="1:7" x14ac:dyDescent="0.25">
      <c r="A1015" t="s">
        <v>1634</v>
      </c>
      <c r="B1015" s="5">
        <v>41827</v>
      </c>
      <c r="C1015" s="5" t="s">
        <v>3303</v>
      </c>
      <c r="D1015" t="s">
        <v>3303</v>
      </c>
      <c r="E1015" t="s">
        <v>1635</v>
      </c>
      <c r="G1015" t="s">
        <v>6159</v>
      </c>
    </row>
    <row r="1016" spans="1:7" x14ac:dyDescent="0.25">
      <c r="A1016" t="s">
        <v>1637</v>
      </c>
      <c r="B1016" s="5">
        <v>42529</v>
      </c>
      <c r="C1016" s="5" t="s">
        <v>6198</v>
      </c>
      <c r="E1016" t="s">
        <v>1638</v>
      </c>
      <c r="G1016" t="s">
        <v>6159</v>
      </c>
    </row>
    <row r="1017" spans="1:7" x14ac:dyDescent="0.25">
      <c r="A1017" t="s">
        <v>328</v>
      </c>
      <c r="B1017" s="5">
        <v>39945</v>
      </c>
      <c r="C1017" s="5" t="s">
        <v>3304</v>
      </c>
      <c r="D1017" t="s">
        <v>3304</v>
      </c>
      <c r="E1017" t="s">
        <v>1646</v>
      </c>
      <c r="G1017" t="s">
        <v>6159</v>
      </c>
    </row>
    <row r="1018" spans="1:7" x14ac:dyDescent="0.25">
      <c r="A1018" t="s">
        <v>1648</v>
      </c>
      <c r="B1018" s="5">
        <v>38098</v>
      </c>
      <c r="C1018" s="5" t="s">
        <v>6199</v>
      </c>
      <c r="E1018" t="s">
        <v>1649</v>
      </c>
      <c r="G1018" t="s">
        <v>6159</v>
      </c>
    </row>
    <row r="1019" spans="1:7" x14ac:dyDescent="0.25">
      <c r="A1019" t="s">
        <v>1650</v>
      </c>
      <c r="B1019" s="5">
        <v>35515</v>
      </c>
      <c r="C1019" s="5" t="s">
        <v>6200</v>
      </c>
      <c r="E1019" t="s">
        <v>1651</v>
      </c>
      <c r="G1019" t="s">
        <v>6159</v>
      </c>
    </row>
    <row r="1020" spans="1:7" x14ac:dyDescent="0.25">
      <c r="A1020" t="s">
        <v>1652</v>
      </c>
      <c r="B1020" s="5">
        <v>42514</v>
      </c>
      <c r="C1020" s="5" t="s">
        <v>6201</v>
      </c>
      <c r="E1020" t="s">
        <v>1653</v>
      </c>
      <c r="G1020" t="s">
        <v>6159</v>
      </c>
    </row>
    <row r="1021" spans="1:7" x14ac:dyDescent="0.25">
      <c r="A1021" t="s">
        <v>1387</v>
      </c>
      <c r="B1021" s="5">
        <v>35528</v>
      </c>
      <c r="C1021" s="5" t="s">
        <v>6202</v>
      </c>
      <c r="E1021" t="s">
        <v>1657</v>
      </c>
      <c r="G1021" t="s">
        <v>6159</v>
      </c>
    </row>
    <row r="1022" spans="1:7" x14ac:dyDescent="0.25">
      <c r="A1022" t="s">
        <v>1659</v>
      </c>
      <c r="B1022" s="5">
        <v>39560</v>
      </c>
      <c r="C1022" s="5" t="s">
        <v>6203</v>
      </c>
      <c r="E1022" t="s">
        <v>1660</v>
      </c>
      <c r="G1022" t="s">
        <v>6159</v>
      </c>
    </row>
    <row r="1023" spans="1:7" x14ac:dyDescent="0.25">
      <c r="A1023" t="s">
        <v>1663</v>
      </c>
      <c r="B1023" s="5">
        <v>36993</v>
      </c>
      <c r="C1023" s="5" t="s">
        <v>6204</v>
      </c>
      <c r="E1023" t="s">
        <v>1664</v>
      </c>
      <c r="G1023" t="s">
        <v>6159</v>
      </c>
    </row>
    <row r="1024" spans="1:7" x14ac:dyDescent="0.25">
      <c r="A1024" t="s">
        <v>1666</v>
      </c>
      <c r="B1024" s="5">
        <v>40616</v>
      </c>
      <c r="C1024" s="5" t="s">
        <v>6205</v>
      </c>
      <c r="E1024" t="s">
        <v>1667</v>
      </c>
      <c r="G1024" t="s">
        <v>6159</v>
      </c>
    </row>
    <row r="1025" spans="1:7" x14ac:dyDescent="0.25">
      <c r="A1025" t="s">
        <v>1671</v>
      </c>
      <c r="B1025" s="5">
        <v>39561</v>
      </c>
      <c r="C1025" s="5" t="s">
        <v>6206</v>
      </c>
      <c r="E1025" t="s">
        <v>1672</v>
      </c>
      <c r="G1025" t="s">
        <v>6159</v>
      </c>
    </row>
    <row r="1026" spans="1:7" x14ac:dyDescent="0.25">
      <c r="A1026" t="s">
        <v>289</v>
      </c>
      <c r="B1026" s="5">
        <v>36627</v>
      </c>
      <c r="C1026" s="5" t="s">
        <v>6207</v>
      </c>
      <c r="E1026" t="s">
        <v>1673</v>
      </c>
      <c r="G1026" t="s">
        <v>6159</v>
      </c>
    </row>
    <row r="1027" spans="1:7" x14ac:dyDescent="0.25">
      <c r="A1027" t="s">
        <v>313</v>
      </c>
      <c r="B1027" s="5">
        <v>40708</v>
      </c>
      <c r="C1027" s="5" t="s">
        <v>3305</v>
      </c>
      <c r="D1027" t="s">
        <v>3305</v>
      </c>
      <c r="E1027" t="s">
        <v>1674</v>
      </c>
      <c r="G1027" t="s">
        <v>6159</v>
      </c>
    </row>
    <row r="1028" spans="1:7" x14ac:dyDescent="0.25">
      <c r="A1028" t="s">
        <v>1675</v>
      </c>
      <c r="B1028" s="5">
        <v>40275</v>
      </c>
      <c r="C1028" s="5" t="s">
        <v>6208</v>
      </c>
      <c r="E1028" t="s">
        <v>1676</v>
      </c>
      <c r="G1028" t="s">
        <v>6159</v>
      </c>
    </row>
    <row r="1029" spans="1:7" x14ac:dyDescent="0.25">
      <c r="A1029" t="s">
        <v>197</v>
      </c>
      <c r="B1029" s="5">
        <v>39756</v>
      </c>
      <c r="C1029" s="5" t="s">
        <v>3306</v>
      </c>
      <c r="D1029" t="s">
        <v>3306</v>
      </c>
      <c r="E1029" t="s">
        <v>1682</v>
      </c>
      <c r="G1029" t="s">
        <v>6159</v>
      </c>
    </row>
    <row r="1030" spans="1:7" x14ac:dyDescent="0.25">
      <c r="A1030" t="s">
        <v>1685</v>
      </c>
      <c r="B1030" s="5">
        <v>35514</v>
      </c>
      <c r="C1030" s="5" t="s">
        <v>6209</v>
      </c>
      <c r="E1030" t="s">
        <v>1686</v>
      </c>
      <c r="G1030" t="s">
        <v>6159</v>
      </c>
    </row>
    <row r="1031" spans="1:7" x14ac:dyDescent="0.25">
      <c r="A1031" t="s">
        <v>347</v>
      </c>
      <c r="B1031" s="5">
        <v>39770</v>
      </c>
      <c r="C1031" s="5" t="s">
        <v>3307</v>
      </c>
      <c r="D1031" t="s">
        <v>3307</v>
      </c>
      <c r="E1031" t="s">
        <v>1692</v>
      </c>
      <c r="G1031" t="s">
        <v>6159</v>
      </c>
    </row>
    <row r="1032" spans="1:7" x14ac:dyDescent="0.25">
      <c r="A1032" t="s">
        <v>1698</v>
      </c>
      <c r="B1032" s="5">
        <v>39561</v>
      </c>
      <c r="C1032" s="5" t="s">
        <v>6210</v>
      </c>
      <c r="E1032" t="s">
        <v>1699</v>
      </c>
      <c r="G1032" t="s">
        <v>6159</v>
      </c>
    </row>
    <row r="1033" spans="1:7" x14ac:dyDescent="0.25">
      <c r="A1033" t="s">
        <v>229</v>
      </c>
      <c r="B1033" s="5">
        <v>36634</v>
      </c>
      <c r="C1033" s="5" t="s">
        <v>6211</v>
      </c>
      <c r="E1033" t="s">
        <v>1703</v>
      </c>
      <c r="G1033" t="s">
        <v>6159</v>
      </c>
    </row>
    <row r="1034" spans="1:7" x14ac:dyDescent="0.25">
      <c r="A1034" t="s">
        <v>1568</v>
      </c>
      <c r="B1034" s="5">
        <v>38911</v>
      </c>
      <c r="C1034" s="5" t="s">
        <v>6212</v>
      </c>
      <c r="E1034" t="s">
        <v>1708</v>
      </c>
      <c r="G1034" t="s">
        <v>6159</v>
      </c>
    </row>
    <row r="1035" spans="1:7" x14ac:dyDescent="0.25">
      <c r="A1035" t="s">
        <v>1711</v>
      </c>
      <c r="B1035" s="5">
        <v>39909</v>
      </c>
      <c r="C1035" s="5" t="s">
        <v>6213</v>
      </c>
      <c r="E1035" t="s">
        <v>1712</v>
      </c>
      <c r="G1035" t="s">
        <v>6159</v>
      </c>
    </row>
    <row r="1036" spans="1:7" x14ac:dyDescent="0.25">
      <c r="A1036" t="s">
        <v>1717</v>
      </c>
      <c r="B1036" s="5">
        <v>35925</v>
      </c>
      <c r="C1036" s="5" t="s">
        <v>6214</v>
      </c>
      <c r="E1036" t="s">
        <v>1718</v>
      </c>
      <c r="G1036" t="s">
        <v>6159</v>
      </c>
    </row>
    <row r="1037" spans="1:7" x14ac:dyDescent="0.25">
      <c r="A1037" t="s">
        <v>1720</v>
      </c>
      <c r="B1037" s="5">
        <v>42471</v>
      </c>
      <c r="C1037" s="5" t="s">
        <v>6215</v>
      </c>
      <c r="E1037" t="s">
        <v>1721</v>
      </c>
      <c r="G1037" t="s">
        <v>6159</v>
      </c>
    </row>
    <row r="1038" spans="1:7" x14ac:dyDescent="0.25">
      <c r="A1038" t="s">
        <v>1726</v>
      </c>
      <c r="B1038" s="5">
        <v>36999</v>
      </c>
      <c r="C1038" s="5" t="s">
        <v>6216</v>
      </c>
      <c r="E1038" t="s">
        <v>1727</v>
      </c>
      <c r="G1038" t="s">
        <v>6159</v>
      </c>
    </row>
    <row r="1039" spans="1:7" x14ac:dyDescent="0.25">
      <c r="A1039" t="s">
        <v>1730</v>
      </c>
      <c r="B1039" s="5">
        <v>39882</v>
      </c>
      <c r="C1039" s="5" t="s">
        <v>6217</v>
      </c>
      <c r="E1039" t="s">
        <v>1731</v>
      </c>
      <c r="G1039" t="s">
        <v>6159</v>
      </c>
    </row>
    <row r="1040" spans="1:7" x14ac:dyDescent="0.25">
      <c r="A1040" t="s">
        <v>1732</v>
      </c>
      <c r="B1040" s="5">
        <v>37909</v>
      </c>
      <c r="C1040" s="5" t="s">
        <v>6218</v>
      </c>
      <c r="E1040" t="s">
        <v>1733</v>
      </c>
      <c r="G1040" t="s">
        <v>6159</v>
      </c>
    </row>
    <row r="1041" spans="1:7" x14ac:dyDescent="0.25">
      <c r="A1041" t="s">
        <v>286</v>
      </c>
      <c r="B1041" s="5">
        <v>40104</v>
      </c>
      <c r="C1041" s="5" t="s">
        <v>3308</v>
      </c>
      <c r="D1041" t="s">
        <v>3308</v>
      </c>
      <c r="E1041" t="s">
        <v>1734</v>
      </c>
      <c r="G1041" t="s">
        <v>6159</v>
      </c>
    </row>
    <row r="1042" spans="1:7" x14ac:dyDescent="0.25">
      <c r="A1042" t="s">
        <v>1530</v>
      </c>
      <c r="B1042" s="5">
        <v>36677</v>
      </c>
      <c r="C1042" s="5" t="s">
        <v>6219</v>
      </c>
      <c r="E1042" t="s">
        <v>1735</v>
      </c>
      <c r="G1042" t="s">
        <v>6159</v>
      </c>
    </row>
    <row r="1043" spans="1:7" x14ac:dyDescent="0.25">
      <c r="A1043" t="s">
        <v>1736</v>
      </c>
      <c r="B1043" s="5">
        <v>42528</v>
      </c>
      <c r="C1043" s="5" t="s">
        <v>6220</v>
      </c>
      <c r="E1043" t="s">
        <v>1737</v>
      </c>
      <c r="G1043" t="s">
        <v>6159</v>
      </c>
    </row>
    <row r="1044" spans="1:7" x14ac:dyDescent="0.25">
      <c r="A1044" t="s">
        <v>184</v>
      </c>
      <c r="B1044" s="5">
        <v>35723</v>
      </c>
      <c r="C1044" s="5" t="s">
        <v>6221</v>
      </c>
      <c r="E1044" t="s">
        <v>1754</v>
      </c>
      <c r="G1044" t="s">
        <v>6159</v>
      </c>
    </row>
    <row r="1045" spans="1:7" x14ac:dyDescent="0.25">
      <c r="A1045" t="s">
        <v>1755</v>
      </c>
      <c r="B1045" s="5">
        <v>42506</v>
      </c>
      <c r="C1045" s="5" t="s">
        <v>6222</v>
      </c>
      <c r="E1045" t="s">
        <v>1756</v>
      </c>
      <c r="G1045" t="s">
        <v>6159</v>
      </c>
    </row>
    <row r="1046" spans="1:7" x14ac:dyDescent="0.25">
      <c r="A1046" t="s">
        <v>75</v>
      </c>
      <c r="B1046" s="5">
        <v>39743</v>
      </c>
      <c r="C1046" s="5" t="s">
        <v>3309</v>
      </c>
      <c r="D1046" t="s">
        <v>3309</v>
      </c>
      <c r="E1046" t="s">
        <v>1757</v>
      </c>
      <c r="G1046" t="s">
        <v>6159</v>
      </c>
    </row>
    <row r="1047" spans="1:7" x14ac:dyDescent="0.25">
      <c r="A1047" t="s">
        <v>1698</v>
      </c>
      <c r="B1047" s="5">
        <v>39911</v>
      </c>
      <c r="C1047" s="5" t="s">
        <v>6223</v>
      </c>
      <c r="E1047" t="s">
        <v>1762</v>
      </c>
      <c r="G1047" t="s">
        <v>6159</v>
      </c>
    </row>
    <row r="1048" spans="1:7" x14ac:dyDescent="0.25">
      <c r="A1048" t="s">
        <v>1763</v>
      </c>
      <c r="B1048" s="5">
        <v>35719</v>
      </c>
      <c r="C1048" s="5" t="s">
        <v>6224</v>
      </c>
      <c r="E1048" t="s">
        <v>1764</v>
      </c>
      <c r="G1048" t="s">
        <v>6159</v>
      </c>
    </row>
    <row r="1049" spans="1:7" x14ac:dyDescent="0.25">
      <c r="A1049" t="s">
        <v>1765</v>
      </c>
      <c r="B1049" s="5">
        <v>35695</v>
      </c>
      <c r="C1049" s="5" t="s">
        <v>6225</v>
      </c>
      <c r="E1049" t="s">
        <v>1766</v>
      </c>
      <c r="G1049" t="s">
        <v>6159</v>
      </c>
    </row>
    <row r="1050" spans="1:7" x14ac:dyDescent="0.25">
      <c r="A1050" t="s">
        <v>1768</v>
      </c>
      <c r="B1050" s="5">
        <v>39883</v>
      </c>
      <c r="C1050" s="5" t="s">
        <v>6226</v>
      </c>
      <c r="E1050" t="s">
        <v>1769</v>
      </c>
      <c r="G1050" t="s">
        <v>6159</v>
      </c>
    </row>
    <row r="1051" spans="1:7" x14ac:dyDescent="0.25">
      <c r="A1051" t="s">
        <v>1772</v>
      </c>
      <c r="B1051" s="5">
        <v>40316</v>
      </c>
      <c r="C1051" s="5" t="s">
        <v>3310</v>
      </c>
      <c r="D1051" t="s">
        <v>3310</v>
      </c>
      <c r="E1051" t="s">
        <v>1773</v>
      </c>
      <c r="G1051" t="s">
        <v>6159</v>
      </c>
    </row>
    <row r="1052" spans="1:7" x14ac:dyDescent="0.25">
      <c r="A1052" t="s">
        <v>236</v>
      </c>
      <c r="B1052" s="5">
        <v>40102</v>
      </c>
      <c r="C1052" s="5" t="s">
        <v>3311</v>
      </c>
      <c r="D1052" t="s">
        <v>3311</v>
      </c>
      <c r="E1052" t="s">
        <v>1780</v>
      </c>
      <c r="G1052" t="s">
        <v>6159</v>
      </c>
    </row>
    <row r="1053" spans="1:7" x14ac:dyDescent="0.25">
      <c r="A1053" t="s">
        <v>1571</v>
      </c>
      <c r="B1053" s="5">
        <v>40282</v>
      </c>
      <c r="C1053" s="5" t="s">
        <v>6227</v>
      </c>
      <c r="E1053" t="s">
        <v>1781</v>
      </c>
      <c r="G1053" t="s">
        <v>6159</v>
      </c>
    </row>
    <row r="1054" spans="1:7" x14ac:dyDescent="0.25">
      <c r="A1054" t="s">
        <v>1630</v>
      </c>
      <c r="B1054" s="5">
        <v>39762</v>
      </c>
      <c r="C1054" s="5" t="s">
        <v>3312</v>
      </c>
      <c r="D1054" t="s">
        <v>3312</v>
      </c>
      <c r="E1054" t="s">
        <v>1786</v>
      </c>
      <c r="G1054" t="s">
        <v>6159</v>
      </c>
    </row>
    <row r="1055" spans="1:7" x14ac:dyDescent="0.25">
      <c r="A1055" t="s">
        <v>1789</v>
      </c>
      <c r="B1055" s="5">
        <v>35683</v>
      </c>
      <c r="C1055" s="5" t="s">
        <v>6228</v>
      </c>
      <c r="E1055" t="s">
        <v>1790</v>
      </c>
      <c r="G1055" t="s">
        <v>6159</v>
      </c>
    </row>
    <row r="1056" spans="1:7" x14ac:dyDescent="0.25">
      <c r="A1056" t="s">
        <v>274</v>
      </c>
      <c r="B1056" s="5">
        <v>40660</v>
      </c>
      <c r="C1056" s="5" t="s">
        <v>6229</v>
      </c>
      <c r="E1056" t="s">
        <v>1801</v>
      </c>
      <c r="G1056" t="s">
        <v>6159</v>
      </c>
    </row>
    <row r="1057" spans="1:7" x14ac:dyDescent="0.25">
      <c r="A1057" t="s">
        <v>183</v>
      </c>
      <c r="B1057" s="5">
        <v>36658</v>
      </c>
      <c r="C1057" s="5" t="s">
        <v>6230</v>
      </c>
      <c r="E1057" t="s">
        <v>1805</v>
      </c>
      <c r="G1057" t="s">
        <v>6159</v>
      </c>
    </row>
    <row r="1058" spans="1:7" x14ac:dyDescent="0.25">
      <c r="A1058" t="s">
        <v>42</v>
      </c>
      <c r="B1058" s="5">
        <v>39842</v>
      </c>
      <c r="C1058" s="5" t="s">
        <v>6231</v>
      </c>
      <c r="E1058" t="s">
        <v>1806</v>
      </c>
      <c r="G1058" t="s">
        <v>6159</v>
      </c>
    </row>
    <row r="1059" spans="1:7" x14ac:dyDescent="0.25">
      <c r="A1059" t="s">
        <v>21</v>
      </c>
      <c r="B1059" s="5">
        <v>35949</v>
      </c>
      <c r="C1059" s="5" t="s">
        <v>6232</v>
      </c>
      <c r="E1059" t="s">
        <v>1807</v>
      </c>
      <c r="G1059" t="s">
        <v>6159</v>
      </c>
    </row>
    <row r="1060" spans="1:7" x14ac:dyDescent="0.25">
      <c r="A1060" t="s">
        <v>1811</v>
      </c>
      <c r="B1060" s="5">
        <v>39589</v>
      </c>
      <c r="C1060" s="5" t="s">
        <v>6233</v>
      </c>
      <c r="E1060" t="s">
        <v>1812</v>
      </c>
      <c r="G1060" t="s">
        <v>6159</v>
      </c>
    </row>
    <row r="1061" spans="1:7" x14ac:dyDescent="0.25">
      <c r="A1061" t="s">
        <v>1817</v>
      </c>
      <c r="B1061" s="5">
        <v>37342</v>
      </c>
      <c r="C1061" s="5" t="s">
        <v>6234</v>
      </c>
      <c r="E1061" t="s">
        <v>1818</v>
      </c>
      <c r="G1061" t="s">
        <v>6159</v>
      </c>
    </row>
    <row r="1062" spans="1:7" x14ac:dyDescent="0.25">
      <c r="A1062" t="s">
        <v>1659</v>
      </c>
      <c r="B1062" s="5">
        <v>39911</v>
      </c>
      <c r="C1062" s="5" t="s">
        <v>6235</v>
      </c>
      <c r="E1062" t="s">
        <v>1823</v>
      </c>
      <c r="G1062" t="s">
        <v>6159</v>
      </c>
    </row>
    <row r="1063" spans="1:7" x14ac:dyDescent="0.25">
      <c r="A1063" t="s">
        <v>255</v>
      </c>
      <c r="B1063" s="5">
        <v>35927</v>
      </c>
      <c r="C1063" s="5" t="s">
        <v>6236</v>
      </c>
      <c r="E1063" t="s">
        <v>1826</v>
      </c>
      <c r="G1063" t="s">
        <v>6159</v>
      </c>
    </row>
    <row r="1064" spans="1:7" x14ac:dyDescent="0.25">
      <c r="A1064" t="s">
        <v>1828</v>
      </c>
      <c r="B1064" s="5">
        <v>39974</v>
      </c>
      <c r="C1064" s="5" t="s">
        <v>6237</v>
      </c>
      <c r="E1064" t="s">
        <v>1829</v>
      </c>
      <c r="G1064" t="s">
        <v>6159</v>
      </c>
    </row>
    <row r="1065" spans="1:7" x14ac:dyDescent="0.25">
      <c r="A1065" t="s">
        <v>358</v>
      </c>
      <c r="B1065" s="5">
        <v>39757</v>
      </c>
      <c r="C1065" s="5" t="s">
        <v>3313</v>
      </c>
      <c r="D1065" t="s">
        <v>3313</v>
      </c>
      <c r="E1065" t="s">
        <v>1830</v>
      </c>
      <c r="G1065" t="s">
        <v>6159</v>
      </c>
    </row>
    <row r="1066" spans="1:7" x14ac:dyDescent="0.25">
      <c r="A1066" t="s">
        <v>1817</v>
      </c>
      <c r="B1066" s="5">
        <v>39926</v>
      </c>
      <c r="C1066" s="5" t="s">
        <v>3314</v>
      </c>
      <c r="D1066" t="s">
        <v>3314</v>
      </c>
      <c r="E1066" t="s">
        <v>1841</v>
      </c>
      <c r="G1066" t="s">
        <v>6159</v>
      </c>
    </row>
    <row r="1067" spans="1:7" x14ac:dyDescent="0.25">
      <c r="A1067" t="s">
        <v>1843</v>
      </c>
      <c r="B1067" s="5">
        <v>39562</v>
      </c>
      <c r="C1067" s="5" t="s">
        <v>6238</v>
      </c>
      <c r="E1067" t="s">
        <v>1844</v>
      </c>
      <c r="G1067" t="s">
        <v>6159</v>
      </c>
    </row>
    <row r="1068" spans="1:7" x14ac:dyDescent="0.25">
      <c r="A1068" t="s">
        <v>37</v>
      </c>
      <c r="B1068" s="5">
        <v>39757</v>
      </c>
      <c r="C1068" s="5" t="s">
        <v>3315</v>
      </c>
      <c r="D1068" t="s">
        <v>3315</v>
      </c>
      <c r="E1068" t="s">
        <v>1848</v>
      </c>
      <c r="G1068" t="s">
        <v>6159</v>
      </c>
    </row>
    <row r="1069" spans="1:7" x14ac:dyDescent="0.25">
      <c r="A1069" t="s">
        <v>1852</v>
      </c>
      <c r="B1069" s="5">
        <v>35722</v>
      </c>
      <c r="C1069" s="5" t="s">
        <v>6239</v>
      </c>
      <c r="E1069" t="s">
        <v>1853</v>
      </c>
      <c r="G1069" t="s">
        <v>6159</v>
      </c>
    </row>
    <row r="1070" spans="1:7" x14ac:dyDescent="0.25">
      <c r="A1070" t="s">
        <v>1855</v>
      </c>
      <c r="B1070" s="5">
        <v>39909</v>
      </c>
      <c r="C1070" s="5" t="s">
        <v>6240</v>
      </c>
      <c r="E1070" t="s">
        <v>1856</v>
      </c>
      <c r="G1070" t="s">
        <v>6159</v>
      </c>
    </row>
    <row r="1071" spans="1:7" x14ac:dyDescent="0.25">
      <c r="A1071" t="s">
        <v>359</v>
      </c>
      <c r="B1071" s="5">
        <v>36662</v>
      </c>
      <c r="C1071" s="5" t="s">
        <v>6241</v>
      </c>
      <c r="E1071" t="s">
        <v>1857</v>
      </c>
      <c r="G1071" t="s">
        <v>6159</v>
      </c>
    </row>
    <row r="1072" spans="1:7" x14ac:dyDescent="0.25">
      <c r="A1072" t="s">
        <v>1859</v>
      </c>
      <c r="B1072" s="5">
        <v>35716</v>
      </c>
      <c r="C1072" s="5" t="s">
        <v>6242</v>
      </c>
      <c r="E1072" t="s">
        <v>1860</v>
      </c>
      <c r="G1072" t="s">
        <v>6159</v>
      </c>
    </row>
    <row r="1073" spans="1:7" x14ac:dyDescent="0.25">
      <c r="A1073" t="s">
        <v>49</v>
      </c>
      <c r="B1073" s="5">
        <v>35682</v>
      </c>
      <c r="C1073" s="5" t="s">
        <v>6243</v>
      </c>
      <c r="E1073" t="s">
        <v>1863</v>
      </c>
      <c r="G1073" t="s">
        <v>6159</v>
      </c>
    </row>
    <row r="1074" spans="1:7" x14ac:dyDescent="0.25">
      <c r="A1074" t="s">
        <v>277</v>
      </c>
      <c r="B1074" s="5">
        <v>35727</v>
      </c>
      <c r="C1074" s="5" t="s">
        <v>6244</v>
      </c>
      <c r="E1074" t="s">
        <v>1864</v>
      </c>
      <c r="G1074" t="s">
        <v>6159</v>
      </c>
    </row>
    <row r="1075" spans="1:7" x14ac:dyDescent="0.25">
      <c r="A1075" t="s">
        <v>1867</v>
      </c>
      <c r="B1075" s="5">
        <v>38112</v>
      </c>
      <c r="C1075" s="5" t="s">
        <v>6245</v>
      </c>
      <c r="E1075" t="s">
        <v>1868</v>
      </c>
      <c r="G1075" t="s">
        <v>6159</v>
      </c>
    </row>
    <row r="1076" spans="1:7" x14ac:dyDescent="0.25">
      <c r="A1076" t="s">
        <v>1875</v>
      </c>
      <c r="B1076" s="5">
        <v>35390</v>
      </c>
      <c r="C1076" s="5" t="s">
        <v>6246</v>
      </c>
      <c r="E1076" t="s">
        <v>1876</v>
      </c>
      <c r="G1076" t="s">
        <v>6159</v>
      </c>
    </row>
    <row r="1077" spans="1:7" x14ac:dyDescent="0.25">
      <c r="A1077" t="s">
        <v>106</v>
      </c>
      <c r="B1077" s="5">
        <v>40351</v>
      </c>
      <c r="C1077" s="5" t="s">
        <v>3316</v>
      </c>
      <c r="D1077" t="s">
        <v>3316</v>
      </c>
      <c r="E1077" t="s">
        <v>1881</v>
      </c>
      <c r="G1077" t="s">
        <v>6159</v>
      </c>
    </row>
    <row r="1078" spans="1:7" x14ac:dyDescent="0.25">
      <c r="A1078" t="s">
        <v>292</v>
      </c>
      <c r="B1078" s="5">
        <v>36629</v>
      </c>
      <c r="C1078" s="5" t="s">
        <v>6247</v>
      </c>
      <c r="E1078" t="s">
        <v>1890</v>
      </c>
      <c r="G1078" t="s">
        <v>6159</v>
      </c>
    </row>
    <row r="1079" spans="1:7" x14ac:dyDescent="0.25">
      <c r="A1079" t="s">
        <v>1894</v>
      </c>
      <c r="B1079" s="5">
        <v>42507</v>
      </c>
      <c r="C1079" s="5" t="s">
        <v>6248</v>
      </c>
      <c r="E1079" t="s">
        <v>1895</v>
      </c>
      <c r="G1079" t="s">
        <v>6159</v>
      </c>
    </row>
    <row r="1080" spans="1:7" x14ac:dyDescent="0.25">
      <c r="A1080" t="s">
        <v>221</v>
      </c>
      <c r="B1080" s="5">
        <v>39771</v>
      </c>
      <c r="C1080" s="5" t="s">
        <v>3317</v>
      </c>
      <c r="D1080" t="s">
        <v>3317</v>
      </c>
      <c r="E1080" t="s">
        <v>1901</v>
      </c>
      <c r="G1080" t="s">
        <v>6159</v>
      </c>
    </row>
    <row r="1081" spans="1:7" x14ac:dyDescent="0.25">
      <c r="A1081" t="s">
        <v>1910</v>
      </c>
      <c r="B1081" s="5">
        <v>39881</v>
      </c>
      <c r="C1081" s="5" t="s">
        <v>6249</v>
      </c>
      <c r="E1081" t="s">
        <v>1911</v>
      </c>
      <c r="G1081" t="s">
        <v>6159</v>
      </c>
    </row>
    <row r="1082" spans="1:7" x14ac:dyDescent="0.25">
      <c r="A1082" t="s">
        <v>362</v>
      </c>
      <c r="B1082" s="5">
        <v>39799</v>
      </c>
      <c r="C1082" s="5" t="s">
        <v>3318</v>
      </c>
      <c r="D1082" t="s">
        <v>3318</v>
      </c>
      <c r="E1082" t="s">
        <v>1916</v>
      </c>
      <c r="G1082" t="s">
        <v>6159</v>
      </c>
    </row>
    <row r="1083" spans="1:7" x14ac:dyDescent="0.25">
      <c r="A1083" t="s">
        <v>261</v>
      </c>
      <c r="B1083" s="5">
        <v>39758</v>
      </c>
      <c r="C1083" s="5" t="s">
        <v>3319</v>
      </c>
      <c r="D1083" t="s">
        <v>3319</v>
      </c>
      <c r="E1083" t="s">
        <v>1919</v>
      </c>
      <c r="G1083" t="s">
        <v>6159</v>
      </c>
    </row>
    <row r="1084" spans="1:7" x14ac:dyDescent="0.25">
      <c r="A1084" t="s">
        <v>1924</v>
      </c>
      <c r="B1084" s="5">
        <v>39896</v>
      </c>
      <c r="C1084" s="5" t="s">
        <v>6250</v>
      </c>
      <c r="E1084" t="s">
        <v>1925</v>
      </c>
      <c r="G1084" t="s">
        <v>6159</v>
      </c>
    </row>
    <row r="1085" spans="1:7" x14ac:dyDescent="0.25">
      <c r="A1085" t="s">
        <v>321</v>
      </c>
      <c r="B1085" s="5">
        <v>35901</v>
      </c>
      <c r="C1085" s="5" t="s">
        <v>6251</v>
      </c>
      <c r="E1085" t="s">
        <v>1926</v>
      </c>
      <c r="G1085" t="s">
        <v>6159</v>
      </c>
    </row>
    <row r="1086" spans="1:7" x14ac:dyDescent="0.25">
      <c r="A1086" t="s">
        <v>1927</v>
      </c>
      <c r="B1086" s="5">
        <v>39568</v>
      </c>
      <c r="C1086" s="5" t="s">
        <v>6252</v>
      </c>
      <c r="E1086" t="s">
        <v>1928</v>
      </c>
      <c r="G1086" t="s">
        <v>6159</v>
      </c>
    </row>
    <row r="1087" spans="1:7" x14ac:dyDescent="0.25">
      <c r="A1087" t="s">
        <v>165</v>
      </c>
      <c r="B1087" s="5">
        <v>39743</v>
      </c>
      <c r="C1087" s="5" t="s">
        <v>3320</v>
      </c>
      <c r="D1087" t="s">
        <v>3320</v>
      </c>
      <c r="E1087" t="s">
        <v>1931</v>
      </c>
      <c r="G1087" t="s">
        <v>6159</v>
      </c>
    </row>
    <row r="1088" spans="1:7" x14ac:dyDescent="0.25">
      <c r="A1088" t="s">
        <v>1910</v>
      </c>
      <c r="B1088" s="5">
        <v>40273</v>
      </c>
      <c r="C1088" s="5" t="s">
        <v>6253</v>
      </c>
      <c r="E1088" t="s">
        <v>1934</v>
      </c>
      <c r="G1088" t="s">
        <v>6159</v>
      </c>
    </row>
    <row r="1089" spans="1:7" x14ac:dyDescent="0.25">
      <c r="A1089" t="s">
        <v>1509</v>
      </c>
      <c r="B1089" s="5">
        <v>40102</v>
      </c>
      <c r="C1089" s="5" t="s">
        <v>3321</v>
      </c>
      <c r="D1089" t="s">
        <v>3321</v>
      </c>
      <c r="E1089" t="s">
        <v>1935</v>
      </c>
      <c r="G1089" t="s">
        <v>6159</v>
      </c>
    </row>
    <row r="1090" spans="1:7" x14ac:dyDescent="0.25">
      <c r="A1090" t="s">
        <v>184</v>
      </c>
      <c r="B1090" s="5">
        <v>40106</v>
      </c>
      <c r="C1090" s="5" t="s">
        <v>3322</v>
      </c>
      <c r="D1090" t="s">
        <v>3322</v>
      </c>
      <c r="E1090" t="s">
        <v>1940</v>
      </c>
      <c r="G1090" t="s">
        <v>6159</v>
      </c>
    </row>
    <row r="1091" spans="1:7" x14ac:dyDescent="0.25">
      <c r="A1091" t="s">
        <v>1711</v>
      </c>
      <c r="B1091" s="5">
        <v>39560</v>
      </c>
      <c r="C1091" s="5" t="s">
        <v>6254</v>
      </c>
      <c r="E1091" t="s">
        <v>1941</v>
      </c>
      <c r="G1091" t="s">
        <v>6159</v>
      </c>
    </row>
    <row r="1092" spans="1:7" x14ac:dyDescent="0.25">
      <c r="A1092" t="s">
        <v>357</v>
      </c>
      <c r="B1092" s="5">
        <v>36654</v>
      </c>
      <c r="C1092" s="5" t="s">
        <v>6255</v>
      </c>
      <c r="E1092" t="s">
        <v>1946</v>
      </c>
      <c r="G1092" t="s">
        <v>6159</v>
      </c>
    </row>
    <row r="1093" spans="1:7" x14ac:dyDescent="0.25">
      <c r="A1093" t="s">
        <v>1951</v>
      </c>
      <c r="B1093" s="5">
        <v>37398</v>
      </c>
      <c r="C1093" s="5" t="s">
        <v>6256</v>
      </c>
      <c r="E1093" t="s">
        <v>1952</v>
      </c>
      <c r="G1093" t="s">
        <v>6159</v>
      </c>
    </row>
    <row r="1094" spans="1:7" x14ac:dyDescent="0.25">
      <c r="A1094" t="s">
        <v>263</v>
      </c>
      <c r="B1094" s="5">
        <v>35389</v>
      </c>
      <c r="C1094" s="5" t="s">
        <v>6257</v>
      </c>
      <c r="E1094" t="s">
        <v>1954</v>
      </c>
      <c r="G1094" t="s">
        <v>6159</v>
      </c>
    </row>
    <row r="1095" spans="1:7" x14ac:dyDescent="0.25">
      <c r="A1095" t="s">
        <v>1768</v>
      </c>
      <c r="B1095" s="5">
        <v>40273</v>
      </c>
      <c r="C1095" s="5" t="s">
        <v>6258</v>
      </c>
      <c r="E1095" t="s">
        <v>1956</v>
      </c>
      <c r="G1095" t="s">
        <v>6159</v>
      </c>
    </row>
    <row r="1096" spans="1:7" x14ac:dyDescent="0.25">
      <c r="A1096" t="s">
        <v>1411</v>
      </c>
      <c r="B1096" s="5">
        <v>40282</v>
      </c>
      <c r="C1096" s="5" t="s">
        <v>6259</v>
      </c>
      <c r="E1096" t="s">
        <v>1957</v>
      </c>
      <c r="G1096" t="s">
        <v>6159</v>
      </c>
    </row>
    <row r="1097" spans="1:7" x14ac:dyDescent="0.25">
      <c r="A1097" t="s">
        <v>60</v>
      </c>
      <c r="B1097" s="5">
        <v>39741</v>
      </c>
      <c r="C1097" s="5" t="s">
        <v>6260</v>
      </c>
      <c r="E1097" t="s">
        <v>1959</v>
      </c>
      <c r="G1097" t="s">
        <v>6159</v>
      </c>
    </row>
    <row r="1098" spans="1:7" x14ac:dyDescent="0.25">
      <c r="A1098" t="s">
        <v>230</v>
      </c>
      <c r="B1098" s="5">
        <v>39758</v>
      </c>
      <c r="C1098" s="5" t="s">
        <v>3323</v>
      </c>
      <c r="D1098" t="s">
        <v>3323</v>
      </c>
      <c r="E1098" t="s">
        <v>1960</v>
      </c>
      <c r="G1098" t="s">
        <v>6159</v>
      </c>
    </row>
    <row r="1099" spans="1:7" x14ac:dyDescent="0.25">
      <c r="A1099" t="s">
        <v>1618</v>
      </c>
      <c r="B1099" s="5">
        <v>39911</v>
      </c>
      <c r="C1099" s="5" t="s">
        <v>6261</v>
      </c>
      <c r="E1099" t="s">
        <v>1961</v>
      </c>
      <c r="G1099" t="s">
        <v>6159</v>
      </c>
    </row>
    <row r="1100" spans="1:7" x14ac:dyDescent="0.25">
      <c r="A1100" t="s">
        <v>221</v>
      </c>
      <c r="B1100" s="5">
        <v>39559</v>
      </c>
      <c r="C1100" s="5" t="s">
        <v>6262</v>
      </c>
      <c r="E1100" t="s">
        <v>1962</v>
      </c>
      <c r="G1100" t="s">
        <v>6159</v>
      </c>
    </row>
    <row r="1101" spans="1:7" x14ac:dyDescent="0.25">
      <c r="A1101" t="s">
        <v>246</v>
      </c>
      <c r="B1101" s="5">
        <v>40103</v>
      </c>
      <c r="C1101" s="5" t="s">
        <v>3324</v>
      </c>
      <c r="D1101" t="s">
        <v>3324</v>
      </c>
      <c r="E1101" t="s">
        <v>1963</v>
      </c>
      <c r="G1101" t="s">
        <v>6159</v>
      </c>
    </row>
    <row r="1102" spans="1:7" x14ac:dyDescent="0.25">
      <c r="A1102" t="s">
        <v>1967</v>
      </c>
      <c r="B1102" s="5">
        <v>39209</v>
      </c>
      <c r="C1102" s="5" t="s">
        <v>3325</v>
      </c>
      <c r="D1102" t="s">
        <v>3325</v>
      </c>
      <c r="E1102" t="s">
        <v>1968</v>
      </c>
      <c r="G1102" t="s">
        <v>6159</v>
      </c>
    </row>
    <row r="1103" spans="1:7" x14ac:dyDescent="0.25">
      <c r="A1103" t="s">
        <v>52</v>
      </c>
      <c r="B1103" s="5">
        <v>39763</v>
      </c>
      <c r="C1103" s="5" t="s">
        <v>3326</v>
      </c>
      <c r="D1103" t="s">
        <v>3326</v>
      </c>
      <c r="E1103" t="s">
        <v>1970</v>
      </c>
      <c r="G1103" t="s">
        <v>6159</v>
      </c>
    </row>
    <row r="1104" spans="1:7" x14ac:dyDescent="0.25">
      <c r="A1104" t="s">
        <v>1530</v>
      </c>
      <c r="B1104" s="5">
        <v>37404</v>
      </c>
      <c r="C1104" s="5" t="s">
        <v>6263</v>
      </c>
      <c r="E1104" t="s">
        <v>1977</v>
      </c>
      <c r="G1104" t="s">
        <v>6159</v>
      </c>
    </row>
    <row r="1105" spans="1:7" x14ac:dyDescent="0.25">
      <c r="A1105" t="s">
        <v>1573</v>
      </c>
      <c r="B1105" s="5">
        <v>38915</v>
      </c>
      <c r="C1105" s="5" t="s">
        <v>6264</v>
      </c>
      <c r="E1105" t="s">
        <v>1990</v>
      </c>
      <c r="G1105" t="s">
        <v>6159</v>
      </c>
    </row>
    <row r="1106" spans="1:7" x14ac:dyDescent="0.25">
      <c r="A1106" t="s">
        <v>81</v>
      </c>
      <c r="B1106" s="5">
        <v>39799</v>
      </c>
      <c r="C1106" s="5" t="s">
        <v>3327</v>
      </c>
      <c r="D1106" t="s">
        <v>3327</v>
      </c>
      <c r="E1106" t="s">
        <v>1995</v>
      </c>
      <c r="G1106" t="s">
        <v>6159</v>
      </c>
    </row>
    <row r="1107" spans="1:7" x14ac:dyDescent="0.25">
      <c r="A1107" t="s">
        <v>79</v>
      </c>
      <c r="B1107" s="5">
        <v>39980</v>
      </c>
      <c r="C1107" s="5" t="s">
        <v>3328</v>
      </c>
      <c r="D1107" t="s">
        <v>3328</v>
      </c>
      <c r="E1107" t="s">
        <v>1999</v>
      </c>
      <c r="G1107" t="s">
        <v>6159</v>
      </c>
    </row>
    <row r="1108" spans="1:7" x14ac:dyDescent="0.25">
      <c r="A1108" t="s">
        <v>271</v>
      </c>
      <c r="B1108" s="5">
        <v>35696</v>
      </c>
      <c r="C1108" s="5" t="s">
        <v>6265</v>
      </c>
      <c r="E1108" t="s">
        <v>2004</v>
      </c>
      <c r="G1108" t="s">
        <v>6159</v>
      </c>
    </row>
    <row r="1109" spans="1:7" x14ac:dyDescent="0.25">
      <c r="A1109" t="s">
        <v>247</v>
      </c>
      <c r="B1109" s="5">
        <v>40317</v>
      </c>
      <c r="C1109" s="5" t="s">
        <v>3329</v>
      </c>
      <c r="D1109" t="s">
        <v>3329</v>
      </c>
      <c r="E1109" t="s">
        <v>2006</v>
      </c>
      <c r="G1109" t="s">
        <v>6159</v>
      </c>
    </row>
    <row r="1110" spans="1:7" x14ac:dyDescent="0.25">
      <c r="A1110" t="s">
        <v>43</v>
      </c>
      <c r="B1110" s="5">
        <v>39742</v>
      </c>
      <c r="C1110" s="5" t="s">
        <v>6266</v>
      </c>
      <c r="E1110" t="s">
        <v>2008</v>
      </c>
      <c r="G1110" t="s">
        <v>6159</v>
      </c>
    </row>
    <row r="1111" spans="1:7" x14ac:dyDescent="0.25">
      <c r="A1111" t="s">
        <v>231</v>
      </c>
      <c r="B1111" s="5">
        <v>39797</v>
      </c>
      <c r="C1111" s="5" t="s">
        <v>3330</v>
      </c>
      <c r="D1111" t="s">
        <v>3330</v>
      </c>
      <c r="E1111" t="s">
        <v>2010</v>
      </c>
      <c r="G1111" t="s">
        <v>6159</v>
      </c>
    </row>
    <row r="1112" spans="1:7" x14ac:dyDescent="0.25">
      <c r="A1112" t="s">
        <v>376</v>
      </c>
      <c r="B1112" s="5">
        <v>38190</v>
      </c>
      <c r="C1112" s="5" t="s">
        <v>6267</v>
      </c>
      <c r="E1112" t="s">
        <v>2014</v>
      </c>
      <c r="G1112" t="s">
        <v>6159</v>
      </c>
    </row>
    <row r="1113" spans="1:7" x14ac:dyDescent="0.25">
      <c r="A1113" t="s">
        <v>2015</v>
      </c>
      <c r="B1113" s="5">
        <v>37383</v>
      </c>
      <c r="C1113" s="5" t="s">
        <v>6268</v>
      </c>
      <c r="E1113" t="s">
        <v>2016</v>
      </c>
      <c r="G1113" t="s">
        <v>6159</v>
      </c>
    </row>
    <row r="1114" spans="1:7" x14ac:dyDescent="0.25">
      <c r="A1114" t="s">
        <v>160</v>
      </c>
      <c r="B1114" s="5">
        <v>40106</v>
      </c>
      <c r="C1114" s="5" t="s">
        <v>3331</v>
      </c>
      <c r="D1114" t="s">
        <v>3331</v>
      </c>
      <c r="E1114" t="s">
        <v>2017</v>
      </c>
      <c r="G1114" t="s">
        <v>6159</v>
      </c>
    </row>
    <row r="1115" spans="1:7" x14ac:dyDescent="0.25">
      <c r="A1115" t="s">
        <v>278</v>
      </c>
      <c r="B1115" s="5">
        <v>40289</v>
      </c>
      <c r="C1115" s="5" t="s">
        <v>3332</v>
      </c>
      <c r="D1115" t="s">
        <v>3332</v>
      </c>
      <c r="E1115" t="s">
        <v>2018</v>
      </c>
      <c r="G1115" t="s">
        <v>6159</v>
      </c>
    </row>
    <row r="1116" spans="1:7" x14ac:dyDescent="0.25">
      <c r="A1116" t="s">
        <v>2027</v>
      </c>
      <c r="B1116" s="5">
        <v>42480</v>
      </c>
      <c r="C1116" s="5" t="s">
        <v>6269</v>
      </c>
      <c r="E1116" t="s">
        <v>2028</v>
      </c>
      <c r="G1116" t="s">
        <v>6159</v>
      </c>
    </row>
    <row r="1117" spans="1:7" x14ac:dyDescent="0.25">
      <c r="A1117" t="s">
        <v>139</v>
      </c>
      <c r="B1117" s="5">
        <v>40304</v>
      </c>
      <c r="C1117" s="5" t="s">
        <v>3333</v>
      </c>
      <c r="D1117" t="s">
        <v>3333</v>
      </c>
      <c r="E1117" t="s">
        <v>2029</v>
      </c>
      <c r="G1117" t="s">
        <v>6159</v>
      </c>
    </row>
    <row r="1118" spans="1:7" x14ac:dyDescent="0.25">
      <c r="A1118" t="s">
        <v>2042</v>
      </c>
      <c r="B1118" s="5">
        <v>42143</v>
      </c>
      <c r="C1118" s="5" t="s">
        <v>3334</v>
      </c>
      <c r="D1118" t="s">
        <v>3334</v>
      </c>
      <c r="E1118" t="s">
        <v>2043</v>
      </c>
      <c r="G1118" t="s">
        <v>6159</v>
      </c>
    </row>
    <row r="1119" spans="1:7" x14ac:dyDescent="0.25">
      <c r="A1119" t="s">
        <v>1675</v>
      </c>
      <c r="B1119" s="5">
        <v>39882</v>
      </c>
      <c r="C1119" s="5" t="s">
        <v>6270</v>
      </c>
      <c r="E1119" t="s">
        <v>2047</v>
      </c>
      <c r="G1119" t="s">
        <v>6159</v>
      </c>
    </row>
    <row r="1120" spans="1:7" x14ac:dyDescent="0.25">
      <c r="A1120" t="s">
        <v>281</v>
      </c>
      <c r="B1120" s="5">
        <v>40104</v>
      </c>
      <c r="C1120" s="5" t="s">
        <v>3335</v>
      </c>
      <c r="D1120" t="s">
        <v>3335</v>
      </c>
      <c r="E1120" t="s">
        <v>2048</v>
      </c>
      <c r="G1120" t="s">
        <v>6159</v>
      </c>
    </row>
    <row r="1121" spans="1:7" x14ac:dyDescent="0.25">
      <c r="A1121" t="s">
        <v>342</v>
      </c>
      <c r="B1121" s="5">
        <v>35388</v>
      </c>
      <c r="C1121" s="5" t="s">
        <v>6271</v>
      </c>
      <c r="E1121" t="s">
        <v>2049</v>
      </c>
      <c r="G1121" t="s">
        <v>6159</v>
      </c>
    </row>
    <row r="1122" spans="1:7" x14ac:dyDescent="0.25">
      <c r="A1122" t="s">
        <v>2056</v>
      </c>
      <c r="B1122" s="5">
        <v>36998</v>
      </c>
      <c r="C1122" s="5" t="s">
        <v>6272</v>
      </c>
      <c r="E1122" t="s">
        <v>2057</v>
      </c>
      <c r="G1122" t="s">
        <v>6159</v>
      </c>
    </row>
    <row r="1123" spans="1:7" x14ac:dyDescent="0.25">
      <c r="A1123" t="s">
        <v>1711</v>
      </c>
      <c r="B1123" s="5">
        <v>40281</v>
      </c>
      <c r="C1123" s="5" t="s">
        <v>6273</v>
      </c>
      <c r="E1123" t="s">
        <v>2060</v>
      </c>
      <c r="G1123" t="s">
        <v>6159</v>
      </c>
    </row>
    <row r="1124" spans="1:7" x14ac:dyDescent="0.25">
      <c r="A1124" t="s">
        <v>211</v>
      </c>
      <c r="B1124" s="5">
        <v>39741</v>
      </c>
      <c r="C1124" s="5" t="s">
        <v>3336</v>
      </c>
      <c r="D1124" t="s">
        <v>3336</v>
      </c>
      <c r="E1124" t="s">
        <v>2067</v>
      </c>
      <c r="G1124" t="s">
        <v>6159</v>
      </c>
    </row>
    <row r="1125" spans="1:7" x14ac:dyDescent="0.25">
      <c r="A1125" t="s">
        <v>2068</v>
      </c>
      <c r="B1125" s="5">
        <v>37004</v>
      </c>
      <c r="C1125" s="5" t="s">
        <v>6274</v>
      </c>
      <c r="E1125" t="s">
        <v>2069</v>
      </c>
      <c r="G1125" t="s">
        <v>6159</v>
      </c>
    </row>
    <row r="1126" spans="1:7" x14ac:dyDescent="0.25">
      <c r="A1126" t="s">
        <v>151</v>
      </c>
      <c r="B1126" s="5">
        <v>39742</v>
      </c>
      <c r="C1126" s="5" t="s">
        <v>3337</v>
      </c>
      <c r="D1126" t="s">
        <v>3337</v>
      </c>
      <c r="E1126" t="s">
        <v>2075</v>
      </c>
      <c r="G1126" t="s">
        <v>6159</v>
      </c>
    </row>
    <row r="1127" spans="1:7" x14ac:dyDescent="0.25">
      <c r="A1127" t="s">
        <v>141</v>
      </c>
      <c r="B1127" s="5">
        <v>39744</v>
      </c>
      <c r="C1127" s="5" t="s">
        <v>6275</v>
      </c>
      <c r="E1127" t="s">
        <v>2078</v>
      </c>
      <c r="G1127" t="s">
        <v>6159</v>
      </c>
    </row>
    <row r="1128" spans="1:7" x14ac:dyDescent="0.25">
      <c r="A1128" t="s">
        <v>2079</v>
      </c>
      <c r="B1128" s="5">
        <v>37014</v>
      </c>
      <c r="C1128" s="5" t="s">
        <v>6276</v>
      </c>
      <c r="E1128" t="s">
        <v>2080</v>
      </c>
      <c r="G1128" t="s">
        <v>6159</v>
      </c>
    </row>
    <row r="1129" spans="1:7" x14ac:dyDescent="0.25">
      <c r="A1129" t="s">
        <v>205</v>
      </c>
      <c r="B1129" s="5">
        <v>40105</v>
      </c>
      <c r="C1129" s="5" t="s">
        <v>3338</v>
      </c>
      <c r="D1129" t="s">
        <v>3338</v>
      </c>
      <c r="E1129" t="s">
        <v>2086</v>
      </c>
      <c r="G1129" t="s">
        <v>6159</v>
      </c>
    </row>
    <row r="1130" spans="1:7" x14ac:dyDescent="0.25">
      <c r="A1130" t="s">
        <v>1398</v>
      </c>
      <c r="B1130" s="5">
        <v>40108</v>
      </c>
      <c r="C1130" s="5" t="s">
        <v>3339</v>
      </c>
      <c r="D1130" t="s">
        <v>3339</v>
      </c>
      <c r="E1130" t="s">
        <v>2090</v>
      </c>
      <c r="G1130" t="s">
        <v>6159</v>
      </c>
    </row>
    <row r="1131" spans="1:7" x14ac:dyDescent="0.25">
      <c r="A1131" t="s">
        <v>111</v>
      </c>
      <c r="B1131" s="5">
        <v>39196</v>
      </c>
      <c r="C1131" s="5" t="s">
        <v>3340</v>
      </c>
      <c r="D1131" t="s">
        <v>3340</v>
      </c>
      <c r="E1131" t="s">
        <v>2094</v>
      </c>
      <c r="G1131" t="s">
        <v>6159</v>
      </c>
    </row>
    <row r="1132" spans="1:7" x14ac:dyDescent="0.25">
      <c r="A1132" t="s">
        <v>2095</v>
      </c>
      <c r="B1132" s="5">
        <v>39617</v>
      </c>
      <c r="C1132" s="5" t="s">
        <v>3341</v>
      </c>
      <c r="D1132" t="s">
        <v>3341</v>
      </c>
      <c r="E1132" t="s">
        <v>2096</v>
      </c>
      <c r="G1132" t="s">
        <v>6159</v>
      </c>
    </row>
    <row r="1133" spans="1:7" x14ac:dyDescent="0.25">
      <c r="A1133" t="s">
        <v>124</v>
      </c>
      <c r="B1133" s="5">
        <v>39742</v>
      </c>
      <c r="C1133" s="5" t="s">
        <v>3342</v>
      </c>
      <c r="D1133" t="s">
        <v>3342</v>
      </c>
      <c r="E1133" t="s">
        <v>2097</v>
      </c>
      <c r="G1133" t="s">
        <v>6159</v>
      </c>
    </row>
    <row r="1134" spans="1:7" x14ac:dyDescent="0.25">
      <c r="A1134" t="s">
        <v>1398</v>
      </c>
      <c r="B1134" s="5">
        <v>35724</v>
      </c>
      <c r="C1134" s="5" t="s">
        <v>6277</v>
      </c>
      <c r="E1134" t="s">
        <v>2098</v>
      </c>
      <c r="G1134" t="s">
        <v>6159</v>
      </c>
    </row>
    <row r="1135" spans="1:7" x14ac:dyDescent="0.25">
      <c r="A1135" t="s">
        <v>172</v>
      </c>
      <c r="B1135" s="5">
        <v>39757</v>
      </c>
      <c r="C1135" s="5" t="s">
        <v>3343</v>
      </c>
      <c r="D1135" t="s">
        <v>3343</v>
      </c>
      <c r="E1135" t="s">
        <v>2099</v>
      </c>
      <c r="G1135" t="s">
        <v>6159</v>
      </c>
    </row>
    <row r="1136" spans="1:7" x14ac:dyDescent="0.25">
      <c r="A1136" t="s">
        <v>140</v>
      </c>
      <c r="B1136" s="5">
        <v>39770</v>
      </c>
      <c r="C1136" s="5" t="s">
        <v>3344</v>
      </c>
      <c r="D1136" t="s">
        <v>3344</v>
      </c>
      <c r="E1136" t="s">
        <v>2100</v>
      </c>
      <c r="G1136" t="s">
        <v>6159</v>
      </c>
    </row>
    <row r="1137" spans="1:7" x14ac:dyDescent="0.25">
      <c r="A1137" t="s">
        <v>1855</v>
      </c>
      <c r="B1137" s="5">
        <v>40281</v>
      </c>
      <c r="C1137" s="5" t="s">
        <v>6278</v>
      </c>
      <c r="E1137" t="s">
        <v>2107</v>
      </c>
      <c r="G1137" t="s">
        <v>6159</v>
      </c>
    </row>
    <row r="1138" spans="1:7" x14ac:dyDescent="0.25">
      <c r="A1138" t="s">
        <v>2108</v>
      </c>
      <c r="B1138" s="5">
        <v>42157</v>
      </c>
      <c r="C1138" s="5" t="s">
        <v>3345</v>
      </c>
      <c r="D1138" t="s">
        <v>3345</v>
      </c>
      <c r="E1138" t="s">
        <v>2109</v>
      </c>
      <c r="G1138" t="s">
        <v>6159</v>
      </c>
    </row>
    <row r="1139" spans="1:7" x14ac:dyDescent="0.25">
      <c r="A1139" t="s">
        <v>2113</v>
      </c>
      <c r="B1139" s="5">
        <v>37404</v>
      </c>
      <c r="C1139" s="5" t="s">
        <v>6279</v>
      </c>
      <c r="E1139" t="s">
        <v>2114</v>
      </c>
      <c r="G1139" t="s">
        <v>6159</v>
      </c>
    </row>
    <row r="1140" spans="1:7" x14ac:dyDescent="0.25">
      <c r="A1140" t="s">
        <v>2115</v>
      </c>
      <c r="B1140" s="5">
        <v>36669</v>
      </c>
      <c r="C1140" s="5" t="s">
        <v>6280</v>
      </c>
      <c r="E1140" t="s">
        <v>2116</v>
      </c>
      <c r="G1140" t="s">
        <v>6159</v>
      </c>
    </row>
    <row r="1141" spans="1:7" x14ac:dyDescent="0.25">
      <c r="A1141" t="s">
        <v>1571</v>
      </c>
      <c r="B1141" s="5">
        <v>39910</v>
      </c>
      <c r="C1141" s="5" t="s">
        <v>6281</v>
      </c>
      <c r="E1141" t="s">
        <v>2119</v>
      </c>
      <c r="G1141" t="s">
        <v>6159</v>
      </c>
    </row>
    <row r="1142" spans="1:7" x14ac:dyDescent="0.25">
      <c r="A1142" t="s">
        <v>1458</v>
      </c>
      <c r="B1142" s="5">
        <v>40274</v>
      </c>
      <c r="C1142" s="5" t="s">
        <v>6282</v>
      </c>
      <c r="E1142" t="s">
        <v>2122</v>
      </c>
      <c r="G1142" t="s">
        <v>6159</v>
      </c>
    </row>
    <row r="1143" spans="1:7" x14ac:dyDescent="0.25">
      <c r="A1143" t="s">
        <v>1855</v>
      </c>
      <c r="B1143" s="5">
        <v>39559</v>
      </c>
      <c r="C1143" s="5" t="s">
        <v>6283</v>
      </c>
      <c r="E1143" t="s">
        <v>2125</v>
      </c>
      <c r="G1143" t="s">
        <v>6159</v>
      </c>
    </row>
    <row r="1144" spans="1:7" x14ac:dyDescent="0.25">
      <c r="A1144" t="s">
        <v>2128</v>
      </c>
      <c r="B1144" s="5">
        <v>38461</v>
      </c>
      <c r="C1144" s="5" t="s">
        <v>6284</v>
      </c>
      <c r="E1144" t="s">
        <v>2129</v>
      </c>
      <c r="G1144" t="s">
        <v>6159</v>
      </c>
    </row>
    <row r="1145" spans="1:7" x14ac:dyDescent="0.25">
      <c r="A1145" t="s">
        <v>275</v>
      </c>
      <c r="B1145" s="5">
        <v>39742</v>
      </c>
      <c r="C1145" s="5" t="s">
        <v>3346</v>
      </c>
      <c r="D1145" t="s">
        <v>3346</v>
      </c>
      <c r="E1145" t="s">
        <v>2131</v>
      </c>
      <c r="G1145" t="s">
        <v>6159</v>
      </c>
    </row>
    <row r="1146" spans="1:7" x14ac:dyDescent="0.25">
      <c r="A1146" t="s">
        <v>369</v>
      </c>
      <c r="B1146" s="5">
        <v>42102</v>
      </c>
      <c r="C1146" s="5" t="s">
        <v>3347</v>
      </c>
      <c r="D1146" t="s">
        <v>3347</v>
      </c>
      <c r="E1146" t="s">
        <v>2134</v>
      </c>
      <c r="G1146" t="s">
        <v>6159</v>
      </c>
    </row>
    <row r="1147" spans="1:7" x14ac:dyDescent="0.25">
      <c r="A1147" t="s">
        <v>2136</v>
      </c>
      <c r="B1147" s="5">
        <v>42473</v>
      </c>
      <c r="C1147" s="5" t="s">
        <v>6285</v>
      </c>
      <c r="E1147" t="s">
        <v>2137</v>
      </c>
      <c r="G1147" t="s">
        <v>6159</v>
      </c>
    </row>
    <row r="1148" spans="1:7" x14ac:dyDescent="0.25">
      <c r="A1148" t="s">
        <v>1817</v>
      </c>
      <c r="B1148" s="5">
        <v>39771</v>
      </c>
      <c r="C1148" s="5" t="s">
        <v>6286</v>
      </c>
      <c r="E1148" t="s">
        <v>2142</v>
      </c>
      <c r="G1148" t="s">
        <v>6159</v>
      </c>
    </row>
    <row r="1149" spans="1:7" x14ac:dyDescent="0.25">
      <c r="A1149" t="s">
        <v>2146</v>
      </c>
      <c r="B1149" s="5">
        <v>37000</v>
      </c>
      <c r="C1149" s="5" t="s">
        <v>6287</v>
      </c>
      <c r="E1149" t="s">
        <v>2147</v>
      </c>
      <c r="G1149" t="s">
        <v>6159</v>
      </c>
    </row>
    <row r="1150" spans="1:7" x14ac:dyDescent="0.25">
      <c r="A1150" t="s">
        <v>17</v>
      </c>
      <c r="B1150" s="5">
        <v>40686</v>
      </c>
      <c r="C1150" s="5" t="s">
        <v>3348</v>
      </c>
      <c r="D1150" t="s">
        <v>3348</v>
      </c>
      <c r="E1150" t="s">
        <v>2148</v>
      </c>
      <c r="G1150" t="s">
        <v>6159</v>
      </c>
    </row>
    <row r="1151" spans="1:7" x14ac:dyDescent="0.25">
      <c r="A1151" t="s">
        <v>1573</v>
      </c>
      <c r="B1151" s="5">
        <v>40111</v>
      </c>
      <c r="C1151" s="5" t="s">
        <v>3349</v>
      </c>
      <c r="D1151" t="s">
        <v>3349</v>
      </c>
      <c r="E1151" t="s">
        <v>2149</v>
      </c>
      <c r="G1151" t="s">
        <v>6159</v>
      </c>
    </row>
    <row r="1152" spans="1:7" x14ac:dyDescent="0.25">
      <c r="A1152" t="s">
        <v>193</v>
      </c>
      <c r="B1152" s="5">
        <v>39756</v>
      </c>
      <c r="C1152" s="5" t="s">
        <v>6288</v>
      </c>
      <c r="E1152" t="s">
        <v>2150</v>
      </c>
      <c r="G1152" t="s">
        <v>6159</v>
      </c>
    </row>
    <row r="1153" spans="1:7" x14ac:dyDescent="0.25">
      <c r="A1153" t="s">
        <v>202</v>
      </c>
      <c r="B1153" s="5">
        <v>39741</v>
      </c>
      <c r="C1153" s="5" t="s">
        <v>6289</v>
      </c>
      <c r="E1153" t="s">
        <v>2152</v>
      </c>
      <c r="G1153" t="s">
        <v>6159</v>
      </c>
    </row>
    <row r="1154" spans="1:7" x14ac:dyDescent="0.25">
      <c r="A1154" t="s">
        <v>2160</v>
      </c>
      <c r="B1154" s="5">
        <v>42606</v>
      </c>
      <c r="C1154" s="5" t="s">
        <v>6290</v>
      </c>
      <c r="E1154" t="s">
        <v>2161</v>
      </c>
      <c r="G1154" t="s">
        <v>6159</v>
      </c>
    </row>
    <row r="1155" spans="1:7" x14ac:dyDescent="0.25">
      <c r="A1155" t="s">
        <v>178</v>
      </c>
      <c r="B1155" s="5">
        <v>40415</v>
      </c>
      <c r="C1155" s="5" t="s">
        <v>3350</v>
      </c>
      <c r="D1155" t="s">
        <v>3350</v>
      </c>
      <c r="E1155" t="s">
        <v>2163</v>
      </c>
      <c r="G1155" t="s">
        <v>6159</v>
      </c>
    </row>
    <row r="1156" spans="1:7" x14ac:dyDescent="0.25">
      <c r="A1156" t="s">
        <v>2165</v>
      </c>
      <c r="B1156" s="5">
        <v>42472</v>
      </c>
      <c r="C1156" s="5" t="s">
        <v>6291</v>
      </c>
      <c r="E1156" t="s">
        <v>2166</v>
      </c>
      <c r="G1156" t="s">
        <v>6159</v>
      </c>
    </row>
    <row r="1157" spans="1:7" x14ac:dyDescent="0.25">
      <c r="A1157" t="s">
        <v>204</v>
      </c>
      <c r="B1157" s="5">
        <v>35859</v>
      </c>
      <c r="C1157" s="5" t="s">
        <v>6292</v>
      </c>
      <c r="E1157" t="s">
        <v>2167</v>
      </c>
      <c r="G1157" t="s">
        <v>6159</v>
      </c>
    </row>
    <row r="1158" spans="1:7" x14ac:dyDescent="0.25">
      <c r="A1158" t="s">
        <v>2168</v>
      </c>
      <c r="B1158" s="5">
        <v>42815</v>
      </c>
      <c r="C1158" s="5" t="s">
        <v>6293</v>
      </c>
      <c r="E1158" t="s">
        <v>2169</v>
      </c>
      <c r="G1158" t="s">
        <v>6159</v>
      </c>
    </row>
    <row r="1159" spans="1:7" x14ac:dyDescent="0.25">
      <c r="A1159" t="s">
        <v>2170</v>
      </c>
      <c r="B1159" s="5">
        <v>38146</v>
      </c>
      <c r="C1159" s="5" t="s">
        <v>6294</v>
      </c>
      <c r="E1159" t="s">
        <v>2171</v>
      </c>
      <c r="G1159" t="s">
        <v>6159</v>
      </c>
    </row>
    <row r="1160" spans="1:7" x14ac:dyDescent="0.25">
      <c r="A1160" t="s">
        <v>2172</v>
      </c>
      <c r="B1160" s="5">
        <v>42592</v>
      </c>
      <c r="C1160" s="5" t="s">
        <v>6295</v>
      </c>
      <c r="E1160" t="s">
        <v>2173</v>
      </c>
      <c r="G1160" t="s">
        <v>6159</v>
      </c>
    </row>
    <row r="1161" spans="1:7" x14ac:dyDescent="0.25">
      <c r="A1161" t="s">
        <v>1519</v>
      </c>
      <c r="B1161" s="5">
        <v>35569</v>
      </c>
      <c r="C1161" s="5" t="s">
        <v>6296</v>
      </c>
      <c r="E1161" t="s">
        <v>2174</v>
      </c>
      <c r="G1161" t="s">
        <v>6159</v>
      </c>
    </row>
    <row r="1162" spans="1:7" x14ac:dyDescent="0.25">
      <c r="A1162" t="s">
        <v>69</v>
      </c>
      <c r="B1162" s="5">
        <v>39770</v>
      </c>
      <c r="C1162" s="5" t="s">
        <v>3351</v>
      </c>
      <c r="D1162" t="s">
        <v>3351</v>
      </c>
      <c r="E1162" t="s">
        <v>2175</v>
      </c>
      <c r="G1162" t="s">
        <v>6159</v>
      </c>
    </row>
    <row r="1163" spans="1:7" x14ac:dyDescent="0.25">
      <c r="A1163" t="s">
        <v>338</v>
      </c>
      <c r="B1163" s="5">
        <v>39608</v>
      </c>
      <c r="C1163" s="5" t="s">
        <v>3352</v>
      </c>
      <c r="D1163" t="s">
        <v>3352</v>
      </c>
      <c r="E1163" t="s">
        <v>2176</v>
      </c>
      <c r="G1163" t="s">
        <v>6159</v>
      </c>
    </row>
    <row r="1164" spans="1:7" x14ac:dyDescent="0.25">
      <c r="A1164" t="s">
        <v>160</v>
      </c>
      <c r="B1164" s="5">
        <v>38479</v>
      </c>
      <c r="C1164" s="5" t="s">
        <v>6297</v>
      </c>
      <c r="E1164" t="s">
        <v>2177</v>
      </c>
      <c r="G1164" t="s">
        <v>6159</v>
      </c>
    </row>
    <row r="1165" spans="1:7" x14ac:dyDescent="0.25">
      <c r="A1165" t="s">
        <v>228</v>
      </c>
      <c r="B1165" s="5">
        <v>39743</v>
      </c>
      <c r="C1165" s="5" t="s">
        <v>3353</v>
      </c>
      <c r="D1165" t="s">
        <v>3353</v>
      </c>
      <c r="E1165" t="s">
        <v>2178</v>
      </c>
      <c r="G1165" t="s">
        <v>6159</v>
      </c>
    </row>
    <row r="1166" spans="1:7" x14ac:dyDescent="0.25">
      <c r="A1166" t="s">
        <v>1698</v>
      </c>
      <c r="B1166" s="5">
        <v>40283</v>
      </c>
      <c r="C1166" s="5" t="s">
        <v>6298</v>
      </c>
      <c r="E1166" t="s">
        <v>2179</v>
      </c>
      <c r="G1166" t="s">
        <v>6159</v>
      </c>
    </row>
    <row r="1167" spans="1:7" x14ac:dyDescent="0.25">
      <c r="A1167" t="s">
        <v>79</v>
      </c>
      <c r="B1167" s="5">
        <v>39763</v>
      </c>
      <c r="C1167" s="5" t="s">
        <v>3354</v>
      </c>
      <c r="D1167" t="s">
        <v>3354</v>
      </c>
      <c r="E1167" t="s">
        <v>2182</v>
      </c>
      <c r="G1167" t="s">
        <v>6159</v>
      </c>
    </row>
    <row r="1168" spans="1:7" x14ac:dyDescent="0.25">
      <c r="A1168" t="s">
        <v>338</v>
      </c>
      <c r="B1168" s="5">
        <v>39470</v>
      </c>
      <c r="C1168" s="5" t="s">
        <v>6299</v>
      </c>
      <c r="E1168" t="s">
        <v>2183</v>
      </c>
      <c r="G1168" t="s">
        <v>6159</v>
      </c>
    </row>
    <row r="1169" spans="1:7" x14ac:dyDescent="0.25">
      <c r="A1169" t="s">
        <v>187</v>
      </c>
      <c r="B1169" s="5">
        <v>39471</v>
      </c>
      <c r="C1169" s="5" t="s">
        <v>6300</v>
      </c>
      <c r="E1169" t="s">
        <v>2184</v>
      </c>
      <c r="G1169" t="s">
        <v>6159</v>
      </c>
    </row>
    <row r="1170" spans="1:7" x14ac:dyDescent="0.25">
      <c r="A1170" t="s">
        <v>2186</v>
      </c>
      <c r="B1170" s="5">
        <v>39469</v>
      </c>
      <c r="C1170" s="5" t="s">
        <v>6301</v>
      </c>
      <c r="E1170" t="s">
        <v>2187</v>
      </c>
      <c r="G1170" t="s">
        <v>6159</v>
      </c>
    </row>
    <row r="1171" spans="1:7" x14ac:dyDescent="0.25">
      <c r="A1171" t="s">
        <v>112</v>
      </c>
      <c r="B1171" s="5">
        <v>39381</v>
      </c>
      <c r="C1171" s="5" t="s">
        <v>6302</v>
      </c>
      <c r="E1171" t="s">
        <v>2188</v>
      </c>
      <c r="G1171" t="s">
        <v>6159</v>
      </c>
    </row>
    <row r="1172" spans="1:7" x14ac:dyDescent="0.25">
      <c r="A1172" t="s">
        <v>123</v>
      </c>
      <c r="B1172" s="5">
        <v>39372</v>
      </c>
      <c r="C1172" s="5" t="s">
        <v>6303</v>
      </c>
      <c r="E1172" t="s">
        <v>2189</v>
      </c>
      <c r="G1172" t="s">
        <v>6159</v>
      </c>
    </row>
    <row r="1173" spans="1:7" x14ac:dyDescent="0.25">
      <c r="A1173" t="s">
        <v>96</v>
      </c>
      <c r="B1173" s="5">
        <v>39401</v>
      </c>
      <c r="C1173" s="5" t="s">
        <v>6304</v>
      </c>
      <c r="E1173" t="s">
        <v>2190</v>
      </c>
      <c r="G1173" t="s">
        <v>6159</v>
      </c>
    </row>
    <row r="1174" spans="1:7" x14ac:dyDescent="0.25">
      <c r="A1174" t="s">
        <v>136</v>
      </c>
      <c r="B1174" s="5">
        <v>39370</v>
      </c>
      <c r="C1174" s="5" t="s">
        <v>6305</v>
      </c>
      <c r="E1174" t="s">
        <v>2191</v>
      </c>
      <c r="G1174" t="s">
        <v>6159</v>
      </c>
    </row>
    <row r="1175" spans="1:7" x14ac:dyDescent="0.25">
      <c r="A1175" t="s">
        <v>68</v>
      </c>
      <c r="B1175" s="5">
        <v>39379</v>
      </c>
      <c r="C1175" s="5" t="s">
        <v>6306</v>
      </c>
      <c r="E1175" t="s">
        <v>2192</v>
      </c>
      <c r="G1175" t="s">
        <v>6159</v>
      </c>
    </row>
    <row r="1176" spans="1:7" x14ac:dyDescent="0.25">
      <c r="A1176" t="s">
        <v>101</v>
      </c>
      <c r="B1176" s="5">
        <v>39380</v>
      </c>
      <c r="C1176" s="5" t="s">
        <v>6307</v>
      </c>
      <c r="E1176" t="s">
        <v>2193</v>
      </c>
      <c r="G1176" t="s">
        <v>6159</v>
      </c>
    </row>
    <row r="1177" spans="1:7" x14ac:dyDescent="0.25">
      <c r="A1177" t="s">
        <v>119</v>
      </c>
      <c r="B1177" s="5">
        <v>39378</v>
      </c>
      <c r="C1177" s="5" t="s">
        <v>6308</v>
      </c>
      <c r="E1177" t="s">
        <v>2194</v>
      </c>
      <c r="G1177" t="s">
        <v>6159</v>
      </c>
    </row>
    <row r="1178" spans="1:7" x14ac:dyDescent="0.25">
      <c r="A1178" t="s">
        <v>137</v>
      </c>
      <c r="B1178" s="5">
        <v>39371</v>
      </c>
      <c r="C1178" s="5" t="s">
        <v>6309</v>
      </c>
      <c r="E1178" t="s">
        <v>2195</v>
      </c>
      <c r="G1178" t="s">
        <v>6159</v>
      </c>
    </row>
    <row r="1179" spans="1:7" x14ac:dyDescent="0.25">
      <c r="A1179" t="s">
        <v>2203</v>
      </c>
      <c r="B1179" s="5">
        <v>34608</v>
      </c>
      <c r="C1179" s="5" t="s">
        <v>6310</v>
      </c>
      <c r="E1179" t="s">
        <v>2204</v>
      </c>
      <c r="G1179" t="s">
        <v>6159</v>
      </c>
    </row>
    <row r="1180" spans="1:7" x14ac:dyDescent="0.25">
      <c r="A1180" t="s">
        <v>37</v>
      </c>
      <c r="B1180" s="5">
        <v>34608</v>
      </c>
      <c r="C1180" s="5" t="s">
        <v>6311</v>
      </c>
      <c r="E1180" t="s">
        <v>2206</v>
      </c>
      <c r="G1180" t="s">
        <v>6159</v>
      </c>
    </row>
    <row r="1181" spans="1:7" x14ac:dyDescent="0.25">
      <c r="A1181" t="s">
        <v>265</v>
      </c>
      <c r="B1181" s="5">
        <v>34984</v>
      </c>
      <c r="C1181" s="5" t="s">
        <v>6312</v>
      </c>
      <c r="E1181" t="s">
        <v>2208</v>
      </c>
      <c r="G1181" t="s">
        <v>6159</v>
      </c>
    </row>
    <row r="1182" spans="1:7" x14ac:dyDescent="0.25">
      <c r="A1182" t="s">
        <v>2217</v>
      </c>
      <c r="B1182" s="5">
        <v>34087</v>
      </c>
      <c r="C1182" s="5" t="s">
        <v>6313</v>
      </c>
      <c r="E1182" t="s">
        <v>2218</v>
      </c>
      <c r="G1182" t="s">
        <v>6159</v>
      </c>
    </row>
    <row r="1183" spans="1:7" x14ac:dyDescent="0.25">
      <c r="A1183" t="s">
        <v>337</v>
      </c>
      <c r="B1183" s="5">
        <v>34450</v>
      </c>
      <c r="C1183" s="5" t="s">
        <v>6314</v>
      </c>
      <c r="E1183" t="s">
        <v>2223</v>
      </c>
      <c r="G1183" t="s">
        <v>6159</v>
      </c>
    </row>
    <row r="1184" spans="1:7" x14ac:dyDescent="0.25">
      <c r="A1184" t="s">
        <v>2227</v>
      </c>
      <c r="B1184" s="5">
        <v>34823</v>
      </c>
      <c r="C1184" s="5" t="s">
        <v>6315</v>
      </c>
      <c r="E1184" t="s">
        <v>2228</v>
      </c>
      <c r="G1184" t="s">
        <v>6159</v>
      </c>
    </row>
    <row r="1185" spans="1:7" x14ac:dyDescent="0.25">
      <c r="A1185" t="s">
        <v>24</v>
      </c>
      <c r="B1185" s="5">
        <v>34820</v>
      </c>
      <c r="C1185" s="5" t="s">
        <v>6316</v>
      </c>
      <c r="E1185" t="s">
        <v>2229</v>
      </c>
      <c r="G1185" t="s">
        <v>6159</v>
      </c>
    </row>
    <row r="1186" spans="1:7" x14ac:dyDescent="0.25">
      <c r="A1186" t="s">
        <v>2231</v>
      </c>
      <c r="B1186" s="5">
        <v>35004</v>
      </c>
      <c r="C1186" s="5" t="s">
        <v>6317</v>
      </c>
      <c r="E1186" t="s">
        <v>2232</v>
      </c>
      <c r="G1186" t="s">
        <v>6159</v>
      </c>
    </row>
    <row r="1187" spans="1:7" x14ac:dyDescent="0.25">
      <c r="A1187" t="s">
        <v>1573</v>
      </c>
      <c r="B1187" s="5">
        <v>34156</v>
      </c>
      <c r="C1187" s="5" t="s">
        <v>6318</v>
      </c>
      <c r="E1187" t="s">
        <v>2235</v>
      </c>
      <c r="G1187" t="s">
        <v>6159</v>
      </c>
    </row>
    <row r="1188" spans="1:7" x14ac:dyDescent="0.25">
      <c r="A1188" t="s">
        <v>210</v>
      </c>
      <c r="B1188" s="5">
        <v>34985</v>
      </c>
      <c r="C1188" s="5" t="s">
        <v>6319</v>
      </c>
      <c r="E1188" t="s">
        <v>2239</v>
      </c>
      <c r="G1188" t="s">
        <v>6159</v>
      </c>
    </row>
    <row r="1189" spans="1:7" x14ac:dyDescent="0.25">
      <c r="A1189" t="s">
        <v>209</v>
      </c>
      <c r="B1189" s="5">
        <v>34096</v>
      </c>
      <c r="C1189" s="5" t="s">
        <v>6320</v>
      </c>
      <c r="E1189" t="s">
        <v>2240</v>
      </c>
      <c r="G1189" t="s">
        <v>6159</v>
      </c>
    </row>
    <row r="1190" spans="1:7" x14ac:dyDescent="0.25">
      <c r="A1190" t="s">
        <v>2241</v>
      </c>
      <c r="B1190" s="5">
        <v>34093</v>
      </c>
      <c r="C1190" s="5" t="s">
        <v>6321</v>
      </c>
      <c r="E1190" t="s">
        <v>2242</v>
      </c>
      <c r="G1190" t="s">
        <v>6159</v>
      </c>
    </row>
    <row r="1191" spans="1:7" x14ac:dyDescent="0.25">
      <c r="A1191" t="s">
        <v>49</v>
      </c>
      <c r="B1191" s="5">
        <v>34820</v>
      </c>
      <c r="C1191" s="5" t="s">
        <v>6322</v>
      </c>
      <c r="E1191" t="s">
        <v>2244</v>
      </c>
      <c r="G1191" t="s">
        <v>6159</v>
      </c>
    </row>
    <row r="1192" spans="1:7" x14ac:dyDescent="0.25">
      <c r="A1192" t="s">
        <v>37</v>
      </c>
      <c r="B1192" s="5">
        <v>34973</v>
      </c>
      <c r="C1192" s="5" t="s">
        <v>6323</v>
      </c>
      <c r="E1192" t="s">
        <v>2247</v>
      </c>
      <c r="G1192" t="s">
        <v>6159</v>
      </c>
    </row>
    <row r="1193" spans="1:7" x14ac:dyDescent="0.25">
      <c r="A1193" t="s">
        <v>1543</v>
      </c>
      <c r="B1193" s="5">
        <v>33703</v>
      </c>
      <c r="C1193" s="5" t="s">
        <v>6324</v>
      </c>
      <c r="E1193" t="s">
        <v>2248</v>
      </c>
      <c r="G1193" t="s">
        <v>6159</v>
      </c>
    </row>
    <row r="1194" spans="1:7" x14ac:dyDescent="0.25">
      <c r="A1194" t="s">
        <v>2250</v>
      </c>
      <c r="B1194" s="5">
        <v>34611</v>
      </c>
      <c r="C1194" s="5" t="s">
        <v>6325</v>
      </c>
      <c r="E1194" t="s">
        <v>2251</v>
      </c>
      <c r="G1194" t="s">
        <v>6159</v>
      </c>
    </row>
    <row r="1195" spans="1:7" x14ac:dyDescent="0.25">
      <c r="A1195" t="s">
        <v>1375</v>
      </c>
      <c r="B1195" s="5">
        <v>34444</v>
      </c>
      <c r="C1195" s="5" t="s">
        <v>6326</v>
      </c>
      <c r="E1195" t="s">
        <v>2252</v>
      </c>
      <c r="G1195" t="s">
        <v>6159</v>
      </c>
    </row>
    <row r="1196" spans="1:7" x14ac:dyDescent="0.25">
      <c r="A1196" t="s">
        <v>40</v>
      </c>
      <c r="B1196" s="5">
        <v>34608</v>
      </c>
      <c r="C1196" s="5" t="s">
        <v>6327</v>
      </c>
      <c r="E1196" t="s">
        <v>2258</v>
      </c>
      <c r="G1196" t="s">
        <v>6159</v>
      </c>
    </row>
    <row r="1197" spans="1:7" x14ac:dyDescent="0.25">
      <c r="A1197" t="s">
        <v>2068</v>
      </c>
      <c r="B1197" s="5">
        <v>34442</v>
      </c>
      <c r="C1197" s="5" t="s">
        <v>6328</v>
      </c>
      <c r="E1197" t="s">
        <v>2264</v>
      </c>
      <c r="G1197" t="s">
        <v>6159</v>
      </c>
    </row>
    <row r="1198" spans="1:7" x14ac:dyDescent="0.25">
      <c r="A1198" t="s">
        <v>2269</v>
      </c>
      <c r="B1198" s="5">
        <v>34246</v>
      </c>
      <c r="C1198" s="5" t="s">
        <v>6329</v>
      </c>
      <c r="E1198" t="s">
        <v>2270</v>
      </c>
      <c r="G1198" t="s">
        <v>6159</v>
      </c>
    </row>
    <row r="1199" spans="1:7" x14ac:dyDescent="0.25">
      <c r="A1199" t="s">
        <v>2269</v>
      </c>
      <c r="B1199" s="5">
        <v>34822</v>
      </c>
      <c r="C1199" s="5" t="s">
        <v>6330</v>
      </c>
      <c r="E1199" t="s">
        <v>2272</v>
      </c>
      <c r="G1199" t="s">
        <v>6159</v>
      </c>
    </row>
    <row r="1200" spans="1:7" x14ac:dyDescent="0.25">
      <c r="A1200" t="s">
        <v>27</v>
      </c>
      <c r="B1200" s="5">
        <v>34974</v>
      </c>
      <c r="C1200" s="5" t="s">
        <v>6331</v>
      </c>
      <c r="E1200" t="s">
        <v>2276</v>
      </c>
      <c r="G1200" t="s">
        <v>6159</v>
      </c>
    </row>
    <row r="1201" spans="1:7" x14ac:dyDescent="0.25">
      <c r="A1201" t="s">
        <v>1817</v>
      </c>
      <c r="B1201" s="5">
        <v>35017</v>
      </c>
      <c r="C1201" s="5" t="s">
        <v>6332</v>
      </c>
      <c r="E1201" t="s">
        <v>2279</v>
      </c>
      <c r="G1201" t="s">
        <v>6159</v>
      </c>
    </row>
    <row r="1202" spans="1:7" x14ac:dyDescent="0.25">
      <c r="A1202" t="s">
        <v>126</v>
      </c>
      <c r="B1202" s="5">
        <v>34997</v>
      </c>
      <c r="C1202" s="5" t="s">
        <v>6333</v>
      </c>
      <c r="E1202" t="s">
        <v>2285</v>
      </c>
      <c r="G1202" t="s">
        <v>6159</v>
      </c>
    </row>
    <row r="1203" spans="1:7" x14ac:dyDescent="0.25">
      <c r="A1203" t="s">
        <v>2290</v>
      </c>
      <c r="B1203" s="5">
        <v>34060</v>
      </c>
      <c r="C1203" s="5" t="s">
        <v>6334</v>
      </c>
      <c r="E1203" t="s">
        <v>2291</v>
      </c>
      <c r="G1203" t="s">
        <v>6159</v>
      </c>
    </row>
    <row r="1204" spans="1:7" x14ac:dyDescent="0.25">
      <c r="A1204" t="s">
        <v>361</v>
      </c>
      <c r="B1204" s="5">
        <v>34990</v>
      </c>
      <c r="C1204" s="5" t="s">
        <v>6335</v>
      </c>
      <c r="E1204" t="s">
        <v>2295</v>
      </c>
      <c r="G1204" t="s">
        <v>6159</v>
      </c>
    </row>
    <row r="1205" spans="1:7" x14ac:dyDescent="0.25">
      <c r="A1205" t="s">
        <v>132</v>
      </c>
      <c r="B1205" s="5">
        <v>34982</v>
      </c>
      <c r="C1205" s="5" t="s">
        <v>6336</v>
      </c>
      <c r="E1205" t="s">
        <v>2296</v>
      </c>
      <c r="G1205" t="s">
        <v>6159</v>
      </c>
    </row>
    <row r="1206" spans="1:7" x14ac:dyDescent="0.25">
      <c r="A1206" t="s">
        <v>195</v>
      </c>
      <c r="B1206" s="5">
        <v>34990</v>
      </c>
      <c r="C1206" s="5" t="s">
        <v>6337</v>
      </c>
      <c r="E1206" t="s">
        <v>2305</v>
      </c>
      <c r="G1206" t="s">
        <v>6159</v>
      </c>
    </row>
    <row r="1207" spans="1:7" x14ac:dyDescent="0.25">
      <c r="A1207" t="s">
        <v>191</v>
      </c>
      <c r="B1207" s="5">
        <v>35005</v>
      </c>
      <c r="C1207" s="5" t="s">
        <v>6338</v>
      </c>
      <c r="E1207" t="s">
        <v>2310</v>
      </c>
      <c r="G1207" t="s">
        <v>6159</v>
      </c>
    </row>
    <row r="1208" spans="1:7" x14ac:dyDescent="0.25">
      <c r="A1208" t="s">
        <v>267</v>
      </c>
      <c r="B1208" s="5">
        <v>34243</v>
      </c>
      <c r="C1208" s="5" t="s">
        <v>6339</v>
      </c>
      <c r="E1208" t="s">
        <v>2317</v>
      </c>
      <c r="G1208" t="s">
        <v>6159</v>
      </c>
    </row>
    <row r="1209" spans="1:7" x14ac:dyDescent="0.25">
      <c r="A1209" t="s">
        <v>2318</v>
      </c>
      <c r="B1209" s="5">
        <v>33709</v>
      </c>
      <c r="C1209" s="5" t="s">
        <v>6340</v>
      </c>
      <c r="E1209" t="s">
        <v>2319</v>
      </c>
      <c r="G1209" t="s">
        <v>6159</v>
      </c>
    </row>
    <row r="1210" spans="1:7" x14ac:dyDescent="0.25">
      <c r="A1210" t="s">
        <v>2068</v>
      </c>
      <c r="B1210" s="5">
        <v>33718</v>
      </c>
      <c r="C1210" s="5" t="s">
        <v>6341</v>
      </c>
      <c r="E1210" t="s">
        <v>2321</v>
      </c>
      <c r="G1210" t="s">
        <v>6159</v>
      </c>
    </row>
    <row r="1211" spans="1:7" x14ac:dyDescent="0.25">
      <c r="A1211" t="s">
        <v>209</v>
      </c>
      <c r="B1211" s="5">
        <v>33886</v>
      </c>
      <c r="C1211" s="5" t="s">
        <v>6342</v>
      </c>
      <c r="E1211" t="s">
        <v>2323</v>
      </c>
      <c r="G1211" t="s">
        <v>6159</v>
      </c>
    </row>
    <row r="1212" spans="1:7" x14ac:dyDescent="0.25">
      <c r="A1212" t="s">
        <v>1543</v>
      </c>
      <c r="B1212" s="5">
        <v>34065</v>
      </c>
      <c r="C1212" s="5" t="s">
        <v>6343</v>
      </c>
      <c r="E1212" t="s">
        <v>2325</v>
      </c>
      <c r="G1212" t="s">
        <v>6159</v>
      </c>
    </row>
    <row r="1213" spans="1:7" x14ac:dyDescent="0.25">
      <c r="A1213" t="s">
        <v>293</v>
      </c>
      <c r="B1213" s="5">
        <v>34234</v>
      </c>
      <c r="C1213" s="5" t="s">
        <v>6344</v>
      </c>
      <c r="E1213" t="s">
        <v>2328</v>
      </c>
      <c r="G1213" t="s">
        <v>6159</v>
      </c>
    </row>
    <row r="1214" spans="1:7" x14ac:dyDescent="0.25">
      <c r="A1214" t="s">
        <v>2329</v>
      </c>
      <c r="B1214" s="5">
        <v>34989</v>
      </c>
      <c r="C1214" s="5" t="s">
        <v>6345</v>
      </c>
      <c r="E1214" t="s">
        <v>2330</v>
      </c>
      <c r="G1214" t="s">
        <v>6159</v>
      </c>
    </row>
    <row r="1215" spans="1:7" x14ac:dyDescent="0.25">
      <c r="A1215" t="s">
        <v>2333</v>
      </c>
      <c r="B1215" s="5">
        <v>34235</v>
      </c>
      <c r="C1215" s="5" t="s">
        <v>6346</v>
      </c>
      <c r="E1215" t="s">
        <v>2334</v>
      </c>
      <c r="G1215" t="s">
        <v>6159</v>
      </c>
    </row>
    <row r="1216" spans="1:7" x14ac:dyDescent="0.25">
      <c r="A1216" t="s">
        <v>27</v>
      </c>
      <c r="B1216" s="5">
        <v>33737</v>
      </c>
      <c r="C1216" s="5" t="s">
        <v>6347</v>
      </c>
      <c r="E1216" t="s">
        <v>2339</v>
      </c>
      <c r="G1216" t="s">
        <v>6159</v>
      </c>
    </row>
    <row r="1217" spans="1:7" x14ac:dyDescent="0.25">
      <c r="A1217" t="s">
        <v>1398</v>
      </c>
      <c r="B1217" s="5">
        <v>34155</v>
      </c>
      <c r="C1217" s="5" t="s">
        <v>6348</v>
      </c>
      <c r="E1217" t="s">
        <v>2341</v>
      </c>
      <c r="G1217" t="s">
        <v>6159</v>
      </c>
    </row>
    <row r="1218" spans="1:7" x14ac:dyDescent="0.25">
      <c r="A1218" t="s">
        <v>2348</v>
      </c>
      <c r="B1218" s="5">
        <v>33733</v>
      </c>
      <c r="C1218" s="5" t="s">
        <v>6349</v>
      </c>
      <c r="E1218" t="s">
        <v>2349</v>
      </c>
      <c r="G1218" t="s">
        <v>6159</v>
      </c>
    </row>
    <row r="1219" spans="1:7" x14ac:dyDescent="0.25">
      <c r="A1219" t="s">
        <v>2241</v>
      </c>
      <c r="B1219" s="5">
        <v>35191</v>
      </c>
      <c r="C1219" s="5" t="s">
        <v>6350</v>
      </c>
      <c r="E1219" t="s">
        <v>2350</v>
      </c>
      <c r="G1219" t="s">
        <v>6159</v>
      </c>
    </row>
    <row r="1220" spans="1:7" x14ac:dyDescent="0.25">
      <c r="A1220" t="s">
        <v>193</v>
      </c>
      <c r="B1220" s="5">
        <v>34304</v>
      </c>
      <c r="C1220" s="5" t="s">
        <v>6351</v>
      </c>
      <c r="E1220" t="s">
        <v>2352</v>
      </c>
      <c r="G1220" t="s">
        <v>6159</v>
      </c>
    </row>
    <row r="1221" spans="1:7" x14ac:dyDescent="0.25">
      <c r="A1221" t="s">
        <v>60</v>
      </c>
      <c r="B1221" s="5">
        <v>34995</v>
      </c>
      <c r="C1221" s="5" t="s">
        <v>6352</v>
      </c>
      <c r="E1221" t="s">
        <v>2353</v>
      </c>
      <c r="G1221" t="s">
        <v>6159</v>
      </c>
    </row>
    <row r="1222" spans="1:7" x14ac:dyDescent="0.25">
      <c r="A1222" t="s">
        <v>130</v>
      </c>
      <c r="B1222" s="5">
        <v>34243</v>
      </c>
      <c r="C1222" s="5" t="s">
        <v>6353</v>
      </c>
      <c r="E1222" t="s">
        <v>2355</v>
      </c>
      <c r="G1222" t="s">
        <v>6159</v>
      </c>
    </row>
    <row r="1223" spans="1:7" x14ac:dyDescent="0.25">
      <c r="A1223" t="s">
        <v>23</v>
      </c>
      <c r="B1223" s="5">
        <v>34608</v>
      </c>
      <c r="C1223" s="5" t="s">
        <v>6354</v>
      </c>
      <c r="E1223" t="s">
        <v>2357</v>
      </c>
      <c r="G1223" t="s">
        <v>6159</v>
      </c>
    </row>
    <row r="1224" spans="1:7" x14ac:dyDescent="0.25">
      <c r="A1224" t="s">
        <v>264</v>
      </c>
      <c r="B1224" s="5">
        <v>34243</v>
      </c>
      <c r="C1224" s="5" t="s">
        <v>6355</v>
      </c>
      <c r="E1224" t="s">
        <v>2363</v>
      </c>
      <c r="G1224" t="s">
        <v>6159</v>
      </c>
    </row>
    <row r="1225" spans="1:7" x14ac:dyDescent="0.25">
      <c r="A1225" t="s">
        <v>1573</v>
      </c>
      <c r="B1225" s="5">
        <v>33775</v>
      </c>
      <c r="C1225" s="5" t="s">
        <v>6356</v>
      </c>
      <c r="E1225" t="s">
        <v>2366</v>
      </c>
      <c r="G1225" t="s">
        <v>6159</v>
      </c>
    </row>
    <row r="1226" spans="1:7" x14ac:dyDescent="0.25">
      <c r="A1226" t="s">
        <v>175</v>
      </c>
      <c r="B1226" s="5">
        <v>34243</v>
      </c>
      <c r="C1226" s="5" t="s">
        <v>6357</v>
      </c>
      <c r="E1226" t="s">
        <v>2369</v>
      </c>
      <c r="G1226" t="s">
        <v>6159</v>
      </c>
    </row>
    <row r="1227" spans="1:7" x14ac:dyDescent="0.25">
      <c r="A1227" t="s">
        <v>2333</v>
      </c>
      <c r="B1227" s="5">
        <v>34968</v>
      </c>
      <c r="C1227" s="5" t="s">
        <v>6358</v>
      </c>
      <c r="E1227" t="s">
        <v>2370</v>
      </c>
      <c r="G1227" t="s">
        <v>6159</v>
      </c>
    </row>
    <row r="1228" spans="1:7" x14ac:dyDescent="0.25">
      <c r="A1228" t="s">
        <v>285</v>
      </c>
      <c r="B1228" s="5">
        <v>34995</v>
      </c>
      <c r="C1228" s="5" t="s">
        <v>6359</v>
      </c>
      <c r="E1228" t="s">
        <v>2375</v>
      </c>
      <c r="G1228" t="s">
        <v>6159</v>
      </c>
    </row>
    <row r="1229" spans="1:7" x14ac:dyDescent="0.25">
      <c r="A1229" t="s">
        <v>341</v>
      </c>
      <c r="B1229" s="5">
        <v>33786</v>
      </c>
      <c r="C1229" s="5" t="s">
        <v>6360</v>
      </c>
      <c r="E1229" t="s">
        <v>2376</v>
      </c>
      <c r="G1229" t="s">
        <v>6159</v>
      </c>
    </row>
    <row r="1230" spans="1:7" x14ac:dyDescent="0.25">
      <c r="A1230" t="s">
        <v>146</v>
      </c>
      <c r="B1230" s="5">
        <v>34997</v>
      </c>
      <c r="C1230" s="5" t="s">
        <v>6361</v>
      </c>
      <c r="E1230" t="s">
        <v>2377</v>
      </c>
      <c r="G1230" t="s">
        <v>6159</v>
      </c>
    </row>
    <row r="1231" spans="1:7" x14ac:dyDescent="0.25">
      <c r="A1231" t="s">
        <v>2379</v>
      </c>
      <c r="B1231" s="5">
        <v>33724</v>
      </c>
      <c r="C1231" s="5" t="s">
        <v>6362</v>
      </c>
      <c r="E1231" t="s">
        <v>2380</v>
      </c>
      <c r="G1231" t="s">
        <v>6159</v>
      </c>
    </row>
    <row r="1232" spans="1:7" x14ac:dyDescent="0.25">
      <c r="A1232" t="s">
        <v>261</v>
      </c>
      <c r="B1232" s="5">
        <v>34304</v>
      </c>
      <c r="C1232" s="5" t="s">
        <v>6363</v>
      </c>
      <c r="E1232" t="s">
        <v>2381</v>
      </c>
      <c r="G1232" t="s">
        <v>6159</v>
      </c>
    </row>
    <row r="1233" spans="1:7" x14ac:dyDescent="0.25">
      <c r="A1233" t="s">
        <v>188</v>
      </c>
      <c r="B1233" s="5">
        <v>35187</v>
      </c>
      <c r="C1233" s="5" t="s">
        <v>6364</v>
      </c>
      <c r="E1233" t="s">
        <v>2382</v>
      </c>
      <c r="G1233" t="s">
        <v>6159</v>
      </c>
    </row>
    <row r="1234" spans="1:7" x14ac:dyDescent="0.25">
      <c r="A1234" t="s">
        <v>293</v>
      </c>
      <c r="B1234" s="5">
        <v>34610</v>
      </c>
      <c r="C1234" s="5" t="s">
        <v>6365</v>
      </c>
      <c r="E1234" t="s">
        <v>2383</v>
      </c>
      <c r="G1234" t="s">
        <v>6159</v>
      </c>
    </row>
    <row r="1235" spans="1:7" x14ac:dyDescent="0.25">
      <c r="A1235" t="s">
        <v>2269</v>
      </c>
      <c r="B1235" s="5">
        <v>34604</v>
      </c>
      <c r="C1235" s="5" t="s">
        <v>6366</v>
      </c>
      <c r="E1235" t="s">
        <v>2388</v>
      </c>
      <c r="G1235" t="s">
        <v>6159</v>
      </c>
    </row>
    <row r="1236" spans="1:7" x14ac:dyDescent="0.25">
      <c r="A1236" t="s">
        <v>253</v>
      </c>
      <c r="B1236" s="5">
        <v>34968</v>
      </c>
      <c r="C1236" s="5" t="s">
        <v>6367</v>
      </c>
      <c r="E1236" t="s">
        <v>2391</v>
      </c>
      <c r="G1236" t="s">
        <v>6159</v>
      </c>
    </row>
    <row r="1237" spans="1:7" x14ac:dyDescent="0.25">
      <c r="A1237" t="s">
        <v>1398</v>
      </c>
      <c r="B1237" s="5">
        <v>34524</v>
      </c>
      <c r="C1237" s="5" t="s">
        <v>6368</v>
      </c>
      <c r="E1237" t="s">
        <v>2392</v>
      </c>
      <c r="G1237" t="s">
        <v>6159</v>
      </c>
    </row>
    <row r="1238" spans="1:7" x14ac:dyDescent="0.25">
      <c r="A1238" t="s">
        <v>1454</v>
      </c>
      <c r="B1238" s="5">
        <v>33773</v>
      </c>
      <c r="C1238" s="5" t="s">
        <v>6369</v>
      </c>
      <c r="E1238" t="s">
        <v>2394</v>
      </c>
      <c r="G1238" t="s">
        <v>6159</v>
      </c>
    </row>
    <row r="1239" spans="1:7" x14ac:dyDescent="0.25">
      <c r="A1239" t="s">
        <v>188</v>
      </c>
      <c r="B1239" s="5">
        <v>34474</v>
      </c>
      <c r="C1239" s="5" t="s">
        <v>6370</v>
      </c>
      <c r="E1239" t="s">
        <v>2395</v>
      </c>
      <c r="G1239" t="s">
        <v>6159</v>
      </c>
    </row>
    <row r="1240" spans="1:7" x14ac:dyDescent="0.25">
      <c r="A1240" t="s">
        <v>312</v>
      </c>
      <c r="B1240" s="5">
        <v>35003</v>
      </c>
      <c r="C1240" s="5" t="s">
        <v>6371</v>
      </c>
      <c r="E1240" t="s">
        <v>2404</v>
      </c>
      <c r="G1240" t="s">
        <v>6159</v>
      </c>
    </row>
    <row r="1241" spans="1:7" x14ac:dyDescent="0.25">
      <c r="A1241" t="s">
        <v>2406</v>
      </c>
      <c r="B1241" s="5">
        <v>34073</v>
      </c>
      <c r="C1241" s="5" t="s">
        <v>6372</v>
      </c>
      <c r="E1241" t="s">
        <v>2407</v>
      </c>
      <c r="G1241" t="s">
        <v>6159</v>
      </c>
    </row>
    <row r="1242" spans="1:7" x14ac:dyDescent="0.25">
      <c r="A1242" t="s">
        <v>280</v>
      </c>
      <c r="B1242" s="5">
        <v>34996</v>
      </c>
      <c r="C1242" s="5" t="s">
        <v>6373</v>
      </c>
      <c r="E1242" t="s">
        <v>2409</v>
      </c>
      <c r="G1242" t="s">
        <v>6159</v>
      </c>
    </row>
    <row r="1243" spans="1:7" x14ac:dyDescent="0.25">
      <c r="A1243" t="s">
        <v>2406</v>
      </c>
      <c r="B1243" s="5">
        <v>34431</v>
      </c>
      <c r="C1243" s="5" t="s">
        <v>6374</v>
      </c>
      <c r="E1243" t="s">
        <v>2414</v>
      </c>
      <c r="G1243" t="s">
        <v>6159</v>
      </c>
    </row>
    <row r="1244" spans="1:7" x14ac:dyDescent="0.25">
      <c r="A1244" t="s">
        <v>272</v>
      </c>
      <c r="B1244" s="5">
        <v>34247</v>
      </c>
      <c r="C1244" s="5" t="s">
        <v>6375</v>
      </c>
      <c r="E1244" t="s">
        <v>2422</v>
      </c>
      <c r="G1244" t="s">
        <v>6159</v>
      </c>
    </row>
    <row r="1245" spans="1:7" x14ac:dyDescent="0.25">
      <c r="A1245" t="s">
        <v>156</v>
      </c>
      <c r="B1245" s="5">
        <v>34989</v>
      </c>
      <c r="C1245" s="5" t="s">
        <v>6376</v>
      </c>
      <c r="E1245" t="s">
        <v>2423</v>
      </c>
      <c r="G1245" t="s">
        <v>6159</v>
      </c>
    </row>
    <row r="1246" spans="1:7" x14ac:dyDescent="0.25">
      <c r="A1246" t="s">
        <v>1543</v>
      </c>
      <c r="B1246" s="5">
        <v>34429</v>
      </c>
      <c r="C1246" s="5" t="s">
        <v>6377</v>
      </c>
      <c r="E1246" t="s">
        <v>2425</v>
      </c>
      <c r="G1246" t="s">
        <v>6159</v>
      </c>
    </row>
    <row r="1247" spans="1:7" x14ac:dyDescent="0.25">
      <c r="A1247" t="s">
        <v>2269</v>
      </c>
      <c r="B1247" s="5">
        <v>34099</v>
      </c>
      <c r="C1247" s="5" t="s">
        <v>6378</v>
      </c>
      <c r="E1247" t="s">
        <v>2429</v>
      </c>
      <c r="G1247" t="s">
        <v>6159</v>
      </c>
    </row>
    <row r="1248" spans="1:7" x14ac:dyDescent="0.25">
      <c r="A1248" t="s">
        <v>1519</v>
      </c>
      <c r="B1248" s="5">
        <v>34491</v>
      </c>
      <c r="C1248" s="5" t="s">
        <v>6379</v>
      </c>
      <c r="E1248" t="s">
        <v>2430</v>
      </c>
      <c r="G1248" t="s">
        <v>6159</v>
      </c>
    </row>
    <row r="1249" spans="1:7" x14ac:dyDescent="0.25">
      <c r="A1249" t="s">
        <v>2431</v>
      </c>
      <c r="B1249" s="5">
        <v>34802</v>
      </c>
      <c r="C1249" s="5" t="s">
        <v>6380</v>
      </c>
      <c r="E1249" t="s">
        <v>2432</v>
      </c>
      <c r="G1249" t="s">
        <v>6159</v>
      </c>
    </row>
    <row r="1250" spans="1:7" x14ac:dyDescent="0.25">
      <c r="A1250" t="s">
        <v>272</v>
      </c>
      <c r="B1250" s="5">
        <v>34975</v>
      </c>
      <c r="C1250" s="5" t="s">
        <v>6381</v>
      </c>
      <c r="E1250" t="s">
        <v>2438</v>
      </c>
      <c r="G1250" t="s">
        <v>6159</v>
      </c>
    </row>
    <row r="1251" spans="1:7" x14ac:dyDescent="0.25">
      <c r="A1251" t="s">
        <v>2441</v>
      </c>
      <c r="B1251" s="5">
        <v>34134</v>
      </c>
      <c r="C1251" s="5" t="s">
        <v>6382</v>
      </c>
      <c r="E1251" t="s">
        <v>2442</v>
      </c>
      <c r="G1251" t="s">
        <v>6159</v>
      </c>
    </row>
    <row r="1252" spans="1:7" x14ac:dyDescent="0.25">
      <c r="A1252" t="s">
        <v>291</v>
      </c>
      <c r="B1252" s="5">
        <v>34996</v>
      </c>
      <c r="C1252" s="5" t="s">
        <v>6383</v>
      </c>
      <c r="E1252" t="s">
        <v>2443</v>
      </c>
      <c r="G1252" t="s">
        <v>6159</v>
      </c>
    </row>
    <row r="1253" spans="1:7" x14ac:dyDescent="0.25">
      <c r="A1253" t="s">
        <v>2445</v>
      </c>
      <c r="B1253" s="5">
        <v>34989</v>
      </c>
      <c r="C1253" s="5" t="s">
        <v>6384</v>
      </c>
      <c r="E1253" t="s">
        <v>2446</v>
      </c>
      <c r="G1253" t="s">
        <v>6159</v>
      </c>
    </row>
    <row r="1254" spans="1:7" x14ac:dyDescent="0.25">
      <c r="A1254" t="s">
        <v>2447</v>
      </c>
      <c r="B1254" s="5">
        <v>34982</v>
      </c>
      <c r="C1254" s="5" t="s">
        <v>6385</v>
      </c>
      <c r="E1254" t="s">
        <v>2448</v>
      </c>
      <c r="G1254" t="s">
        <v>6159</v>
      </c>
    </row>
    <row r="1255" spans="1:7" x14ac:dyDescent="0.25">
      <c r="A1255" t="s">
        <v>267</v>
      </c>
      <c r="B1255" s="5">
        <v>35004</v>
      </c>
      <c r="C1255" s="5" t="s">
        <v>6386</v>
      </c>
      <c r="E1255" t="s">
        <v>2450</v>
      </c>
      <c r="G1255" t="s">
        <v>6159</v>
      </c>
    </row>
    <row r="1256" spans="1:7" x14ac:dyDescent="0.25">
      <c r="A1256" t="s">
        <v>285</v>
      </c>
      <c r="B1256" s="5">
        <v>34608</v>
      </c>
      <c r="C1256" s="5" t="s">
        <v>6387</v>
      </c>
      <c r="E1256" t="s">
        <v>2454</v>
      </c>
      <c r="G1256" t="s">
        <v>6159</v>
      </c>
    </row>
    <row r="1257" spans="1:7" x14ac:dyDescent="0.25">
      <c r="A1257" t="s">
        <v>1519</v>
      </c>
      <c r="B1257" s="5">
        <v>34131</v>
      </c>
      <c r="C1257" s="5" t="s">
        <v>6388</v>
      </c>
      <c r="E1257" t="s">
        <v>2456</v>
      </c>
      <c r="G1257" t="s">
        <v>6159</v>
      </c>
    </row>
    <row r="1258" spans="1:7" x14ac:dyDescent="0.25">
      <c r="A1258" t="s">
        <v>2241</v>
      </c>
      <c r="B1258" s="5">
        <v>34463</v>
      </c>
      <c r="C1258" s="5" t="s">
        <v>6389</v>
      </c>
      <c r="E1258" t="s">
        <v>2457</v>
      </c>
      <c r="G1258" t="s">
        <v>6159</v>
      </c>
    </row>
    <row r="1259" spans="1:7" x14ac:dyDescent="0.25">
      <c r="A1259" t="s">
        <v>2459</v>
      </c>
      <c r="B1259" s="5">
        <v>34113</v>
      </c>
      <c r="C1259" s="5" t="s">
        <v>6390</v>
      </c>
      <c r="E1259" t="s">
        <v>2460</v>
      </c>
      <c r="G1259" t="s">
        <v>6159</v>
      </c>
    </row>
    <row r="1260" spans="1:7" x14ac:dyDescent="0.25">
      <c r="A1260" t="s">
        <v>2461</v>
      </c>
      <c r="B1260" s="5">
        <v>34827</v>
      </c>
      <c r="C1260" s="5" t="s">
        <v>6391</v>
      </c>
      <c r="E1260" t="s">
        <v>2462</v>
      </c>
      <c r="G1260" t="s">
        <v>6159</v>
      </c>
    </row>
    <row r="1261" spans="1:7" x14ac:dyDescent="0.25">
      <c r="A1261" t="s">
        <v>2241</v>
      </c>
      <c r="B1261" s="5">
        <v>33708</v>
      </c>
      <c r="C1261" s="5" t="s">
        <v>6392</v>
      </c>
      <c r="E1261" t="s">
        <v>2463</v>
      </c>
      <c r="G1261" t="s">
        <v>6159</v>
      </c>
    </row>
    <row r="1262" spans="1:7" x14ac:dyDescent="0.25">
      <c r="A1262" t="s">
        <v>306</v>
      </c>
      <c r="B1262" s="5">
        <v>34243</v>
      </c>
      <c r="C1262" s="5" t="s">
        <v>6393</v>
      </c>
      <c r="E1262" t="s">
        <v>2465</v>
      </c>
      <c r="G1262" t="s">
        <v>6159</v>
      </c>
    </row>
    <row r="1263" spans="1:7" x14ac:dyDescent="0.25">
      <c r="A1263" t="s">
        <v>49</v>
      </c>
      <c r="B1263" s="5">
        <v>34608</v>
      </c>
      <c r="C1263" s="5" t="s">
        <v>6394</v>
      </c>
      <c r="E1263" t="s">
        <v>2468</v>
      </c>
      <c r="G1263" t="s">
        <v>6159</v>
      </c>
    </row>
    <row r="1264" spans="1:7" x14ac:dyDescent="0.25">
      <c r="A1264" t="s">
        <v>2250</v>
      </c>
      <c r="B1264" s="5">
        <v>34463</v>
      </c>
      <c r="C1264" s="5" t="s">
        <v>6395</v>
      </c>
      <c r="E1264" t="s">
        <v>2473</v>
      </c>
      <c r="G1264" t="s">
        <v>6159</v>
      </c>
    </row>
    <row r="1265" spans="1:7" x14ac:dyDescent="0.25">
      <c r="A1265" t="s">
        <v>40</v>
      </c>
      <c r="B1265" s="5">
        <v>34997</v>
      </c>
      <c r="C1265" s="5" t="s">
        <v>6396</v>
      </c>
      <c r="E1265" t="s">
        <v>2478</v>
      </c>
      <c r="G1265" t="s">
        <v>6159</v>
      </c>
    </row>
    <row r="1266" spans="1:7" x14ac:dyDescent="0.25">
      <c r="A1266" t="s">
        <v>23</v>
      </c>
      <c r="B1266" s="5">
        <v>34100</v>
      </c>
      <c r="C1266" s="5" t="s">
        <v>6397</v>
      </c>
      <c r="E1266" t="s">
        <v>2489</v>
      </c>
      <c r="G1266" t="s">
        <v>6159</v>
      </c>
    </row>
    <row r="1267" spans="1:7" x14ac:dyDescent="0.25">
      <c r="A1267" t="s">
        <v>1543</v>
      </c>
      <c r="B1267" s="5">
        <v>34800</v>
      </c>
      <c r="C1267" s="5" t="s">
        <v>6398</v>
      </c>
      <c r="E1267" t="s">
        <v>2490</v>
      </c>
      <c r="G1267" t="s">
        <v>6159</v>
      </c>
    </row>
    <row r="1268" spans="1:7" x14ac:dyDescent="0.25">
      <c r="A1268" t="s">
        <v>2491</v>
      </c>
      <c r="B1268" s="5">
        <v>34608</v>
      </c>
      <c r="C1268" s="5" t="s">
        <v>6399</v>
      </c>
      <c r="E1268" t="s">
        <v>2492</v>
      </c>
      <c r="G1268" t="s">
        <v>6159</v>
      </c>
    </row>
    <row r="1269" spans="1:7" x14ac:dyDescent="0.25">
      <c r="A1269" t="s">
        <v>285</v>
      </c>
      <c r="B1269" s="5">
        <v>34243</v>
      </c>
      <c r="C1269" s="5" t="s">
        <v>6400</v>
      </c>
      <c r="E1269" t="s">
        <v>2497</v>
      </c>
      <c r="G1269" t="s">
        <v>6159</v>
      </c>
    </row>
    <row r="1270" spans="1:7" x14ac:dyDescent="0.25">
      <c r="A1270" t="s">
        <v>2499</v>
      </c>
      <c r="B1270" s="5">
        <v>34791</v>
      </c>
      <c r="C1270" s="5" t="s">
        <v>6401</v>
      </c>
      <c r="E1270" t="s">
        <v>2500</v>
      </c>
      <c r="G1270" t="s">
        <v>6159</v>
      </c>
    </row>
    <row r="1271" spans="1:7" x14ac:dyDescent="0.25">
      <c r="A1271" t="s">
        <v>259</v>
      </c>
      <c r="B1271" s="5">
        <v>34983</v>
      </c>
      <c r="C1271" s="5" t="s">
        <v>6402</v>
      </c>
      <c r="E1271" t="s">
        <v>2501</v>
      </c>
      <c r="G1271" t="s">
        <v>6159</v>
      </c>
    </row>
    <row r="1272" spans="1:7" x14ac:dyDescent="0.25">
      <c r="A1272" t="s">
        <v>2068</v>
      </c>
      <c r="B1272" s="5">
        <v>35186</v>
      </c>
      <c r="C1272" s="5" t="s">
        <v>6403</v>
      </c>
      <c r="E1272" t="s">
        <v>2502</v>
      </c>
      <c r="G1272" t="s">
        <v>6159</v>
      </c>
    </row>
    <row r="1273" spans="1:7" x14ac:dyDescent="0.25">
      <c r="A1273" t="s">
        <v>2504</v>
      </c>
      <c r="B1273" s="5">
        <v>34243</v>
      </c>
      <c r="C1273" s="5" t="s">
        <v>6404</v>
      </c>
      <c r="E1273" t="s">
        <v>2505</v>
      </c>
      <c r="G1273" t="s">
        <v>6159</v>
      </c>
    </row>
    <row r="1274" spans="1:7" x14ac:dyDescent="0.25">
      <c r="A1274" t="s">
        <v>2068</v>
      </c>
      <c r="B1274" s="5">
        <v>34073</v>
      </c>
      <c r="C1274" s="5" t="s">
        <v>6405</v>
      </c>
      <c r="E1274" t="s">
        <v>2507</v>
      </c>
      <c r="G1274" t="s">
        <v>6159</v>
      </c>
    </row>
    <row r="1275" spans="1:7" x14ac:dyDescent="0.25">
      <c r="A1275" t="s">
        <v>29</v>
      </c>
      <c r="B1275" s="5">
        <v>34090</v>
      </c>
      <c r="C1275" s="5" t="s">
        <v>6406</v>
      </c>
      <c r="E1275" t="s">
        <v>2509</v>
      </c>
      <c r="G1275" t="s">
        <v>6159</v>
      </c>
    </row>
    <row r="1276" spans="1:7" x14ac:dyDescent="0.25">
      <c r="A1276" t="s">
        <v>2406</v>
      </c>
      <c r="B1276" s="5">
        <v>33756</v>
      </c>
      <c r="C1276" s="5" t="s">
        <v>6407</v>
      </c>
      <c r="E1276" t="s">
        <v>2511</v>
      </c>
      <c r="G1276" t="s">
        <v>6159</v>
      </c>
    </row>
    <row r="1277" spans="1:7" x14ac:dyDescent="0.25">
      <c r="A1277" t="s">
        <v>37</v>
      </c>
      <c r="B1277" s="5">
        <v>34243</v>
      </c>
      <c r="C1277" s="5" t="s">
        <v>6408</v>
      </c>
      <c r="E1277" t="s">
        <v>2513</v>
      </c>
      <c r="G1277" t="s">
        <v>6159</v>
      </c>
    </row>
    <row r="1278" spans="1:7" x14ac:dyDescent="0.25">
      <c r="A1278" t="s">
        <v>349</v>
      </c>
      <c r="B1278" s="5">
        <v>35002</v>
      </c>
      <c r="C1278" s="5" t="s">
        <v>6409</v>
      </c>
      <c r="E1278" t="s">
        <v>2515</v>
      </c>
      <c r="G1278" t="s">
        <v>6159</v>
      </c>
    </row>
    <row r="1279" spans="1:7" x14ac:dyDescent="0.25">
      <c r="A1279" t="s">
        <v>295</v>
      </c>
      <c r="B1279" s="5">
        <v>34608</v>
      </c>
      <c r="C1279" s="5" t="s">
        <v>6410</v>
      </c>
      <c r="E1279" t="s">
        <v>2516</v>
      </c>
      <c r="G1279" t="s">
        <v>6159</v>
      </c>
    </row>
    <row r="1280" spans="1:7" x14ac:dyDescent="0.25">
      <c r="A1280" t="s">
        <v>2518</v>
      </c>
      <c r="B1280" s="5">
        <v>33757</v>
      </c>
      <c r="C1280" s="5" t="s">
        <v>6411</v>
      </c>
      <c r="E1280" t="s">
        <v>2519</v>
      </c>
      <c r="G1280" t="s">
        <v>6159</v>
      </c>
    </row>
    <row r="1281" spans="1:7" x14ac:dyDescent="0.25">
      <c r="A1281" t="s">
        <v>168</v>
      </c>
      <c r="B1281" s="5">
        <v>34997</v>
      </c>
      <c r="C1281" s="5" t="s">
        <v>6412</v>
      </c>
      <c r="E1281" t="s">
        <v>2520</v>
      </c>
      <c r="G1281" t="s">
        <v>6159</v>
      </c>
    </row>
    <row r="1282" spans="1:7" x14ac:dyDescent="0.25">
      <c r="A1282" t="s">
        <v>130</v>
      </c>
      <c r="B1282" s="5">
        <v>34608</v>
      </c>
      <c r="C1282" s="5" t="s">
        <v>6413</v>
      </c>
      <c r="E1282" t="s">
        <v>2522</v>
      </c>
      <c r="G1282" t="s">
        <v>6159</v>
      </c>
    </row>
    <row r="1283" spans="1:7" x14ac:dyDescent="0.25">
      <c r="A1283" t="s">
        <v>1573</v>
      </c>
      <c r="B1283" s="5">
        <v>34525</v>
      </c>
      <c r="C1283" s="5" t="s">
        <v>6414</v>
      </c>
      <c r="E1283" t="s">
        <v>2523</v>
      </c>
      <c r="G1283" t="s">
        <v>6159</v>
      </c>
    </row>
    <row r="1284" spans="1:7" x14ac:dyDescent="0.25">
      <c r="A1284" t="s">
        <v>267</v>
      </c>
      <c r="B1284" s="5">
        <v>34608</v>
      </c>
      <c r="C1284" s="5" t="s">
        <v>6415</v>
      </c>
      <c r="E1284" t="s">
        <v>2525</v>
      </c>
      <c r="G1284" t="s">
        <v>6159</v>
      </c>
    </row>
    <row r="1285" spans="1:7" x14ac:dyDescent="0.25">
      <c r="A1285" t="s">
        <v>23</v>
      </c>
      <c r="B1285" s="5">
        <v>34243</v>
      </c>
      <c r="C1285" s="5" t="s">
        <v>6416</v>
      </c>
      <c r="E1285" t="s">
        <v>2531</v>
      </c>
      <c r="G1285" t="s">
        <v>6159</v>
      </c>
    </row>
    <row r="1286" spans="1:7" x14ac:dyDescent="0.25">
      <c r="A1286" t="s">
        <v>2537</v>
      </c>
      <c r="B1286" s="5">
        <v>34990</v>
      </c>
      <c r="C1286" s="5" t="s">
        <v>6417</v>
      </c>
      <c r="E1286" t="s">
        <v>2538</v>
      </c>
      <c r="G1286" t="s">
        <v>6159</v>
      </c>
    </row>
    <row r="1287" spans="1:7" x14ac:dyDescent="0.25">
      <c r="A1287" t="s">
        <v>24</v>
      </c>
      <c r="B1287" s="5">
        <v>34998</v>
      </c>
      <c r="C1287" s="5" t="s">
        <v>6418</v>
      </c>
      <c r="E1287" t="s">
        <v>2542</v>
      </c>
      <c r="G1287" t="s">
        <v>6159</v>
      </c>
    </row>
    <row r="1288" spans="1:7" x14ac:dyDescent="0.25">
      <c r="A1288" t="s">
        <v>193</v>
      </c>
      <c r="B1288" s="5">
        <v>34243</v>
      </c>
      <c r="C1288" s="5" t="s">
        <v>6419</v>
      </c>
      <c r="E1288" t="s">
        <v>2545</v>
      </c>
      <c r="G1288" t="s">
        <v>6159</v>
      </c>
    </row>
    <row r="1289" spans="1:7" x14ac:dyDescent="0.25">
      <c r="A1289" t="s">
        <v>94</v>
      </c>
      <c r="B1289" s="5">
        <v>35207</v>
      </c>
      <c r="C1289" s="5" t="s">
        <v>6420</v>
      </c>
      <c r="E1289" t="s">
        <v>2546</v>
      </c>
      <c r="G1289" t="s">
        <v>6159</v>
      </c>
    </row>
    <row r="1290" spans="1:7" x14ac:dyDescent="0.25">
      <c r="A1290" t="s">
        <v>2550</v>
      </c>
      <c r="B1290" s="5">
        <v>34086</v>
      </c>
      <c r="C1290" s="5" t="s">
        <v>6421</v>
      </c>
      <c r="E1290" t="s">
        <v>2551</v>
      </c>
      <c r="G1290" t="s">
        <v>6159</v>
      </c>
    </row>
    <row r="1291" spans="1:7" x14ac:dyDescent="0.25">
      <c r="A1291" t="s">
        <v>295</v>
      </c>
      <c r="B1291" s="5">
        <v>35003</v>
      </c>
      <c r="C1291" s="5" t="s">
        <v>6422</v>
      </c>
      <c r="E1291" t="s">
        <v>2553</v>
      </c>
      <c r="G1291" t="s">
        <v>6159</v>
      </c>
    </row>
    <row r="1292" spans="1:7" x14ac:dyDescent="0.25">
      <c r="A1292" t="s">
        <v>23</v>
      </c>
      <c r="B1292" s="5">
        <v>34304</v>
      </c>
      <c r="C1292" s="5" t="s">
        <v>6423</v>
      </c>
      <c r="E1292" t="s">
        <v>2555</v>
      </c>
      <c r="G1292" t="s">
        <v>6159</v>
      </c>
    </row>
    <row r="1293" spans="1:7" x14ac:dyDescent="0.25">
      <c r="A1293" t="s">
        <v>295</v>
      </c>
      <c r="B1293" s="5">
        <v>34243</v>
      </c>
      <c r="C1293" s="5" t="s">
        <v>6424</v>
      </c>
      <c r="E1293" t="s">
        <v>2559</v>
      </c>
      <c r="G1293" t="s">
        <v>6159</v>
      </c>
    </row>
    <row r="1294" spans="1:7" x14ac:dyDescent="0.25">
      <c r="A1294" t="s">
        <v>2269</v>
      </c>
      <c r="B1294" s="5">
        <v>33724</v>
      </c>
      <c r="C1294" s="5" t="s">
        <v>6425</v>
      </c>
      <c r="E1294" t="s">
        <v>2560</v>
      </c>
      <c r="G1294" t="s">
        <v>6159</v>
      </c>
    </row>
    <row r="1295" spans="1:7" x14ac:dyDescent="0.25">
      <c r="A1295" t="s">
        <v>193</v>
      </c>
      <c r="B1295" s="5">
        <v>35010</v>
      </c>
      <c r="C1295" s="5" t="s">
        <v>6426</v>
      </c>
      <c r="E1295" t="s">
        <v>2569</v>
      </c>
      <c r="G1295" t="s">
        <v>6159</v>
      </c>
    </row>
    <row r="1296" spans="1:7" x14ac:dyDescent="0.25">
      <c r="A1296" t="s">
        <v>274</v>
      </c>
      <c r="B1296" s="5">
        <v>34983</v>
      </c>
      <c r="C1296" s="5" t="s">
        <v>6427</v>
      </c>
      <c r="E1296" t="s">
        <v>2575</v>
      </c>
      <c r="G1296" t="s">
        <v>6159</v>
      </c>
    </row>
    <row r="1297" spans="1:7" x14ac:dyDescent="0.25">
      <c r="A1297" t="s">
        <v>2269</v>
      </c>
      <c r="B1297" s="5">
        <v>34991</v>
      </c>
      <c r="C1297" s="5" t="s">
        <v>6428</v>
      </c>
      <c r="E1297" t="s">
        <v>2576</v>
      </c>
      <c r="G1297" t="s">
        <v>6159</v>
      </c>
    </row>
    <row r="1298" spans="1:7" x14ac:dyDescent="0.25">
      <c r="A1298" t="s">
        <v>260</v>
      </c>
      <c r="B1298" s="5">
        <v>35011</v>
      </c>
      <c r="C1298" s="5" t="s">
        <v>6429</v>
      </c>
      <c r="E1298" t="s">
        <v>2577</v>
      </c>
      <c r="G1298" t="s">
        <v>6159</v>
      </c>
    </row>
    <row r="1299" spans="1:7" x14ac:dyDescent="0.25">
      <c r="A1299" t="s">
        <v>274</v>
      </c>
      <c r="B1299" s="5">
        <v>34304</v>
      </c>
      <c r="C1299" s="5" t="s">
        <v>6430</v>
      </c>
      <c r="E1299" t="s">
        <v>2578</v>
      </c>
      <c r="G1299" t="s">
        <v>6159</v>
      </c>
    </row>
    <row r="1300" spans="1:7" x14ac:dyDescent="0.25">
      <c r="A1300" t="s">
        <v>2580</v>
      </c>
      <c r="B1300" s="5">
        <v>34990</v>
      </c>
      <c r="C1300" s="5" t="s">
        <v>6431</v>
      </c>
      <c r="E1300" t="s">
        <v>2581</v>
      </c>
      <c r="G1300" t="s">
        <v>6159</v>
      </c>
    </row>
    <row r="1301" spans="1:7" x14ac:dyDescent="0.25">
      <c r="A1301" t="s">
        <v>2583</v>
      </c>
      <c r="B1301" s="5">
        <v>33709</v>
      </c>
      <c r="C1301" s="5" t="s">
        <v>6432</v>
      </c>
      <c r="E1301" t="s">
        <v>2584</v>
      </c>
      <c r="G1301" t="s">
        <v>6159</v>
      </c>
    </row>
    <row r="1302" spans="1:7" x14ac:dyDescent="0.25">
      <c r="A1302" t="s">
        <v>287</v>
      </c>
      <c r="B1302" s="5">
        <v>34970</v>
      </c>
      <c r="C1302" s="5" t="s">
        <v>6433</v>
      </c>
      <c r="E1302" t="s">
        <v>2585</v>
      </c>
      <c r="G1302" t="s">
        <v>6159</v>
      </c>
    </row>
    <row r="1303" spans="1:7" x14ac:dyDescent="0.25">
      <c r="A1303" t="s">
        <v>307</v>
      </c>
      <c r="B1303" s="5">
        <v>34967</v>
      </c>
      <c r="C1303" s="5" t="s">
        <v>6434</v>
      </c>
      <c r="E1303" t="s">
        <v>2587</v>
      </c>
      <c r="G1303" t="s">
        <v>6159</v>
      </c>
    </row>
    <row r="1304" spans="1:7" x14ac:dyDescent="0.25">
      <c r="A1304" t="s">
        <v>264</v>
      </c>
      <c r="B1304" s="5">
        <v>34984</v>
      </c>
      <c r="C1304" s="5" t="s">
        <v>6435</v>
      </c>
      <c r="E1304" t="s">
        <v>2588</v>
      </c>
      <c r="G1304" t="s">
        <v>6159</v>
      </c>
    </row>
    <row r="1305" spans="1:7" x14ac:dyDescent="0.25">
      <c r="A1305" t="s">
        <v>261</v>
      </c>
      <c r="B1305" s="5">
        <v>34967</v>
      </c>
      <c r="C1305" s="5" t="s">
        <v>6436</v>
      </c>
      <c r="E1305" t="s">
        <v>2589</v>
      </c>
      <c r="G1305" t="s">
        <v>6159</v>
      </c>
    </row>
    <row r="1306" spans="1:7" x14ac:dyDescent="0.25">
      <c r="A1306" t="s">
        <v>2441</v>
      </c>
      <c r="B1306" s="5">
        <v>33765</v>
      </c>
      <c r="C1306" s="5" t="s">
        <v>6437</v>
      </c>
      <c r="E1306" t="s">
        <v>2592</v>
      </c>
      <c r="G1306" t="s">
        <v>6159</v>
      </c>
    </row>
    <row r="1307" spans="1:7" x14ac:dyDescent="0.25">
      <c r="A1307" t="s">
        <v>1519</v>
      </c>
      <c r="B1307" s="5">
        <v>33778</v>
      </c>
      <c r="C1307" s="5" t="s">
        <v>6438</v>
      </c>
      <c r="E1307" t="s">
        <v>2594</v>
      </c>
      <c r="G1307" t="s">
        <v>6159</v>
      </c>
    </row>
    <row r="1308" spans="1:7" x14ac:dyDescent="0.25">
      <c r="A1308" t="s">
        <v>276</v>
      </c>
      <c r="B1308" s="5">
        <v>34992</v>
      </c>
      <c r="C1308" s="5" t="s">
        <v>6439</v>
      </c>
      <c r="E1308" t="s">
        <v>2595</v>
      </c>
      <c r="G1308" t="s">
        <v>6159</v>
      </c>
    </row>
    <row r="1309" spans="1:7" x14ac:dyDescent="0.25">
      <c r="A1309" t="s">
        <v>271</v>
      </c>
      <c r="B1309" s="5">
        <v>34304</v>
      </c>
      <c r="C1309" s="5" t="s">
        <v>6440</v>
      </c>
      <c r="E1309" t="s">
        <v>2601</v>
      </c>
      <c r="G1309" t="s">
        <v>6159</v>
      </c>
    </row>
    <row r="1310" spans="1:7" x14ac:dyDescent="0.25">
      <c r="A1310" t="s">
        <v>2607</v>
      </c>
      <c r="B1310" s="5">
        <v>34989</v>
      </c>
      <c r="C1310" s="5" t="s">
        <v>6441</v>
      </c>
      <c r="E1310" t="s">
        <v>2608</v>
      </c>
      <c r="G1310" t="s">
        <v>6159</v>
      </c>
    </row>
    <row r="1311" spans="1:7" x14ac:dyDescent="0.25">
      <c r="A1311" t="s">
        <v>1375</v>
      </c>
      <c r="B1311" s="5">
        <v>34074</v>
      </c>
      <c r="C1311" s="5" t="s">
        <v>6442</v>
      </c>
      <c r="E1311" t="s">
        <v>2609</v>
      </c>
      <c r="G1311" t="s">
        <v>6159</v>
      </c>
    </row>
    <row r="1312" spans="1:7" x14ac:dyDescent="0.25">
      <c r="A1312" t="s">
        <v>131</v>
      </c>
      <c r="B1312" s="5">
        <v>34975</v>
      </c>
      <c r="C1312" s="5" t="s">
        <v>6443</v>
      </c>
      <c r="E1312" t="s">
        <v>2610</v>
      </c>
      <c r="G1312" t="s">
        <v>6159</v>
      </c>
    </row>
    <row r="1313" spans="1:7" x14ac:dyDescent="0.25">
      <c r="A1313" t="s">
        <v>210</v>
      </c>
      <c r="B1313" s="5">
        <v>34243</v>
      </c>
      <c r="C1313" s="5" t="s">
        <v>6444</v>
      </c>
      <c r="E1313" t="s">
        <v>2614</v>
      </c>
      <c r="G1313" t="s">
        <v>6159</v>
      </c>
    </row>
    <row r="1314" spans="1:7" x14ac:dyDescent="0.25">
      <c r="A1314" t="s">
        <v>195</v>
      </c>
      <c r="B1314" s="5">
        <v>34243</v>
      </c>
      <c r="C1314" s="5" t="s">
        <v>6445</v>
      </c>
      <c r="E1314" t="s">
        <v>2615</v>
      </c>
      <c r="G1314" t="s">
        <v>6159</v>
      </c>
    </row>
    <row r="1315" spans="1:7" x14ac:dyDescent="0.25">
      <c r="A1315" t="s">
        <v>271</v>
      </c>
      <c r="B1315" s="5">
        <v>34608</v>
      </c>
      <c r="C1315" s="5" t="s">
        <v>6446</v>
      </c>
      <c r="E1315" t="s">
        <v>2622</v>
      </c>
      <c r="G1315" t="s">
        <v>6159</v>
      </c>
    </row>
    <row r="1316" spans="1:7" x14ac:dyDescent="0.25">
      <c r="A1316" t="s">
        <v>40</v>
      </c>
      <c r="B1316" s="5">
        <v>34243</v>
      </c>
      <c r="C1316" s="5" t="s">
        <v>6447</v>
      </c>
      <c r="E1316" t="s">
        <v>2625</v>
      </c>
      <c r="G1316" t="s">
        <v>6159</v>
      </c>
    </row>
    <row r="1317" spans="1:7" x14ac:dyDescent="0.25">
      <c r="A1317" t="s">
        <v>2269</v>
      </c>
      <c r="B1317" s="5">
        <v>33973</v>
      </c>
      <c r="C1317" s="5" t="s">
        <v>6448</v>
      </c>
      <c r="E1317" t="s">
        <v>2627</v>
      </c>
      <c r="G1317" t="s">
        <v>6159</v>
      </c>
    </row>
    <row r="1318" spans="1:7" x14ac:dyDescent="0.25">
      <c r="A1318" t="s">
        <v>2628</v>
      </c>
      <c r="B1318" s="5">
        <v>34989</v>
      </c>
      <c r="C1318" s="5" t="s">
        <v>6449</v>
      </c>
      <c r="E1318" t="s">
        <v>2629</v>
      </c>
      <c r="G1318" t="s">
        <v>6159</v>
      </c>
    </row>
    <row r="1319" spans="1:7" x14ac:dyDescent="0.25">
      <c r="A1319" t="s">
        <v>274</v>
      </c>
      <c r="B1319" s="5">
        <v>34243</v>
      </c>
      <c r="C1319" s="5" t="s">
        <v>6450</v>
      </c>
      <c r="E1319" t="s">
        <v>2639</v>
      </c>
      <c r="G1319" t="s">
        <v>6159</v>
      </c>
    </row>
    <row r="1320" spans="1:7" x14ac:dyDescent="0.25">
      <c r="A1320" t="s">
        <v>26</v>
      </c>
      <c r="B1320" s="5">
        <v>34988</v>
      </c>
      <c r="C1320" s="5" t="s">
        <v>6451</v>
      </c>
      <c r="E1320" t="s">
        <v>2650</v>
      </c>
      <c r="G1320" t="s">
        <v>6159</v>
      </c>
    </row>
    <row r="1321" spans="1:7" x14ac:dyDescent="0.25">
      <c r="A1321" t="s">
        <v>258</v>
      </c>
      <c r="B1321" s="5">
        <v>34996</v>
      </c>
      <c r="C1321" s="5" t="s">
        <v>6452</v>
      </c>
      <c r="E1321" t="s">
        <v>2664</v>
      </c>
      <c r="G1321" t="s">
        <v>6159</v>
      </c>
    </row>
    <row r="1322" spans="1:7" x14ac:dyDescent="0.25">
      <c r="A1322" t="s">
        <v>49</v>
      </c>
      <c r="B1322" s="5">
        <v>34989</v>
      </c>
      <c r="C1322" s="5" t="s">
        <v>6453</v>
      </c>
      <c r="E1322" t="s">
        <v>2665</v>
      </c>
      <c r="G1322" t="s">
        <v>6159</v>
      </c>
    </row>
    <row r="1323" spans="1:7" x14ac:dyDescent="0.25">
      <c r="A1323" t="s">
        <v>248</v>
      </c>
      <c r="B1323" s="5">
        <v>34969</v>
      </c>
      <c r="C1323" s="5" t="s">
        <v>6454</v>
      </c>
      <c r="E1323" t="s">
        <v>2672</v>
      </c>
      <c r="G1323" t="s">
        <v>6159</v>
      </c>
    </row>
    <row r="1324" spans="1:7" x14ac:dyDescent="0.25">
      <c r="A1324" t="s">
        <v>261</v>
      </c>
      <c r="B1324" s="5">
        <v>34608</v>
      </c>
      <c r="C1324" s="5" t="s">
        <v>6455</v>
      </c>
      <c r="E1324" t="s">
        <v>2678</v>
      </c>
      <c r="G1324" t="s">
        <v>6159</v>
      </c>
    </row>
    <row r="1325" spans="1:7" x14ac:dyDescent="0.25">
      <c r="A1325" t="s">
        <v>49</v>
      </c>
      <c r="B1325" s="5">
        <v>34243</v>
      </c>
      <c r="C1325" s="5" t="s">
        <v>6456</v>
      </c>
      <c r="E1325" t="s">
        <v>2679</v>
      </c>
      <c r="G1325" t="s">
        <v>6159</v>
      </c>
    </row>
    <row r="1326" spans="1:7" x14ac:dyDescent="0.25">
      <c r="A1326" t="s">
        <v>209</v>
      </c>
      <c r="B1326" s="5">
        <v>35012</v>
      </c>
      <c r="C1326" s="5" t="s">
        <v>6457</v>
      </c>
      <c r="E1326" t="s">
        <v>2687</v>
      </c>
      <c r="G1326" t="s">
        <v>6159</v>
      </c>
    </row>
    <row r="1327" spans="1:7" x14ac:dyDescent="0.25">
      <c r="A1327" t="s">
        <v>261</v>
      </c>
      <c r="B1327" s="5">
        <v>34243</v>
      </c>
      <c r="C1327" s="5" t="s">
        <v>6458</v>
      </c>
      <c r="E1327" t="s">
        <v>2690</v>
      </c>
      <c r="G1327" t="s">
        <v>6159</v>
      </c>
    </row>
    <row r="1328" spans="1:7" x14ac:dyDescent="0.25">
      <c r="A1328" t="s">
        <v>306</v>
      </c>
      <c r="B1328" s="5">
        <v>35004</v>
      </c>
      <c r="C1328" s="5" t="s">
        <v>6459</v>
      </c>
      <c r="E1328" t="s">
        <v>2691</v>
      </c>
      <c r="G1328" t="s">
        <v>6159</v>
      </c>
    </row>
    <row r="1329" spans="1:7" x14ac:dyDescent="0.25">
      <c r="A1329" t="s">
        <v>2333</v>
      </c>
      <c r="B1329" s="5">
        <v>34814</v>
      </c>
      <c r="C1329" s="5" t="s">
        <v>6460</v>
      </c>
      <c r="E1329" t="s">
        <v>2692</v>
      </c>
      <c r="G1329" t="s">
        <v>6159</v>
      </c>
    </row>
    <row r="1330" spans="1:7" x14ac:dyDescent="0.25">
      <c r="A1330" t="s">
        <v>304</v>
      </c>
      <c r="B1330" s="5">
        <v>34975</v>
      </c>
      <c r="C1330" s="5" t="s">
        <v>6461</v>
      </c>
      <c r="E1330" t="s">
        <v>2696</v>
      </c>
      <c r="G1330" t="s">
        <v>6159</v>
      </c>
    </row>
    <row r="1331" spans="1:7" x14ac:dyDescent="0.25">
      <c r="A1331" t="s">
        <v>1375</v>
      </c>
      <c r="B1331" s="5">
        <v>33719</v>
      </c>
      <c r="C1331" s="5" t="s">
        <v>6462</v>
      </c>
      <c r="E1331" t="s">
        <v>2697</v>
      </c>
      <c r="G1331" t="s">
        <v>6159</v>
      </c>
    </row>
    <row r="1332" spans="1:7" x14ac:dyDescent="0.25">
      <c r="A1332" t="s">
        <v>2698</v>
      </c>
      <c r="B1332" s="5">
        <v>34990</v>
      </c>
      <c r="C1332" s="5" t="s">
        <v>6463</v>
      </c>
      <c r="E1332" t="s">
        <v>2699</v>
      </c>
      <c r="G1332" t="s">
        <v>6159</v>
      </c>
    </row>
    <row r="1333" spans="1:7" x14ac:dyDescent="0.25">
      <c r="A1333" t="s">
        <v>274</v>
      </c>
      <c r="B1333" s="5">
        <v>34608</v>
      </c>
      <c r="C1333" s="5" t="s">
        <v>6464</v>
      </c>
      <c r="E1333" t="s">
        <v>2704</v>
      </c>
      <c r="G1333" t="s">
        <v>6159</v>
      </c>
    </row>
    <row r="1334" spans="1:7" x14ac:dyDescent="0.25">
      <c r="A1334" t="s">
        <v>2707</v>
      </c>
      <c r="B1334" s="5">
        <v>34814</v>
      </c>
      <c r="C1334" s="5" t="s">
        <v>6465</v>
      </c>
      <c r="E1334" t="s">
        <v>2708</v>
      </c>
      <c r="G1334" t="s">
        <v>6159</v>
      </c>
    </row>
    <row r="1335" spans="1:7" x14ac:dyDescent="0.25">
      <c r="A1335" t="s">
        <v>271</v>
      </c>
      <c r="B1335" s="5">
        <v>34243</v>
      </c>
      <c r="C1335" s="5" t="s">
        <v>6466</v>
      </c>
      <c r="E1335" t="s">
        <v>2710</v>
      </c>
      <c r="G1335" t="s">
        <v>6159</v>
      </c>
    </row>
    <row r="1336" spans="1:7" x14ac:dyDescent="0.25">
      <c r="A1336" t="s">
        <v>293</v>
      </c>
      <c r="B1336" s="5">
        <v>35011</v>
      </c>
      <c r="C1336" s="5" t="s">
        <v>6467</v>
      </c>
      <c r="E1336" t="s">
        <v>2711</v>
      </c>
      <c r="G1336" t="s">
        <v>6159</v>
      </c>
    </row>
    <row r="1337" spans="1:7" x14ac:dyDescent="0.25">
      <c r="A1337" t="s">
        <v>320</v>
      </c>
      <c r="B1337" s="5">
        <v>41430</v>
      </c>
      <c r="C1337" s="5" t="s">
        <v>6468</v>
      </c>
      <c r="E1337" t="s">
        <v>2712</v>
      </c>
      <c r="G1337" t="s">
        <v>6159</v>
      </c>
    </row>
    <row r="1338" spans="1:7" x14ac:dyDescent="0.25">
      <c r="A1338" t="s">
        <v>273</v>
      </c>
      <c r="B1338" s="5">
        <v>41176</v>
      </c>
      <c r="C1338" s="5" t="s">
        <v>6469</v>
      </c>
      <c r="E1338" t="s">
        <v>2713</v>
      </c>
      <c r="G1338" t="s">
        <v>6159</v>
      </c>
    </row>
    <row r="1339" spans="1:7" x14ac:dyDescent="0.25">
      <c r="A1339" t="s">
        <v>219</v>
      </c>
      <c r="B1339" s="5">
        <v>41331</v>
      </c>
      <c r="C1339" s="5" t="s">
        <v>6470</v>
      </c>
      <c r="E1339" t="s">
        <v>2714</v>
      </c>
      <c r="G1339" t="s">
        <v>6159</v>
      </c>
    </row>
    <row r="1340" spans="1:7" x14ac:dyDescent="0.25">
      <c r="A1340" t="s">
        <v>350</v>
      </c>
      <c r="B1340" s="5">
        <v>41430</v>
      </c>
      <c r="C1340" s="5" t="s">
        <v>6471</v>
      </c>
      <c r="E1340" t="s">
        <v>2715</v>
      </c>
      <c r="G1340" t="s">
        <v>6159</v>
      </c>
    </row>
    <row r="1341" spans="1:7" x14ac:dyDescent="0.25">
      <c r="A1341" t="s">
        <v>111</v>
      </c>
      <c r="B1341" s="5">
        <v>41443</v>
      </c>
      <c r="C1341" s="5" t="s">
        <v>6472</v>
      </c>
      <c r="E1341" t="s">
        <v>2716</v>
      </c>
      <c r="G1341" t="s">
        <v>6159</v>
      </c>
    </row>
    <row r="1342" spans="1:7" x14ac:dyDescent="0.25">
      <c r="A1342" t="s">
        <v>2717</v>
      </c>
      <c r="B1342" s="5">
        <v>35586</v>
      </c>
      <c r="C1342" s="5" t="s">
        <v>6473</v>
      </c>
      <c r="E1342" t="s">
        <v>2718</v>
      </c>
      <c r="G1342" t="s">
        <v>6159</v>
      </c>
    </row>
    <row r="1343" spans="1:7" x14ac:dyDescent="0.25">
      <c r="A1343" t="s">
        <v>2719</v>
      </c>
      <c r="B1343" s="5">
        <v>36089</v>
      </c>
      <c r="C1343" s="5" t="s">
        <v>6474</v>
      </c>
      <c r="E1343" t="s">
        <v>2720</v>
      </c>
      <c r="G1343" t="s">
        <v>6159</v>
      </c>
    </row>
    <row r="1344" spans="1:7" x14ac:dyDescent="0.25">
      <c r="A1344" t="s">
        <v>94</v>
      </c>
      <c r="B1344" s="5">
        <v>41121</v>
      </c>
      <c r="C1344" s="5" t="s">
        <v>6475</v>
      </c>
      <c r="E1344" t="s">
        <v>2721</v>
      </c>
      <c r="G1344" t="s">
        <v>6159</v>
      </c>
    </row>
    <row r="1345" spans="1:7" x14ac:dyDescent="0.25">
      <c r="A1345" t="s">
        <v>1577</v>
      </c>
      <c r="B1345" s="5">
        <v>35927</v>
      </c>
      <c r="C1345" s="5" t="s">
        <v>6476</v>
      </c>
      <c r="E1345" t="s">
        <v>2722</v>
      </c>
      <c r="G1345" t="s">
        <v>6159</v>
      </c>
    </row>
    <row r="1346" spans="1:7" x14ac:dyDescent="0.25">
      <c r="A1346" t="s">
        <v>2079</v>
      </c>
      <c r="B1346" s="5">
        <v>35928</v>
      </c>
      <c r="C1346" s="5" t="s">
        <v>6477</v>
      </c>
      <c r="E1346" t="s">
        <v>2725</v>
      </c>
      <c r="G1346" t="s">
        <v>6159</v>
      </c>
    </row>
    <row r="1347" spans="1:7" x14ac:dyDescent="0.25">
      <c r="A1347" t="s">
        <v>2726</v>
      </c>
      <c r="B1347" s="5">
        <v>35587</v>
      </c>
      <c r="C1347" s="5" t="s">
        <v>6478</v>
      </c>
      <c r="E1347" t="s">
        <v>2727</v>
      </c>
      <c r="G1347" t="s">
        <v>6159</v>
      </c>
    </row>
    <row r="1348" spans="1:7" x14ac:dyDescent="0.25">
      <c r="A1348" t="s">
        <v>1577</v>
      </c>
      <c r="B1348" s="5">
        <v>36090</v>
      </c>
      <c r="C1348" s="5" t="s">
        <v>6479</v>
      </c>
      <c r="E1348" t="s">
        <v>2728</v>
      </c>
      <c r="G1348" t="s">
        <v>6159</v>
      </c>
    </row>
    <row r="1349" spans="1:7" x14ac:dyDescent="0.25">
      <c r="A1349" t="s">
        <v>87</v>
      </c>
      <c r="B1349" s="5">
        <v>41120</v>
      </c>
      <c r="C1349" s="5" t="s">
        <v>6480</v>
      </c>
      <c r="E1349" t="s">
        <v>2729</v>
      </c>
      <c r="G1349" t="s">
        <v>6159</v>
      </c>
    </row>
    <row r="1350" spans="1:7" x14ac:dyDescent="0.25">
      <c r="A1350" t="s">
        <v>1530</v>
      </c>
      <c r="B1350" s="5">
        <v>35587</v>
      </c>
      <c r="C1350" s="5" t="s">
        <v>6481</v>
      </c>
      <c r="E1350" t="s">
        <v>2730</v>
      </c>
      <c r="G1350" t="s">
        <v>6159</v>
      </c>
    </row>
    <row r="1351" spans="1:7" x14ac:dyDescent="0.25">
      <c r="A1351" t="s">
        <v>52</v>
      </c>
      <c r="B1351" s="5">
        <v>36089</v>
      </c>
      <c r="C1351" s="5" t="s">
        <v>6482</v>
      </c>
      <c r="E1351" t="s">
        <v>2731</v>
      </c>
      <c r="G1351" t="s">
        <v>6159</v>
      </c>
    </row>
    <row r="1352" spans="1:7" x14ac:dyDescent="0.25">
      <c r="A1352" t="s">
        <v>2056</v>
      </c>
      <c r="B1352" s="5">
        <v>36066</v>
      </c>
      <c r="C1352" s="5" t="s">
        <v>6483</v>
      </c>
      <c r="E1352" t="s">
        <v>2734</v>
      </c>
      <c r="G1352" t="s">
        <v>6159</v>
      </c>
    </row>
    <row r="1353" spans="1:7" x14ac:dyDescent="0.25">
      <c r="A1353" t="s">
        <v>2735</v>
      </c>
      <c r="B1353" s="5">
        <v>36067</v>
      </c>
      <c r="C1353" s="5" t="s">
        <v>6484</v>
      </c>
      <c r="E1353" t="s">
        <v>2736</v>
      </c>
      <c r="G1353" t="s">
        <v>6159</v>
      </c>
    </row>
    <row r="1354" spans="1:7" x14ac:dyDescent="0.25">
      <c r="A1354" t="s">
        <v>2717</v>
      </c>
      <c r="B1354" s="5">
        <v>35928</v>
      </c>
      <c r="C1354" s="5" t="s">
        <v>6485</v>
      </c>
      <c r="E1354" t="s">
        <v>2737</v>
      </c>
      <c r="G1354" t="s">
        <v>6159</v>
      </c>
    </row>
    <row r="1355" spans="1:7" x14ac:dyDescent="0.25">
      <c r="A1355" t="s">
        <v>2717</v>
      </c>
      <c r="B1355" s="5">
        <v>36088</v>
      </c>
      <c r="C1355" s="5" t="s">
        <v>6486</v>
      </c>
      <c r="E1355" t="s">
        <v>2739</v>
      </c>
      <c r="G1355" t="s">
        <v>6159</v>
      </c>
    </row>
    <row r="1356" spans="1:7" x14ac:dyDescent="0.25">
      <c r="A1356" t="s">
        <v>2079</v>
      </c>
      <c r="B1356" s="5">
        <v>36088</v>
      </c>
      <c r="C1356" s="5" t="s">
        <v>6487</v>
      </c>
      <c r="E1356" t="s">
        <v>2740</v>
      </c>
      <c r="G1356" t="s">
        <v>6159</v>
      </c>
    </row>
    <row r="1357" spans="1:7" x14ac:dyDescent="0.25">
      <c r="A1357" t="s">
        <v>2719</v>
      </c>
      <c r="B1357" s="5">
        <v>35928</v>
      </c>
      <c r="C1357" s="5" t="s">
        <v>6488</v>
      </c>
      <c r="E1357" t="s">
        <v>2742</v>
      </c>
      <c r="G1357" t="s">
        <v>6159</v>
      </c>
    </row>
    <row r="1358" spans="1:7" x14ac:dyDescent="0.25">
      <c r="A1358" t="s">
        <v>2056</v>
      </c>
      <c r="B1358" s="5">
        <v>36066</v>
      </c>
      <c r="C1358" s="5" t="s">
        <v>6483</v>
      </c>
      <c r="E1358" t="s">
        <v>2734</v>
      </c>
      <c r="G1358" t="s">
        <v>6159</v>
      </c>
    </row>
    <row r="1359" spans="1:7" x14ac:dyDescent="0.25">
      <c r="A1359" t="s">
        <v>2745</v>
      </c>
      <c r="B1359" s="5">
        <v>35588</v>
      </c>
      <c r="C1359" s="5" t="s">
        <v>6489</v>
      </c>
      <c r="E1359" t="s">
        <v>2746</v>
      </c>
      <c r="G1359" t="s">
        <v>6159</v>
      </c>
    </row>
    <row r="1360" spans="1:7" x14ac:dyDescent="0.25">
      <c r="A1360" t="s">
        <v>2747</v>
      </c>
      <c r="B1360" s="5">
        <v>35928</v>
      </c>
      <c r="C1360" s="5" t="s">
        <v>6490</v>
      </c>
      <c r="E1360" t="s">
        <v>2748</v>
      </c>
      <c r="G1360" t="s">
        <v>6159</v>
      </c>
    </row>
    <row r="1361" spans="1:7" x14ac:dyDescent="0.25">
      <c r="A1361" t="s">
        <v>86</v>
      </c>
      <c r="B1361" s="5">
        <v>35950</v>
      </c>
      <c r="C1361" s="5" t="s">
        <v>6491</v>
      </c>
      <c r="E1361" t="s">
        <v>2749</v>
      </c>
      <c r="G1361" t="s">
        <v>6159</v>
      </c>
    </row>
    <row r="1362" spans="1:7" x14ac:dyDescent="0.25">
      <c r="A1362" t="s">
        <v>2747</v>
      </c>
      <c r="B1362" s="5">
        <v>35586</v>
      </c>
      <c r="C1362" s="5" t="s">
        <v>6492</v>
      </c>
      <c r="E1362" t="s">
        <v>2750</v>
      </c>
      <c r="G1362" t="s">
        <v>6159</v>
      </c>
    </row>
    <row r="1363" spans="1:7" x14ac:dyDescent="0.25">
      <c r="A1363" t="s">
        <v>2719</v>
      </c>
      <c r="B1363" s="5">
        <v>35586</v>
      </c>
      <c r="C1363" s="5" t="s">
        <v>6493</v>
      </c>
      <c r="E1363" t="s">
        <v>2751</v>
      </c>
      <c r="G1363" t="s">
        <v>6159</v>
      </c>
    </row>
    <row r="1364" spans="1:7" x14ac:dyDescent="0.25">
      <c r="A1364" t="s">
        <v>2079</v>
      </c>
      <c r="B1364" s="5">
        <v>35585</v>
      </c>
      <c r="C1364" s="5" t="s">
        <v>6494</v>
      </c>
      <c r="E1364" t="s">
        <v>2752</v>
      </c>
      <c r="G1364" t="s">
        <v>6159</v>
      </c>
    </row>
    <row r="1365" spans="1:7" x14ac:dyDescent="0.25">
      <c r="A1365" t="s">
        <v>2726</v>
      </c>
      <c r="B1365" s="5">
        <v>35930</v>
      </c>
      <c r="C1365" s="5" t="s">
        <v>6495</v>
      </c>
      <c r="E1365" t="s">
        <v>2753</v>
      </c>
      <c r="G1365" t="s">
        <v>6159</v>
      </c>
    </row>
    <row r="1366" spans="1:7" x14ac:dyDescent="0.25">
      <c r="A1366" t="s">
        <v>1577</v>
      </c>
      <c r="B1366" s="5">
        <v>35589</v>
      </c>
      <c r="C1366" s="5" t="s">
        <v>6496</v>
      </c>
      <c r="E1366" t="s">
        <v>2754</v>
      </c>
      <c r="G1366" t="s">
        <v>6159</v>
      </c>
    </row>
    <row r="1367" spans="1:7" x14ac:dyDescent="0.25">
      <c r="A1367" t="s">
        <v>2726</v>
      </c>
      <c r="B1367" s="5">
        <v>36089</v>
      </c>
      <c r="C1367" s="5" t="s">
        <v>6497</v>
      </c>
      <c r="E1367" t="s">
        <v>2755</v>
      </c>
      <c r="G1367" t="s">
        <v>6159</v>
      </c>
    </row>
    <row r="1368" spans="1:7" x14ac:dyDescent="0.25">
      <c r="A1368" t="s">
        <v>2747</v>
      </c>
      <c r="B1368" s="5">
        <v>36088</v>
      </c>
      <c r="C1368" s="5" t="s">
        <v>6498</v>
      </c>
      <c r="E1368" t="s">
        <v>2756</v>
      </c>
      <c r="G1368" t="s">
        <v>6159</v>
      </c>
    </row>
    <row r="1369" spans="1:7" x14ac:dyDescent="0.25">
      <c r="A1369" t="s">
        <v>2757</v>
      </c>
      <c r="B1369" s="5">
        <v>36068</v>
      </c>
      <c r="C1369" s="5" t="s">
        <v>6499</v>
      </c>
      <c r="E1369" t="s">
        <v>2758</v>
      </c>
      <c r="G1369" t="s">
        <v>6159</v>
      </c>
    </row>
    <row r="1370" spans="1:7" x14ac:dyDescent="0.25">
      <c r="A1370" t="s">
        <v>2759</v>
      </c>
      <c r="B1370" s="5">
        <v>36067</v>
      </c>
      <c r="C1370" s="5" t="s">
        <v>6500</v>
      </c>
      <c r="E1370" t="s">
        <v>2760</v>
      </c>
      <c r="G1370" t="s">
        <v>6159</v>
      </c>
    </row>
    <row r="1371" spans="1:7" x14ac:dyDescent="0.25">
      <c r="A1371" t="s">
        <v>2761</v>
      </c>
      <c r="B1371" s="5">
        <v>36067</v>
      </c>
      <c r="C1371" s="5" t="s">
        <v>6501</v>
      </c>
      <c r="E1371" t="s">
        <v>2762</v>
      </c>
      <c r="G1371" t="s">
        <v>6159</v>
      </c>
    </row>
    <row r="1372" spans="1:7" x14ac:dyDescent="0.25">
      <c r="A1372" t="s">
        <v>190</v>
      </c>
      <c r="B1372" s="5">
        <v>41184</v>
      </c>
      <c r="C1372" s="5" t="s">
        <v>6502</v>
      </c>
      <c r="E1372" t="s">
        <v>2763</v>
      </c>
      <c r="G1372" t="s">
        <v>6159</v>
      </c>
    </row>
    <row r="1373" spans="1:7" x14ac:dyDescent="0.25">
      <c r="A1373" t="s">
        <v>375</v>
      </c>
      <c r="B1373" s="5">
        <v>41192</v>
      </c>
      <c r="C1373" s="5" t="s">
        <v>6503</v>
      </c>
      <c r="E1373" t="s">
        <v>2764</v>
      </c>
      <c r="G1373" t="s">
        <v>6159</v>
      </c>
    </row>
    <row r="1374" spans="1:7" x14ac:dyDescent="0.25">
      <c r="A1374" t="s">
        <v>180</v>
      </c>
      <c r="B1374" s="5">
        <v>41121</v>
      </c>
      <c r="C1374" s="5" t="s">
        <v>6504</v>
      </c>
      <c r="E1374" t="s">
        <v>2765</v>
      </c>
      <c r="G1374" t="s">
        <v>6159</v>
      </c>
    </row>
    <row r="1375" spans="1:7" x14ac:dyDescent="0.25">
      <c r="A1375" t="s">
        <v>153</v>
      </c>
      <c r="B1375" s="5">
        <v>41122</v>
      </c>
      <c r="C1375" s="5" t="s">
        <v>6505</v>
      </c>
      <c r="E1375" t="s">
        <v>2766</v>
      </c>
      <c r="G1375" t="s">
        <v>6159</v>
      </c>
    </row>
    <row r="1376" spans="1:7" x14ac:dyDescent="0.25">
      <c r="A1376" t="s">
        <v>220</v>
      </c>
      <c r="B1376" s="5">
        <v>41192</v>
      </c>
      <c r="C1376" s="5" t="s">
        <v>6506</v>
      </c>
      <c r="E1376" t="s">
        <v>2767</v>
      </c>
      <c r="G1376" t="s">
        <v>6159</v>
      </c>
    </row>
    <row r="1377" spans="1:7" x14ac:dyDescent="0.25">
      <c r="A1377" t="s">
        <v>92</v>
      </c>
      <c r="B1377" s="5">
        <v>41121</v>
      </c>
      <c r="C1377" s="5" t="s">
        <v>6507</v>
      </c>
      <c r="E1377" t="s">
        <v>2768</v>
      </c>
      <c r="G1377" t="s">
        <v>6159</v>
      </c>
    </row>
    <row r="1378" spans="1:7" x14ac:dyDescent="0.25">
      <c r="A1378" t="s">
        <v>2770</v>
      </c>
      <c r="B1378" s="5">
        <v>38842</v>
      </c>
      <c r="C1378" s="5" t="s">
        <v>6508</v>
      </c>
      <c r="E1378" t="s">
        <v>2771</v>
      </c>
      <c r="G1378" t="s">
        <v>6159</v>
      </c>
    </row>
    <row r="1379" spans="1:7" x14ac:dyDescent="0.25">
      <c r="A1379" t="s">
        <v>362</v>
      </c>
      <c r="B1379" s="5">
        <v>38840</v>
      </c>
      <c r="C1379" s="5" t="s">
        <v>3355</v>
      </c>
      <c r="D1379" t="s">
        <v>3355</v>
      </c>
      <c r="E1379" t="s">
        <v>2772</v>
      </c>
      <c r="G1379" t="s">
        <v>6159</v>
      </c>
    </row>
    <row r="1380" spans="1:7" x14ac:dyDescent="0.25">
      <c r="A1380" t="s">
        <v>2773</v>
      </c>
      <c r="B1380" s="5">
        <v>38881</v>
      </c>
      <c r="C1380" s="5" t="s">
        <v>3356</v>
      </c>
      <c r="D1380" t="s">
        <v>3356</v>
      </c>
      <c r="E1380" t="s">
        <v>2774</v>
      </c>
      <c r="G1380" t="s">
        <v>6159</v>
      </c>
    </row>
    <row r="1381" spans="1:7" x14ac:dyDescent="0.25">
      <c r="A1381" t="s">
        <v>2775</v>
      </c>
      <c r="B1381" s="5">
        <v>40674</v>
      </c>
      <c r="C1381" s="5" t="s">
        <v>6509</v>
      </c>
      <c r="E1381" t="s">
        <v>2776</v>
      </c>
      <c r="G1381" t="s">
        <v>6159</v>
      </c>
    </row>
    <row r="1382" spans="1:7" x14ac:dyDescent="0.25">
      <c r="A1382" t="s">
        <v>1630</v>
      </c>
      <c r="B1382" s="5">
        <v>39981</v>
      </c>
      <c r="C1382" s="5" t="s">
        <v>6510</v>
      </c>
      <c r="E1382" t="s">
        <v>2777</v>
      </c>
      <c r="G1382" t="s">
        <v>6159</v>
      </c>
    </row>
    <row r="1383" spans="1:7" x14ac:dyDescent="0.25">
      <c r="A1383" t="s">
        <v>1577</v>
      </c>
      <c r="B1383" s="5">
        <v>38845</v>
      </c>
      <c r="C1383" s="5" t="s">
        <v>3357</v>
      </c>
      <c r="D1383" t="s">
        <v>3357</v>
      </c>
      <c r="E1383" t="s">
        <v>2778</v>
      </c>
      <c r="G1383" t="s">
        <v>6159</v>
      </c>
    </row>
    <row r="1384" spans="1:7" x14ac:dyDescent="0.25">
      <c r="A1384" t="s">
        <v>2747</v>
      </c>
      <c r="B1384" s="5">
        <v>39982</v>
      </c>
      <c r="C1384" s="5" t="s">
        <v>6511</v>
      </c>
      <c r="E1384" t="s">
        <v>2779</v>
      </c>
      <c r="G1384" t="s">
        <v>6159</v>
      </c>
    </row>
    <row r="1385" spans="1:7" x14ac:dyDescent="0.25">
      <c r="A1385" t="s">
        <v>2108</v>
      </c>
      <c r="B1385" s="5">
        <v>39982</v>
      </c>
      <c r="C1385" s="5" t="s">
        <v>3358</v>
      </c>
      <c r="D1385" t="s">
        <v>3358</v>
      </c>
      <c r="E1385" t="s">
        <v>2781</v>
      </c>
      <c r="G1385" t="s">
        <v>6159</v>
      </c>
    </row>
    <row r="1386" spans="1:7" x14ac:dyDescent="0.25">
      <c r="A1386" t="s">
        <v>358</v>
      </c>
      <c r="B1386" s="5">
        <v>40133</v>
      </c>
      <c r="C1386" s="5" t="s">
        <v>6512</v>
      </c>
      <c r="E1386" t="s">
        <v>2782</v>
      </c>
      <c r="G1386" t="s">
        <v>6159</v>
      </c>
    </row>
    <row r="1387" spans="1:7" x14ac:dyDescent="0.25">
      <c r="A1387" t="s">
        <v>61</v>
      </c>
      <c r="B1387" s="5">
        <v>39392</v>
      </c>
      <c r="C1387" s="5" t="s">
        <v>6513</v>
      </c>
      <c r="E1387" t="s">
        <v>2783</v>
      </c>
      <c r="G1387" t="s">
        <v>6159</v>
      </c>
    </row>
    <row r="1388" spans="1:7" x14ac:dyDescent="0.25">
      <c r="A1388" t="s">
        <v>1711</v>
      </c>
      <c r="B1388" s="5">
        <v>40106</v>
      </c>
      <c r="C1388" s="5" t="s">
        <v>6514</v>
      </c>
      <c r="E1388" t="s">
        <v>2784</v>
      </c>
      <c r="G1388" t="s">
        <v>6159</v>
      </c>
    </row>
    <row r="1389" spans="1:7" x14ac:dyDescent="0.25">
      <c r="A1389" t="s">
        <v>202</v>
      </c>
      <c r="B1389" s="5">
        <v>40133</v>
      </c>
      <c r="C1389" s="5" t="s">
        <v>6515</v>
      </c>
      <c r="E1389" t="s">
        <v>2785</v>
      </c>
      <c r="G1389" t="s">
        <v>6159</v>
      </c>
    </row>
    <row r="1390" spans="1:7" x14ac:dyDescent="0.25">
      <c r="A1390" t="s">
        <v>217</v>
      </c>
      <c r="B1390" s="5">
        <v>37299</v>
      </c>
      <c r="C1390" s="5" t="s">
        <v>6516</v>
      </c>
      <c r="E1390" t="s">
        <v>2786</v>
      </c>
      <c r="G1390" t="s">
        <v>6159</v>
      </c>
    </row>
    <row r="1391" spans="1:7" x14ac:dyDescent="0.25">
      <c r="A1391" t="s">
        <v>311</v>
      </c>
      <c r="B1391" s="5">
        <v>37315</v>
      </c>
      <c r="C1391" s="5" t="s">
        <v>6517</v>
      </c>
      <c r="E1391" t="s">
        <v>2787</v>
      </c>
      <c r="G1391" t="s">
        <v>6159</v>
      </c>
    </row>
    <row r="1392" spans="1:7" x14ac:dyDescent="0.25">
      <c r="A1392" t="s">
        <v>1618</v>
      </c>
      <c r="B1392" s="5">
        <v>40106</v>
      </c>
      <c r="C1392" s="5" t="s">
        <v>6518</v>
      </c>
      <c r="E1392" t="s">
        <v>2788</v>
      </c>
      <c r="G1392" t="s">
        <v>6159</v>
      </c>
    </row>
    <row r="1393" spans="1:7" x14ac:dyDescent="0.25">
      <c r="A1393" t="s">
        <v>2789</v>
      </c>
      <c r="B1393" s="5">
        <v>37376</v>
      </c>
      <c r="C1393" s="5" t="s">
        <v>6519</v>
      </c>
      <c r="E1393" t="s">
        <v>2790</v>
      </c>
      <c r="G1393" t="s">
        <v>6159</v>
      </c>
    </row>
    <row r="1394" spans="1:7" x14ac:dyDescent="0.25">
      <c r="A1394" t="s">
        <v>290</v>
      </c>
      <c r="B1394" s="5">
        <v>37314</v>
      </c>
      <c r="C1394" s="5" t="s">
        <v>6520</v>
      </c>
      <c r="E1394" t="s">
        <v>2791</v>
      </c>
      <c r="G1394" t="s">
        <v>6159</v>
      </c>
    </row>
    <row r="1395" spans="1:7" x14ac:dyDescent="0.25">
      <c r="A1395" t="s">
        <v>297</v>
      </c>
      <c r="B1395" s="5">
        <v>37307</v>
      </c>
      <c r="C1395" s="5" t="s">
        <v>6521</v>
      </c>
      <c r="E1395" t="s">
        <v>2792</v>
      </c>
      <c r="G1395" t="s">
        <v>6159</v>
      </c>
    </row>
    <row r="1396" spans="1:7" x14ac:dyDescent="0.25">
      <c r="A1396" t="s">
        <v>2793</v>
      </c>
      <c r="B1396" s="5">
        <v>37300</v>
      </c>
      <c r="C1396" s="5" t="s">
        <v>6522</v>
      </c>
      <c r="E1396" t="s">
        <v>2794</v>
      </c>
      <c r="G1396" t="s">
        <v>6159</v>
      </c>
    </row>
    <row r="1397" spans="1:7" x14ac:dyDescent="0.25">
      <c r="A1397" t="s">
        <v>343</v>
      </c>
      <c r="B1397" s="5">
        <v>37327</v>
      </c>
      <c r="C1397" s="5" t="s">
        <v>6523</v>
      </c>
      <c r="E1397" t="s">
        <v>2795</v>
      </c>
      <c r="G1397" t="s">
        <v>6159</v>
      </c>
    </row>
    <row r="1398" spans="1:7" x14ac:dyDescent="0.25">
      <c r="A1398" t="s">
        <v>125</v>
      </c>
      <c r="B1398" s="5">
        <v>39393</v>
      </c>
      <c r="C1398" s="5" t="s">
        <v>6524</v>
      </c>
      <c r="E1398" t="s">
        <v>2796</v>
      </c>
      <c r="G1398" t="s">
        <v>6159</v>
      </c>
    </row>
    <row r="1399" spans="1:7" x14ac:dyDescent="0.25">
      <c r="A1399" t="s">
        <v>292</v>
      </c>
      <c r="B1399" s="5">
        <v>37375</v>
      </c>
      <c r="C1399" s="5" t="s">
        <v>6525</v>
      </c>
      <c r="E1399" t="s">
        <v>2797</v>
      </c>
      <c r="G1399" t="s">
        <v>6159</v>
      </c>
    </row>
    <row r="1400" spans="1:7" x14ac:dyDescent="0.25">
      <c r="A1400" t="s">
        <v>104</v>
      </c>
      <c r="B1400" s="5">
        <v>36447</v>
      </c>
      <c r="C1400" s="5" t="s">
        <v>6526</v>
      </c>
      <c r="E1400" t="s">
        <v>2798</v>
      </c>
      <c r="G1400" t="s">
        <v>6159</v>
      </c>
    </row>
    <row r="1401" spans="1:7" x14ac:dyDescent="0.25">
      <c r="A1401" t="s">
        <v>180</v>
      </c>
      <c r="B1401" s="5">
        <v>40064</v>
      </c>
      <c r="C1401" s="5" t="s">
        <v>6527</v>
      </c>
      <c r="E1401" t="s">
        <v>2799</v>
      </c>
      <c r="G1401" t="s">
        <v>6159</v>
      </c>
    </row>
    <row r="1402" spans="1:7" x14ac:dyDescent="0.25">
      <c r="A1402" t="s">
        <v>183</v>
      </c>
      <c r="B1402" s="5">
        <v>37306</v>
      </c>
      <c r="C1402" s="5" t="s">
        <v>6528</v>
      </c>
      <c r="E1402" t="s">
        <v>2800</v>
      </c>
      <c r="G1402" t="s">
        <v>6159</v>
      </c>
    </row>
    <row r="1403" spans="1:7" x14ac:dyDescent="0.25">
      <c r="A1403" t="s">
        <v>220</v>
      </c>
      <c r="B1403" s="5">
        <v>40135</v>
      </c>
      <c r="C1403" s="5" t="s">
        <v>6529</v>
      </c>
      <c r="E1403" t="s">
        <v>2801</v>
      </c>
      <c r="G1403" t="s">
        <v>6159</v>
      </c>
    </row>
    <row r="1404" spans="1:7" x14ac:dyDescent="0.25">
      <c r="A1404" t="s">
        <v>222</v>
      </c>
      <c r="B1404" s="5">
        <v>40134</v>
      </c>
      <c r="C1404" s="5" t="s">
        <v>6530</v>
      </c>
      <c r="E1404" t="s">
        <v>2802</v>
      </c>
      <c r="G1404" t="s">
        <v>6159</v>
      </c>
    </row>
    <row r="1405" spans="1:7" x14ac:dyDescent="0.25">
      <c r="A1405" t="s">
        <v>1698</v>
      </c>
      <c r="B1405" s="5">
        <v>40107</v>
      </c>
      <c r="C1405" s="5" t="s">
        <v>6531</v>
      </c>
      <c r="E1405" t="s">
        <v>2803</v>
      </c>
      <c r="G1405" t="s">
        <v>6159</v>
      </c>
    </row>
    <row r="1406" spans="1:7" x14ac:dyDescent="0.25">
      <c r="A1406" t="s">
        <v>204</v>
      </c>
      <c r="B1406" s="5">
        <v>37312</v>
      </c>
      <c r="C1406" s="5" t="s">
        <v>6532</v>
      </c>
      <c r="E1406" t="s">
        <v>2804</v>
      </c>
      <c r="G1406" t="s">
        <v>6159</v>
      </c>
    </row>
    <row r="1407" spans="1:7" x14ac:dyDescent="0.25">
      <c r="A1407" t="s">
        <v>210</v>
      </c>
      <c r="B1407" s="5">
        <v>36283</v>
      </c>
      <c r="C1407" s="5" t="s">
        <v>6533</v>
      </c>
      <c r="E1407" t="s">
        <v>2805</v>
      </c>
      <c r="G1407" t="s">
        <v>6159</v>
      </c>
    </row>
    <row r="1408" spans="1:7" x14ac:dyDescent="0.25">
      <c r="A1408" t="s">
        <v>2810</v>
      </c>
      <c r="B1408" s="5">
        <v>39036</v>
      </c>
      <c r="C1408" s="5" t="s">
        <v>3359</v>
      </c>
      <c r="D1408" t="s">
        <v>3359</v>
      </c>
      <c r="G1408" t="s">
        <v>6159</v>
      </c>
    </row>
    <row r="1409" spans="1:7" x14ac:dyDescent="0.25">
      <c r="A1409" t="s">
        <v>68</v>
      </c>
      <c r="B1409" s="5">
        <v>39037</v>
      </c>
      <c r="C1409" s="5" t="s">
        <v>3360</v>
      </c>
      <c r="D1409" t="s">
        <v>3360</v>
      </c>
      <c r="G1409" t="s">
        <v>6159</v>
      </c>
    </row>
    <row r="1410" spans="1:7" x14ac:dyDescent="0.25">
      <c r="A1410" t="s">
        <v>2811</v>
      </c>
      <c r="B1410" s="5">
        <v>39049</v>
      </c>
      <c r="C1410" s="5" t="s">
        <v>3361</v>
      </c>
      <c r="D1410" t="s">
        <v>3361</v>
      </c>
      <c r="G1410" t="s">
        <v>6159</v>
      </c>
    </row>
    <row r="1411" spans="1:7" x14ac:dyDescent="0.25">
      <c r="A1411" t="s">
        <v>2812</v>
      </c>
      <c r="B1411" s="5">
        <v>39049</v>
      </c>
      <c r="C1411" s="5" t="s">
        <v>3362</v>
      </c>
      <c r="D1411" t="s">
        <v>3362</v>
      </c>
      <c r="G1411" t="s">
        <v>6159</v>
      </c>
    </row>
    <row r="1412" spans="1:7" x14ac:dyDescent="0.25">
      <c r="A1412" t="s">
        <v>111</v>
      </c>
      <c r="B1412" s="5">
        <v>39049</v>
      </c>
      <c r="C1412" s="5" t="s">
        <v>3363</v>
      </c>
      <c r="D1412" t="s">
        <v>3363</v>
      </c>
      <c r="G1412" t="s">
        <v>6159</v>
      </c>
    </row>
    <row r="1413" spans="1:7" x14ac:dyDescent="0.25">
      <c r="A1413" t="s">
        <v>120</v>
      </c>
      <c r="B1413" s="5">
        <v>39049</v>
      </c>
      <c r="C1413" s="5" t="s">
        <v>3364</v>
      </c>
      <c r="D1413" t="s">
        <v>3364</v>
      </c>
      <c r="G1413" t="s">
        <v>6159</v>
      </c>
    </row>
    <row r="1414" spans="1:7" x14ac:dyDescent="0.25">
      <c r="A1414" t="s">
        <v>137</v>
      </c>
      <c r="B1414" s="5">
        <v>39049</v>
      </c>
      <c r="C1414" s="5" t="s">
        <v>3365</v>
      </c>
      <c r="D1414" t="s">
        <v>3365</v>
      </c>
      <c r="G1414" t="s">
        <v>6159</v>
      </c>
    </row>
    <row r="1415" spans="1:7" x14ac:dyDescent="0.25">
      <c r="A1415" t="s">
        <v>2810</v>
      </c>
      <c r="B1415" s="5">
        <v>39147</v>
      </c>
      <c r="C1415" s="5" t="s">
        <v>3366</v>
      </c>
      <c r="D1415" t="s">
        <v>3366</v>
      </c>
      <c r="G1415" t="s">
        <v>6159</v>
      </c>
    </row>
    <row r="1416" spans="1:7" x14ac:dyDescent="0.25">
      <c r="A1416" t="s">
        <v>2812</v>
      </c>
      <c r="B1416" s="5">
        <v>39147</v>
      </c>
      <c r="C1416" s="5" t="s">
        <v>3367</v>
      </c>
      <c r="D1416" t="s">
        <v>3367</v>
      </c>
      <c r="G1416" t="s">
        <v>6159</v>
      </c>
    </row>
    <row r="1417" spans="1:7" x14ac:dyDescent="0.25">
      <c r="A1417" t="s">
        <v>2811</v>
      </c>
      <c r="B1417" s="5">
        <v>39147</v>
      </c>
      <c r="C1417" s="5" t="s">
        <v>3368</v>
      </c>
      <c r="D1417" t="s">
        <v>3368</v>
      </c>
      <c r="G1417" t="s">
        <v>6159</v>
      </c>
    </row>
    <row r="1418" spans="1:7" x14ac:dyDescent="0.25">
      <c r="A1418" t="s">
        <v>111</v>
      </c>
      <c r="B1418" s="5">
        <v>39147</v>
      </c>
      <c r="C1418" s="5" t="s">
        <v>3369</v>
      </c>
      <c r="D1418" t="s">
        <v>3369</v>
      </c>
      <c r="G1418" t="s">
        <v>6159</v>
      </c>
    </row>
    <row r="1419" spans="1:7" x14ac:dyDescent="0.25">
      <c r="A1419" t="s">
        <v>137</v>
      </c>
      <c r="B1419" s="5">
        <v>39148</v>
      </c>
      <c r="C1419" s="5" t="s">
        <v>3370</v>
      </c>
      <c r="D1419" t="s">
        <v>3370</v>
      </c>
      <c r="G1419" t="s">
        <v>6159</v>
      </c>
    </row>
    <row r="1420" spans="1:7" x14ac:dyDescent="0.25">
      <c r="A1420" t="s">
        <v>68</v>
      </c>
      <c r="B1420" s="5">
        <v>39148</v>
      </c>
      <c r="C1420" s="5" t="s">
        <v>3371</v>
      </c>
      <c r="D1420" t="s">
        <v>3371</v>
      </c>
      <c r="G1420" t="s">
        <v>6159</v>
      </c>
    </row>
    <row r="1421" spans="1:7" x14ac:dyDescent="0.25">
      <c r="A1421" t="s">
        <v>69</v>
      </c>
      <c r="B1421" s="5">
        <v>41723</v>
      </c>
      <c r="C1421" s="5" t="s">
        <v>3372</v>
      </c>
      <c r="D1421" t="s">
        <v>3372</v>
      </c>
      <c r="G1421" t="s">
        <v>6159</v>
      </c>
    </row>
    <row r="1422" spans="1:7" x14ac:dyDescent="0.25">
      <c r="A1422" t="s">
        <v>69</v>
      </c>
      <c r="B1422" s="5">
        <v>41603</v>
      </c>
      <c r="C1422" s="5" t="s">
        <v>3373</v>
      </c>
      <c r="D1422" t="s">
        <v>3373</v>
      </c>
      <c r="G1422" t="s">
        <v>6159</v>
      </c>
    </row>
    <row r="1423" spans="1:7" x14ac:dyDescent="0.25">
      <c r="A1423" t="s">
        <v>2813</v>
      </c>
      <c r="B1423" s="5">
        <v>39175</v>
      </c>
      <c r="C1423" s="5" t="s">
        <v>3374</v>
      </c>
      <c r="D1423" t="s">
        <v>3374</v>
      </c>
      <c r="G1423" t="s">
        <v>6159</v>
      </c>
    </row>
    <row r="1424" spans="1:7" x14ac:dyDescent="0.25">
      <c r="A1424" t="s">
        <v>2812</v>
      </c>
      <c r="B1424" s="5">
        <v>39139</v>
      </c>
      <c r="C1424" s="5" t="s">
        <v>3375</v>
      </c>
      <c r="D1424" t="s">
        <v>3375</v>
      </c>
      <c r="G1424" t="s">
        <v>6159</v>
      </c>
    </row>
    <row r="1425" spans="1:7" x14ac:dyDescent="0.25">
      <c r="A1425" t="s">
        <v>2814</v>
      </c>
      <c r="B1425" s="5">
        <v>39139</v>
      </c>
      <c r="C1425" s="5" t="s">
        <v>3376</v>
      </c>
      <c r="D1425" t="s">
        <v>3376</v>
      </c>
      <c r="G1425" t="s">
        <v>6159</v>
      </c>
    </row>
    <row r="1426" spans="1:7" x14ac:dyDescent="0.25">
      <c r="A1426" t="s">
        <v>2815</v>
      </c>
      <c r="B1426" s="5">
        <v>39139</v>
      </c>
      <c r="C1426" s="5" t="s">
        <v>3377</v>
      </c>
      <c r="D1426" t="s">
        <v>3377</v>
      </c>
      <c r="G1426" t="s">
        <v>6159</v>
      </c>
    </row>
    <row r="1427" spans="1:7" x14ac:dyDescent="0.25">
      <c r="A1427" t="s">
        <v>244</v>
      </c>
      <c r="B1427" s="5">
        <v>39042</v>
      </c>
      <c r="C1427" s="5" t="s">
        <v>3378</v>
      </c>
      <c r="D1427" t="s">
        <v>3378</v>
      </c>
      <c r="G1427" t="s">
        <v>6159</v>
      </c>
    </row>
    <row r="1428" spans="1:7" x14ac:dyDescent="0.25">
      <c r="A1428" t="s">
        <v>2816</v>
      </c>
      <c r="B1428" s="5">
        <v>39581</v>
      </c>
      <c r="C1428" s="5" t="s">
        <v>3379</v>
      </c>
      <c r="D1428" t="s">
        <v>3379</v>
      </c>
      <c r="G1428" t="s">
        <v>6159</v>
      </c>
    </row>
    <row r="1429" spans="1:7" x14ac:dyDescent="0.25">
      <c r="A1429" t="s">
        <v>2817</v>
      </c>
      <c r="B1429" s="5">
        <v>39581</v>
      </c>
      <c r="C1429" s="5" t="s">
        <v>3380</v>
      </c>
      <c r="D1429" t="s">
        <v>3380</v>
      </c>
      <c r="G1429" t="s">
        <v>6159</v>
      </c>
    </row>
    <row r="1430" spans="1:7" x14ac:dyDescent="0.25">
      <c r="A1430" t="s">
        <v>2818</v>
      </c>
      <c r="B1430" s="5">
        <v>38567</v>
      </c>
      <c r="C1430" s="5" t="s">
        <v>3381</v>
      </c>
      <c r="D1430" t="s">
        <v>3381</v>
      </c>
      <c r="G1430" t="s">
        <v>6159</v>
      </c>
    </row>
    <row r="1431" spans="1:7" x14ac:dyDescent="0.25">
      <c r="A1431" t="s">
        <v>37</v>
      </c>
      <c r="B1431" s="5">
        <v>39307</v>
      </c>
      <c r="C1431" s="5" t="s">
        <v>3382</v>
      </c>
      <c r="D1431" t="s">
        <v>3382</v>
      </c>
      <c r="G1431" t="s">
        <v>6159</v>
      </c>
    </row>
    <row r="1432" spans="1:7" x14ac:dyDescent="0.25">
      <c r="A1432" t="s">
        <v>2115</v>
      </c>
      <c r="B1432" s="5">
        <v>38568</v>
      </c>
      <c r="C1432" s="5" t="s">
        <v>3383</v>
      </c>
      <c r="D1432" t="s">
        <v>3383</v>
      </c>
      <c r="G1432" t="s">
        <v>6159</v>
      </c>
    </row>
    <row r="1433" spans="1:7" x14ac:dyDescent="0.25">
      <c r="A1433" t="s">
        <v>328</v>
      </c>
      <c r="B1433" s="5">
        <v>38568</v>
      </c>
      <c r="C1433" s="5" t="s">
        <v>3384</v>
      </c>
      <c r="D1433" t="s">
        <v>3384</v>
      </c>
      <c r="G1433" t="s">
        <v>6159</v>
      </c>
    </row>
    <row r="1434" spans="1:7" x14ac:dyDescent="0.25">
      <c r="A1434" t="s">
        <v>326</v>
      </c>
      <c r="B1434" s="5">
        <v>38568</v>
      </c>
      <c r="C1434" s="5" t="s">
        <v>3385</v>
      </c>
      <c r="D1434" t="s">
        <v>3385</v>
      </c>
      <c r="G1434" t="s">
        <v>6159</v>
      </c>
    </row>
    <row r="1435" spans="1:7" x14ac:dyDescent="0.25">
      <c r="A1435" t="s">
        <v>238</v>
      </c>
      <c r="B1435" s="5">
        <v>38573</v>
      </c>
      <c r="C1435" s="5" t="s">
        <v>3386</v>
      </c>
      <c r="D1435" t="s">
        <v>3386</v>
      </c>
      <c r="G1435" t="s">
        <v>6159</v>
      </c>
    </row>
    <row r="1436" spans="1:7" x14ac:dyDescent="0.25">
      <c r="A1436" t="s">
        <v>262</v>
      </c>
      <c r="B1436" s="5">
        <v>38573</v>
      </c>
      <c r="C1436" s="5" t="s">
        <v>3387</v>
      </c>
      <c r="D1436" t="s">
        <v>3387</v>
      </c>
      <c r="G1436" t="s">
        <v>6159</v>
      </c>
    </row>
    <row r="1437" spans="1:7" x14ac:dyDescent="0.25">
      <c r="A1437" t="s">
        <v>140</v>
      </c>
      <c r="B1437" s="5">
        <v>38573</v>
      </c>
      <c r="C1437" s="5" t="s">
        <v>3388</v>
      </c>
      <c r="D1437" t="s">
        <v>3388</v>
      </c>
      <c r="G1437" t="s">
        <v>6159</v>
      </c>
    </row>
    <row r="1438" spans="1:7" x14ac:dyDescent="0.25">
      <c r="A1438" t="s">
        <v>2108</v>
      </c>
      <c r="B1438" s="5">
        <v>38579</v>
      </c>
      <c r="C1438" s="5" t="s">
        <v>3389</v>
      </c>
      <c r="D1438" t="s">
        <v>3389</v>
      </c>
      <c r="G1438" t="s">
        <v>6159</v>
      </c>
    </row>
    <row r="1439" spans="1:7" x14ac:dyDescent="0.25">
      <c r="A1439" t="s">
        <v>35</v>
      </c>
      <c r="B1439" s="5">
        <v>38580</v>
      </c>
      <c r="C1439" s="5" t="s">
        <v>3390</v>
      </c>
      <c r="D1439" t="s">
        <v>3390</v>
      </c>
      <c r="G1439" t="s">
        <v>6159</v>
      </c>
    </row>
    <row r="1440" spans="1:7" x14ac:dyDescent="0.25">
      <c r="A1440" t="s">
        <v>161</v>
      </c>
      <c r="B1440" s="5">
        <v>38581</v>
      </c>
      <c r="C1440" s="5" t="s">
        <v>3391</v>
      </c>
      <c r="D1440" t="s">
        <v>3391</v>
      </c>
      <c r="G1440" t="s">
        <v>6159</v>
      </c>
    </row>
    <row r="1441" spans="1:7" x14ac:dyDescent="0.25">
      <c r="A1441" t="s">
        <v>2819</v>
      </c>
      <c r="B1441" s="5">
        <v>38581</v>
      </c>
      <c r="C1441" s="5" t="s">
        <v>3392</v>
      </c>
      <c r="D1441" t="s">
        <v>3392</v>
      </c>
      <c r="G1441" t="s">
        <v>6159</v>
      </c>
    </row>
    <row r="1442" spans="1:7" x14ac:dyDescent="0.25">
      <c r="A1442" t="s">
        <v>38</v>
      </c>
      <c r="B1442" s="5">
        <v>38581</v>
      </c>
      <c r="C1442" s="5" t="s">
        <v>3393</v>
      </c>
      <c r="D1442" t="s">
        <v>3393</v>
      </c>
      <c r="G1442" t="s">
        <v>6159</v>
      </c>
    </row>
    <row r="1443" spans="1:7" x14ac:dyDescent="0.25">
      <c r="A1443" t="s">
        <v>1577</v>
      </c>
      <c r="B1443" s="5">
        <v>38593</v>
      </c>
      <c r="C1443" s="5" t="s">
        <v>3394</v>
      </c>
      <c r="D1443" t="s">
        <v>3394</v>
      </c>
      <c r="G1443" t="s">
        <v>6159</v>
      </c>
    </row>
    <row r="1444" spans="1:7" x14ac:dyDescent="0.25">
      <c r="A1444" t="s">
        <v>1530</v>
      </c>
      <c r="B1444" s="5">
        <v>38594</v>
      </c>
      <c r="C1444" s="5" t="s">
        <v>3395</v>
      </c>
      <c r="D1444" t="s">
        <v>3395</v>
      </c>
      <c r="G1444" t="s">
        <v>6159</v>
      </c>
    </row>
    <row r="1445" spans="1:7" x14ac:dyDescent="0.25">
      <c r="A1445" t="s">
        <v>79</v>
      </c>
      <c r="B1445" s="5">
        <v>38594</v>
      </c>
      <c r="C1445" s="5" t="s">
        <v>3396</v>
      </c>
      <c r="D1445" t="s">
        <v>3396</v>
      </c>
      <c r="G1445" t="s">
        <v>6159</v>
      </c>
    </row>
    <row r="1446" spans="1:7" x14ac:dyDescent="0.25">
      <c r="A1446" t="s">
        <v>2820</v>
      </c>
      <c r="B1446" s="5">
        <v>38594</v>
      </c>
      <c r="C1446" s="5" t="s">
        <v>3397</v>
      </c>
      <c r="D1446" t="s">
        <v>3397</v>
      </c>
      <c r="G1446" t="s">
        <v>6159</v>
      </c>
    </row>
    <row r="1447" spans="1:7" x14ac:dyDescent="0.25">
      <c r="A1447" t="s">
        <v>362</v>
      </c>
      <c r="B1447" s="5">
        <v>38607</v>
      </c>
      <c r="C1447" s="5" t="s">
        <v>3398</v>
      </c>
      <c r="D1447" t="s">
        <v>3398</v>
      </c>
      <c r="G1447" t="s">
        <v>6159</v>
      </c>
    </row>
    <row r="1448" spans="1:7" x14ac:dyDescent="0.25">
      <c r="A1448" t="s">
        <v>2821</v>
      </c>
      <c r="B1448" s="5">
        <v>38608</v>
      </c>
      <c r="C1448" s="5" t="s">
        <v>3399</v>
      </c>
      <c r="D1448" t="s">
        <v>3399</v>
      </c>
      <c r="G1448" t="s">
        <v>6159</v>
      </c>
    </row>
    <row r="1449" spans="1:7" x14ac:dyDescent="0.25">
      <c r="A1449" t="s">
        <v>2822</v>
      </c>
      <c r="B1449" s="5">
        <v>38615</v>
      </c>
      <c r="C1449" s="5" t="s">
        <v>3400</v>
      </c>
      <c r="D1449" t="s">
        <v>3400</v>
      </c>
      <c r="G1449" t="s">
        <v>6159</v>
      </c>
    </row>
    <row r="1450" spans="1:7" x14ac:dyDescent="0.25">
      <c r="A1450" t="s">
        <v>2823</v>
      </c>
      <c r="B1450" s="5">
        <v>38615</v>
      </c>
      <c r="C1450" s="5" t="s">
        <v>3401</v>
      </c>
      <c r="D1450" t="s">
        <v>3401</v>
      </c>
      <c r="G1450" t="s">
        <v>6159</v>
      </c>
    </row>
    <row r="1451" spans="1:7" x14ac:dyDescent="0.25">
      <c r="A1451" t="s">
        <v>2824</v>
      </c>
      <c r="B1451" s="5">
        <v>38616</v>
      </c>
      <c r="C1451" s="5" t="s">
        <v>3402</v>
      </c>
      <c r="D1451" t="s">
        <v>3402</v>
      </c>
      <c r="G1451" t="s">
        <v>6159</v>
      </c>
    </row>
    <row r="1452" spans="1:7" x14ac:dyDescent="0.25">
      <c r="A1452" t="s">
        <v>2773</v>
      </c>
      <c r="B1452" s="5">
        <v>38616</v>
      </c>
      <c r="C1452" s="5" t="s">
        <v>3403</v>
      </c>
      <c r="D1452" t="s">
        <v>3403</v>
      </c>
      <c r="G1452" t="s">
        <v>6159</v>
      </c>
    </row>
    <row r="1453" spans="1:7" x14ac:dyDescent="0.25">
      <c r="A1453" t="s">
        <v>377</v>
      </c>
      <c r="B1453" s="5">
        <v>38621</v>
      </c>
      <c r="C1453" s="5" t="s">
        <v>3404</v>
      </c>
      <c r="D1453" t="s">
        <v>3404</v>
      </c>
      <c r="G1453" t="s">
        <v>6159</v>
      </c>
    </row>
    <row r="1454" spans="1:7" x14ac:dyDescent="0.25">
      <c r="A1454" t="s">
        <v>2825</v>
      </c>
      <c r="B1454" s="5">
        <v>38622</v>
      </c>
      <c r="C1454" s="5" t="s">
        <v>3405</v>
      </c>
      <c r="D1454" t="s">
        <v>3405</v>
      </c>
      <c r="G1454" t="s">
        <v>6159</v>
      </c>
    </row>
    <row r="1455" spans="1:7" x14ac:dyDescent="0.25">
      <c r="A1455" t="s">
        <v>2826</v>
      </c>
      <c r="B1455" s="5">
        <v>38622</v>
      </c>
      <c r="C1455" s="5" t="s">
        <v>3406</v>
      </c>
      <c r="D1455" t="s">
        <v>3406</v>
      </c>
      <c r="G1455" t="s">
        <v>6159</v>
      </c>
    </row>
    <row r="1456" spans="1:7" x14ac:dyDescent="0.25">
      <c r="A1456" t="s">
        <v>208</v>
      </c>
      <c r="B1456" s="5">
        <v>38623</v>
      </c>
      <c r="C1456" s="5" t="s">
        <v>3407</v>
      </c>
      <c r="D1456" t="s">
        <v>3407</v>
      </c>
      <c r="G1456" t="s">
        <v>6159</v>
      </c>
    </row>
    <row r="1457" spans="1:7" x14ac:dyDescent="0.25">
      <c r="A1457" t="s">
        <v>320</v>
      </c>
      <c r="B1457" s="5">
        <v>38623</v>
      </c>
      <c r="C1457" s="5" t="s">
        <v>3408</v>
      </c>
      <c r="D1457" t="s">
        <v>3408</v>
      </c>
      <c r="G1457" t="s">
        <v>6159</v>
      </c>
    </row>
    <row r="1458" spans="1:7" x14ac:dyDescent="0.25">
      <c r="A1458" t="s">
        <v>2827</v>
      </c>
      <c r="B1458" s="5">
        <v>40974</v>
      </c>
      <c r="C1458" s="5" t="s">
        <v>3409</v>
      </c>
      <c r="D1458" t="s">
        <v>3409</v>
      </c>
      <c r="G1458" t="s">
        <v>6159</v>
      </c>
    </row>
    <row r="1459" spans="1:7" x14ac:dyDescent="0.25">
      <c r="A1459" t="s">
        <v>39</v>
      </c>
      <c r="B1459" s="5">
        <v>38624</v>
      </c>
      <c r="C1459" s="5" t="s">
        <v>3410</v>
      </c>
      <c r="D1459" t="s">
        <v>3410</v>
      </c>
      <c r="G1459" t="s">
        <v>6159</v>
      </c>
    </row>
    <row r="1460" spans="1:7" x14ac:dyDescent="0.25">
      <c r="A1460" t="s">
        <v>308</v>
      </c>
      <c r="B1460" s="5">
        <v>38629</v>
      </c>
      <c r="C1460" s="5" t="s">
        <v>3411</v>
      </c>
      <c r="D1460" t="s">
        <v>3411</v>
      </c>
      <c r="G1460" t="s">
        <v>6159</v>
      </c>
    </row>
    <row r="1461" spans="1:7" x14ac:dyDescent="0.25">
      <c r="A1461" t="s">
        <v>2819</v>
      </c>
      <c r="B1461" s="5">
        <v>38650</v>
      </c>
      <c r="C1461" s="5" t="s">
        <v>3412</v>
      </c>
      <c r="D1461" t="s">
        <v>3412</v>
      </c>
      <c r="G1461" t="s">
        <v>6159</v>
      </c>
    </row>
    <row r="1462" spans="1:7" x14ac:dyDescent="0.25">
      <c r="A1462" t="s">
        <v>161</v>
      </c>
      <c r="B1462" s="5">
        <v>38650</v>
      </c>
      <c r="C1462" s="5" t="s">
        <v>3413</v>
      </c>
      <c r="D1462" t="s">
        <v>3413</v>
      </c>
      <c r="G1462" t="s">
        <v>6159</v>
      </c>
    </row>
    <row r="1463" spans="1:7" x14ac:dyDescent="0.25">
      <c r="A1463" t="s">
        <v>38</v>
      </c>
      <c r="B1463" s="5">
        <v>38651</v>
      </c>
      <c r="C1463" s="5" t="s">
        <v>3414</v>
      </c>
      <c r="D1463" t="s">
        <v>3414</v>
      </c>
      <c r="G1463" t="s">
        <v>6159</v>
      </c>
    </row>
    <row r="1464" spans="1:7" x14ac:dyDescent="0.25">
      <c r="A1464" t="s">
        <v>2108</v>
      </c>
      <c r="B1464" s="5">
        <v>38651</v>
      </c>
      <c r="C1464" s="5" t="s">
        <v>3415</v>
      </c>
      <c r="D1464" t="s">
        <v>3415</v>
      </c>
      <c r="G1464" t="s">
        <v>6159</v>
      </c>
    </row>
    <row r="1465" spans="1:7" x14ac:dyDescent="0.25">
      <c r="A1465" t="s">
        <v>35</v>
      </c>
      <c r="B1465" s="5">
        <v>38651</v>
      </c>
      <c r="C1465" s="5" t="s">
        <v>3416</v>
      </c>
      <c r="D1465" t="s">
        <v>3416</v>
      </c>
      <c r="G1465" t="s">
        <v>6159</v>
      </c>
    </row>
    <row r="1466" spans="1:7" x14ac:dyDescent="0.25">
      <c r="A1466" t="s">
        <v>262</v>
      </c>
      <c r="B1466" s="5">
        <v>38657</v>
      </c>
      <c r="C1466" s="5" t="s">
        <v>3417</v>
      </c>
      <c r="D1466" t="s">
        <v>3417</v>
      </c>
      <c r="G1466" t="s">
        <v>6159</v>
      </c>
    </row>
    <row r="1467" spans="1:7" x14ac:dyDescent="0.25">
      <c r="A1467" t="s">
        <v>140</v>
      </c>
      <c r="B1467" s="5">
        <v>38657</v>
      </c>
      <c r="C1467" s="5" t="s">
        <v>3418</v>
      </c>
      <c r="D1467" t="s">
        <v>3418</v>
      </c>
      <c r="G1467" t="s">
        <v>6159</v>
      </c>
    </row>
    <row r="1468" spans="1:7" x14ac:dyDescent="0.25">
      <c r="A1468" t="s">
        <v>357</v>
      </c>
      <c r="B1468" s="5">
        <v>38658</v>
      </c>
      <c r="C1468" s="5" t="s">
        <v>3419</v>
      </c>
      <c r="D1468" t="s">
        <v>3419</v>
      </c>
      <c r="G1468" t="s">
        <v>6159</v>
      </c>
    </row>
    <row r="1469" spans="1:7" x14ac:dyDescent="0.25">
      <c r="A1469" t="s">
        <v>79</v>
      </c>
      <c r="B1469" s="5">
        <v>38664</v>
      </c>
      <c r="C1469" s="5" t="s">
        <v>3420</v>
      </c>
      <c r="D1469" t="s">
        <v>3420</v>
      </c>
      <c r="G1469" t="s">
        <v>6159</v>
      </c>
    </row>
    <row r="1470" spans="1:7" x14ac:dyDescent="0.25">
      <c r="A1470" t="s">
        <v>2820</v>
      </c>
      <c r="B1470" s="5">
        <v>38665</v>
      </c>
      <c r="C1470" s="5" t="s">
        <v>3421</v>
      </c>
      <c r="D1470" t="s">
        <v>3421</v>
      </c>
      <c r="G1470" t="s">
        <v>6159</v>
      </c>
    </row>
    <row r="1471" spans="1:7" x14ac:dyDescent="0.25">
      <c r="A1471" t="s">
        <v>1530</v>
      </c>
      <c r="B1471" s="5">
        <v>38665</v>
      </c>
      <c r="C1471" s="5" t="s">
        <v>3422</v>
      </c>
      <c r="D1471" t="s">
        <v>3422</v>
      </c>
      <c r="G1471" t="s">
        <v>6159</v>
      </c>
    </row>
    <row r="1472" spans="1:7" x14ac:dyDescent="0.25">
      <c r="A1472" t="s">
        <v>1577</v>
      </c>
      <c r="B1472" s="5">
        <v>38665</v>
      </c>
      <c r="C1472" s="5" t="s">
        <v>3423</v>
      </c>
      <c r="D1472" t="s">
        <v>3423</v>
      </c>
      <c r="G1472" t="s">
        <v>6159</v>
      </c>
    </row>
    <row r="1473" spans="1:7" x14ac:dyDescent="0.25">
      <c r="A1473" t="s">
        <v>2773</v>
      </c>
      <c r="B1473" s="5">
        <v>38671</v>
      </c>
      <c r="C1473" s="5" t="s">
        <v>3424</v>
      </c>
      <c r="D1473" t="s">
        <v>3424</v>
      </c>
      <c r="G1473" t="s">
        <v>6159</v>
      </c>
    </row>
    <row r="1474" spans="1:7" x14ac:dyDescent="0.25">
      <c r="A1474" t="s">
        <v>362</v>
      </c>
      <c r="B1474" s="5">
        <v>38671</v>
      </c>
      <c r="C1474" s="5" t="s">
        <v>3425</v>
      </c>
      <c r="D1474" t="s">
        <v>3425</v>
      </c>
      <c r="G1474" t="s">
        <v>6159</v>
      </c>
    </row>
    <row r="1475" spans="1:7" x14ac:dyDescent="0.25">
      <c r="A1475" t="s">
        <v>2822</v>
      </c>
      <c r="B1475" s="5">
        <v>38672</v>
      </c>
      <c r="C1475" s="5" t="s">
        <v>3426</v>
      </c>
      <c r="D1475" t="s">
        <v>3426</v>
      </c>
      <c r="G1475" t="s">
        <v>6159</v>
      </c>
    </row>
    <row r="1476" spans="1:7" x14ac:dyDescent="0.25">
      <c r="A1476" t="s">
        <v>2115</v>
      </c>
      <c r="B1476" s="5">
        <v>38685</v>
      </c>
      <c r="C1476" s="5" t="s">
        <v>3427</v>
      </c>
      <c r="D1476" t="s">
        <v>3427</v>
      </c>
      <c r="G1476" t="s">
        <v>6159</v>
      </c>
    </row>
    <row r="1477" spans="1:7" x14ac:dyDescent="0.25">
      <c r="A1477" t="s">
        <v>2828</v>
      </c>
      <c r="B1477" s="5">
        <v>39952</v>
      </c>
      <c r="C1477" s="5" t="s">
        <v>3428</v>
      </c>
      <c r="D1477" t="s">
        <v>3428</v>
      </c>
      <c r="G1477" t="s">
        <v>6159</v>
      </c>
    </row>
    <row r="1478" spans="1:7" x14ac:dyDescent="0.25">
      <c r="A1478" t="s">
        <v>328</v>
      </c>
      <c r="B1478" s="5">
        <v>38686</v>
      </c>
      <c r="C1478" s="5" t="s">
        <v>3429</v>
      </c>
      <c r="D1478" t="s">
        <v>3429</v>
      </c>
      <c r="G1478" t="s">
        <v>6159</v>
      </c>
    </row>
    <row r="1479" spans="1:7" x14ac:dyDescent="0.25">
      <c r="A1479" t="s">
        <v>326</v>
      </c>
      <c r="B1479" s="5">
        <v>38686</v>
      </c>
      <c r="C1479" s="5" t="s">
        <v>3430</v>
      </c>
      <c r="D1479" t="s">
        <v>3430</v>
      </c>
      <c r="G1479" t="s">
        <v>6159</v>
      </c>
    </row>
    <row r="1480" spans="1:7" x14ac:dyDescent="0.25">
      <c r="A1480" t="s">
        <v>2818</v>
      </c>
      <c r="B1480" s="5">
        <v>38686</v>
      </c>
      <c r="C1480" s="5" t="s">
        <v>3431</v>
      </c>
      <c r="D1480" t="s">
        <v>3431</v>
      </c>
      <c r="G1480" t="s">
        <v>6159</v>
      </c>
    </row>
    <row r="1481" spans="1:7" x14ac:dyDescent="0.25">
      <c r="A1481" t="s">
        <v>308</v>
      </c>
      <c r="B1481" s="5">
        <v>38687</v>
      </c>
      <c r="C1481" s="5" t="s">
        <v>3432</v>
      </c>
      <c r="D1481" t="s">
        <v>3432</v>
      </c>
      <c r="G1481" t="s">
        <v>6159</v>
      </c>
    </row>
    <row r="1482" spans="1:7" x14ac:dyDescent="0.25">
      <c r="A1482" t="s">
        <v>377</v>
      </c>
      <c r="B1482" s="5">
        <v>38692</v>
      </c>
      <c r="C1482" s="5" t="s">
        <v>3433</v>
      </c>
      <c r="D1482" t="s">
        <v>3433</v>
      </c>
      <c r="G1482" t="s">
        <v>6159</v>
      </c>
    </row>
    <row r="1483" spans="1:7" x14ac:dyDescent="0.25">
      <c r="A1483" t="s">
        <v>2826</v>
      </c>
      <c r="B1483" s="5">
        <v>38693</v>
      </c>
      <c r="C1483" s="5" t="s">
        <v>3434</v>
      </c>
      <c r="D1483" t="s">
        <v>3434</v>
      </c>
      <c r="G1483" t="s">
        <v>6159</v>
      </c>
    </row>
    <row r="1484" spans="1:7" x14ac:dyDescent="0.25">
      <c r="A1484" t="s">
        <v>2825</v>
      </c>
      <c r="B1484" s="5">
        <v>38693</v>
      </c>
      <c r="C1484" s="5" t="s">
        <v>3435</v>
      </c>
      <c r="D1484" t="s">
        <v>3435</v>
      </c>
      <c r="G1484" t="s">
        <v>6159</v>
      </c>
    </row>
    <row r="1485" spans="1:7" x14ac:dyDescent="0.25">
      <c r="A1485" t="s">
        <v>208</v>
      </c>
      <c r="B1485" s="5">
        <v>38694</v>
      </c>
      <c r="C1485" s="5" t="s">
        <v>3436</v>
      </c>
      <c r="D1485" t="s">
        <v>3436</v>
      </c>
      <c r="G1485" t="s">
        <v>6159</v>
      </c>
    </row>
    <row r="1486" spans="1:7" x14ac:dyDescent="0.25">
      <c r="A1486" t="s">
        <v>342</v>
      </c>
      <c r="B1486" s="5">
        <v>38699</v>
      </c>
      <c r="C1486" s="5" t="s">
        <v>3437</v>
      </c>
      <c r="D1486" t="s">
        <v>3437</v>
      </c>
      <c r="G1486" t="s">
        <v>6159</v>
      </c>
    </row>
    <row r="1487" spans="1:7" x14ac:dyDescent="0.25">
      <c r="A1487" t="s">
        <v>320</v>
      </c>
      <c r="B1487" s="5">
        <v>38699</v>
      </c>
      <c r="C1487" s="5" t="s">
        <v>3438</v>
      </c>
      <c r="D1487" t="s">
        <v>3438</v>
      </c>
      <c r="G1487" t="s">
        <v>6159</v>
      </c>
    </row>
    <row r="1488" spans="1:7" x14ac:dyDescent="0.25">
      <c r="A1488" t="s">
        <v>39</v>
      </c>
      <c r="B1488" s="5">
        <v>38700</v>
      </c>
      <c r="C1488" s="5" t="s">
        <v>3439</v>
      </c>
      <c r="D1488" t="s">
        <v>3439</v>
      </c>
      <c r="G1488" t="s">
        <v>6159</v>
      </c>
    </row>
    <row r="1489" spans="1:7" x14ac:dyDescent="0.25">
      <c r="A1489" t="s">
        <v>2829</v>
      </c>
      <c r="B1489" s="5">
        <v>38700</v>
      </c>
      <c r="C1489" s="5" t="s">
        <v>3440</v>
      </c>
      <c r="D1489" t="s">
        <v>3440</v>
      </c>
      <c r="G1489" t="s">
        <v>6159</v>
      </c>
    </row>
    <row r="1490" spans="1:7" x14ac:dyDescent="0.25">
      <c r="A1490" t="s">
        <v>2823</v>
      </c>
      <c r="B1490" s="5">
        <v>38727</v>
      </c>
      <c r="C1490" s="5" t="s">
        <v>3441</v>
      </c>
      <c r="D1490" t="s">
        <v>3441</v>
      </c>
      <c r="G1490" t="s">
        <v>6159</v>
      </c>
    </row>
    <row r="1491" spans="1:7" x14ac:dyDescent="0.25">
      <c r="A1491" t="s">
        <v>2773</v>
      </c>
      <c r="B1491" s="5">
        <v>38727</v>
      </c>
      <c r="C1491" s="5" t="s">
        <v>3442</v>
      </c>
      <c r="D1491" t="s">
        <v>3442</v>
      </c>
      <c r="G1491" t="s">
        <v>6159</v>
      </c>
    </row>
    <row r="1492" spans="1:7" x14ac:dyDescent="0.25">
      <c r="A1492" t="s">
        <v>2822</v>
      </c>
      <c r="B1492" s="5">
        <v>38728</v>
      </c>
      <c r="C1492" s="5" t="s">
        <v>3443</v>
      </c>
      <c r="D1492" t="s">
        <v>3443</v>
      </c>
      <c r="G1492" t="s">
        <v>6159</v>
      </c>
    </row>
    <row r="1493" spans="1:7" x14ac:dyDescent="0.25">
      <c r="A1493" t="s">
        <v>362</v>
      </c>
      <c r="B1493" s="5">
        <v>38740</v>
      </c>
      <c r="C1493" s="5" t="s">
        <v>3444</v>
      </c>
      <c r="D1493" t="s">
        <v>3444</v>
      </c>
      <c r="G1493" t="s">
        <v>6159</v>
      </c>
    </row>
    <row r="1494" spans="1:7" x14ac:dyDescent="0.25">
      <c r="A1494" t="s">
        <v>377</v>
      </c>
      <c r="B1494" s="5">
        <v>38762</v>
      </c>
      <c r="C1494" s="5" t="s">
        <v>3445</v>
      </c>
      <c r="D1494" t="s">
        <v>3445</v>
      </c>
      <c r="G1494" t="s">
        <v>6159</v>
      </c>
    </row>
    <row r="1495" spans="1:7" x14ac:dyDescent="0.25">
      <c r="A1495" t="s">
        <v>2825</v>
      </c>
      <c r="B1495" s="5">
        <v>38762</v>
      </c>
      <c r="C1495" s="5" t="s">
        <v>3446</v>
      </c>
      <c r="D1495" t="s">
        <v>3446</v>
      </c>
      <c r="G1495" t="s">
        <v>6159</v>
      </c>
    </row>
    <row r="1496" spans="1:7" x14ac:dyDescent="0.25">
      <c r="A1496" t="s">
        <v>2115</v>
      </c>
      <c r="B1496" s="5">
        <v>38762</v>
      </c>
      <c r="C1496" s="5" t="s">
        <v>3447</v>
      </c>
      <c r="D1496" t="s">
        <v>3447</v>
      </c>
      <c r="G1496" t="s">
        <v>6159</v>
      </c>
    </row>
    <row r="1497" spans="1:7" x14ac:dyDescent="0.25">
      <c r="A1497" t="s">
        <v>328</v>
      </c>
      <c r="B1497" s="5">
        <v>38763</v>
      </c>
      <c r="C1497" s="5" t="s">
        <v>3448</v>
      </c>
      <c r="D1497" t="s">
        <v>3448</v>
      </c>
      <c r="G1497" t="s">
        <v>6159</v>
      </c>
    </row>
    <row r="1498" spans="1:7" x14ac:dyDescent="0.25">
      <c r="A1498" t="s">
        <v>326</v>
      </c>
      <c r="B1498" s="5">
        <v>38763</v>
      </c>
      <c r="C1498" s="5" t="s">
        <v>3449</v>
      </c>
      <c r="D1498" t="s">
        <v>3449</v>
      </c>
      <c r="G1498" t="s">
        <v>6159</v>
      </c>
    </row>
    <row r="1499" spans="1:7" x14ac:dyDescent="0.25">
      <c r="A1499" t="s">
        <v>2775</v>
      </c>
      <c r="B1499" s="5">
        <v>38763</v>
      </c>
      <c r="C1499" s="5" t="s">
        <v>3450</v>
      </c>
      <c r="D1499" t="s">
        <v>3450</v>
      </c>
      <c r="G1499" t="s">
        <v>6159</v>
      </c>
    </row>
    <row r="1500" spans="1:7" x14ac:dyDescent="0.25">
      <c r="A1500" t="s">
        <v>2818</v>
      </c>
      <c r="B1500" s="5">
        <v>38763</v>
      </c>
      <c r="C1500" s="5" t="s">
        <v>3451</v>
      </c>
      <c r="D1500" t="s">
        <v>3451</v>
      </c>
      <c r="G1500" t="s">
        <v>6159</v>
      </c>
    </row>
    <row r="1501" spans="1:7" x14ac:dyDescent="0.25">
      <c r="A1501" t="s">
        <v>208</v>
      </c>
      <c r="B1501" s="5">
        <v>38763</v>
      </c>
      <c r="C1501" s="5" t="s">
        <v>3452</v>
      </c>
      <c r="D1501" t="s">
        <v>3452</v>
      </c>
      <c r="G1501" t="s">
        <v>6159</v>
      </c>
    </row>
    <row r="1502" spans="1:7" x14ac:dyDescent="0.25">
      <c r="A1502" t="s">
        <v>2826</v>
      </c>
      <c r="B1502" s="5">
        <v>38764</v>
      </c>
      <c r="C1502" s="5" t="s">
        <v>3453</v>
      </c>
      <c r="D1502" t="s">
        <v>3453</v>
      </c>
      <c r="G1502" t="s">
        <v>6159</v>
      </c>
    </row>
    <row r="1503" spans="1:7" x14ac:dyDescent="0.25">
      <c r="A1503" t="s">
        <v>308</v>
      </c>
      <c r="B1503" s="5">
        <v>38770</v>
      </c>
      <c r="C1503" s="5" t="s">
        <v>3454</v>
      </c>
      <c r="D1503" t="s">
        <v>3454</v>
      </c>
      <c r="G1503" t="s">
        <v>6159</v>
      </c>
    </row>
    <row r="1504" spans="1:7" x14ac:dyDescent="0.25">
      <c r="A1504" t="s">
        <v>357</v>
      </c>
      <c r="B1504" s="5">
        <v>38776</v>
      </c>
      <c r="C1504" s="5" t="s">
        <v>3455</v>
      </c>
      <c r="D1504" t="s">
        <v>3455</v>
      </c>
      <c r="G1504" t="s">
        <v>6159</v>
      </c>
    </row>
    <row r="1505" spans="1:7" x14ac:dyDescent="0.25">
      <c r="A1505" t="s">
        <v>140</v>
      </c>
      <c r="B1505" s="5">
        <v>38777</v>
      </c>
      <c r="C1505" s="5" t="s">
        <v>3456</v>
      </c>
      <c r="D1505" t="s">
        <v>3456</v>
      </c>
      <c r="G1505" t="s">
        <v>6159</v>
      </c>
    </row>
    <row r="1506" spans="1:7" x14ac:dyDescent="0.25">
      <c r="A1506" t="s">
        <v>262</v>
      </c>
      <c r="B1506" s="5">
        <v>38777</v>
      </c>
      <c r="C1506" s="5" t="s">
        <v>3457</v>
      </c>
      <c r="D1506" t="s">
        <v>3457</v>
      </c>
      <c r="G1506" t="s">
        <v>6159</v>
      </c>
    </row>
    <row r="1507" spans="1:7" x14ac:dyDescent="0.25">
      <c r="A1507" t="s">
        <v>238</v>
      </c>
      <c r="B1507" s="5">
        <v>38778</v>
      </c>
      <c r="C1507" s="5" t="s">
        <v>3458</v>
      </c>
      <c r="D1507" t="s">
        <v>3458</v>
      </c>
      <c r="G1507" t="s">
        <v>6159</v>
      </c>
    </row>
    <row r="1508" spans="1:7" x14ac:dyDescent="0.25">
      <c r="A1508" t="s">
        <v>79</v>
      </c>
      <c r="B1508" s="5">
        <v>38790</v>
      </c>
      <c r="C1508" s="5" t="s">
        <v>3459</v>
      </c>
      <c r="D1508" t="s">
        <v>3459</v>
      </c>
      <c r="G1508" t="s">
        <v>6159</v>
      </c>
    </row>
    <row r="1509" spans="1:7" x14ac:dyDescent="0.25">
      <c r="A1509" t="s">
        <v>38</v>
      </c>
      <c r="B1509" s="5">
        <v>39904</v>
      </c>
      <c r="C1509" s="5" t="s">
        <v>3460</v>
      </c>
      <c r="D1509" t="s">
        <v>3460</v>
      </c>
      <c r="G1509" t="s">
        <v>6159</v>
      </c>
    </row>
    <row r="1510" spans="1:7" x14ac:dyDescent="0.25">
      <c r="A1510" t="s">
        <v>2108</v>
      </c>
      <c r="B1510" s="5">
        <v>39903</v>
      </c>
      <c r="C1510" s="5" t="s">
        <v>3461</v>
      </c>
      <c r="D1510" t="s">
        <v>3461</v>
      </c>
      <c r="G1510" t="s">
        <v>6159</v>
      </c>
    </row>
    <row r="1511" spans="1:7" x14ac:dyDescent="0.25">
      <c r="A1511" t="s">
        <v>2820</v>
      </c>
      <c r="B1511" s="5">
        <v>38791</v>
      </c>
      <c r="C1511" s="5" t="s">
        <v>3462</v>
      </c>
      <c r="D1511" t="s">
        <v>3462</v>
      </c>
      <c r="G1511" t="s">
        <v>6159</v>
      </c>
    </row>
    <row r="1512" spans="1:7" x14ac:dyDescent="0.25">
      <c r="A1512" t="s">
        <v>1577</v>
      </c>
      <c r="B1512" s="5">
        <v>38791</v>
      </c>
      <c r="C1512" s="5" t="s">
        <v>3463</v>
      </c>
      <c r="D1512" t="s">
        <v>3463</v>
      </c>
      <c r="G1512" t="s">
        <v>6159</v>
      </c>
    </row>
    <row r="1513" spans="1:7" x14ac:dyDescent="0.25">
      <c r="A1513" t="s">
        <v>1530</v>
      </c>
      <c r="B1513" s="5">
        <v>38791</v>
      </c>
      <c r="C1513" s="5" t="s">
        <v>3464</v>
      </c>
      <c r="D1513" t="s">
        <v>3464</v>
      </c>
      <c r="G1513" t="s">
        <v>6159</v>
      </c>
    </row>
    <row r="1514" spans="1:7" x14ac:dyDescent="0.25">
      <c r="A1514" t="s">
        <v>320</v>
      </c>
      <c r="B1514" s="5">
        <v>38797</v>
      </c>
      <c r="C1514" s="5" t="s">
        <v>3465</v>
      </c>
      <c r="D1514" t="s">
        <v>3465</v>
      </c>
      <c r="G1514" t="s">
        <v>6159</v>
      </c>
    </row>
    <row r="1515" spans="1:7" x14ac:dyDescent="0.25">
      <c r="A1515" t="s">
        <v>2829</v>
      </c>
      <c r="B1515" s="5">
        <v>38798</v>
      </c>
      <c r="C1515" s="5" t="s">
        <v>3466</v>
      </c>
      <c r="D1515" t="s">
        <v>3466</v>
      </c>
      <c r="G1515" t="s">
        <v>6159</v>
      </c>
    </row>
    <row r="1516" spans="1:7" x14ac:dyDescent="0.25">
      <c r="A1516" t="s">
        <v>39</v>
      </c>
      <c r="B1516" s="5">
        <v>38798</v>
      </c>
      <c r="C1516" s="5" t="s">
        <v>3467</v>
      </c>
      <c r="D1516" t="s">
        <v>3467</v>
      </c>
      <c r="G1516" t="s">
        <v>6159</v>
      </c>
    </row>
    <row r="1517" spans="1:7" x14ac:dyDescent="0.25">
      <c r="A1517" t="s">
        <v>161</v>
      </c>
      <c r="B1517" s="5">
        <v>38811</v>
      </c>
      <c r="C1517" s="5" t="s">
        <v>3468</v>
      </c>
      <c r="D1517" t="s">
        <v>3468</v>
      </c>
      <c r="G1517" t="s">
        <v>6159</v>
      </c>
    </row>
    <row r="1518" spans="1:7" x14ac:dyDescent="0.25">
      <c r="A1518" t="s">
        <v>2819</v>
      </c>
      <c r="B1518" s="5">
        <v>38811</v>
      </c>
      <c r="C1518" s="5" t="s">
        <v>3469</v>
      </c>
      <c r="D1518" t="s">
        <v>3469</v>
      </c>
      <c r="G1518" t="s">
        <v>6159</v>
      </c>
    </row>
    <row r="1519" spans="1:7" x14ac:dyDescent="0.25">
      <c r="A1519" t="s">
        <v>2108</v>
      </c>
      <c r="B1519" s="5">
        <v>38812</v>
      </c>
      <c r="C1519" s="5" t="s">
        <v>3470</v>
      </c>
      <c r="D1519" t="s">
        <v>3470</v>
      </c>
      <c r="G1519" t="s">
        <v>6159</v>
      </c>
    </row>
    <row r="1520" spans="1:7" x14ac:dyDescent="0.25">
      <c r="A1520" t="s">
        <v>38</v>
      </c>
      <c r="B1520" s="5">
        <v>38812</v>
      </c>
      <c r="C1520" s="5" t="s">
        <v>3471</v>
      </c>
      <c r="D1520" t="s">
        <v>3471</v>
      </c>
      <c r="G1520" t="s">
        <v>6159</v>
      </c>
    </row>
    <row r="1521" spans="1:7" x14ac:dyDescent="0.25">
      <c r="A1521" t="s">
        <v>35</v>
      </c>
      <c r="B1521" s="5">
        <v>38812</v>
      </c>
      <c r="C1521" s="5" t="s">
        <v>3472</v>
      </c>
      <c r="D1521" t="s">
        <v>3472</v>
      </c>
      <c r="G1521" t="s">
        <v>6159</v>
      </c>
    </row>
    <row r="1522" spans="1:7" x14ac:dyDescent="0.25">
      <c r="A1522" t="s">
        <v>339</v>
      </c>
      <c r="B1522" s="5">
        <v>39890</v>
      </c>
      <c r="C1522" s="5" t="s">
        <v>3473</v>
      </c>
      <c r="D1522" t="s">
        <v>3473</v>
      </c>
      <c r="G1522" t="s">
        <v>6159</v>
      </c>
    </row>
    <row r="1523" spans="1:7" x14ac:dyDescent="0.25">
      <c r="A1523" t="s">
        <v>140</v>
      </c>
      <c r="B1523" s="5">
        <v>39889</v>
      </c>
      <c r="C1523" s="5" t="s">
        <v>3474</v>
      </c>
      <c r="D1523" t="s">
        <v>3474</v>
      </c>
      <c r="G1523" t="s">
        <v>6159</v>
      </c>
    </row>
    <row r="1524" spans="1:7" x14ac:dyDescent="0.25">
      <c r="A1524" t="s">
        <v>377</v>
      </c>
      <c r="B1524" s="5">
        <v>38817</v>
      </c>
      <c r="C1524" s="5" t="s">
        <v>3475</v>
      </c>
      <c r="D1524" t="s">
        <v>3475</v>
      </c>
      <c r="G1524" t="s">
        <v>6159</v>
      </c>
    </row>
    <row r="1525" spans="1:7" x14ac:dyDescent="0.25">
      <c r="A1525" t="s">
        <v>2825</v>
      </c>
      <c r="B1525" s="5">
        <v>38818</v>
      </c>
      <c r="C1525" s="5" t="s">
        <v>3476</v>
      </c>
      <c r="D1525" t="s">
        <v>3476</v>
      </c>
      <c r="G1525" t="s">
        <v>6159</v>
      </c>
    </row>
    <row r="1526" spans="1:7" x14ac:dyDescent="0.25">
      <c r="A1526" t="s">
        <v>18</v>
      </c>
      <c r="B1526" s="5">
        <v>39884</v>
      </c>
      <c r="C1526" s="5" t="s">
        <v>3477</v>
      </c>
      <c r="D1526" t="s">
        <v>3477</v>
      </c>
      <c r="G1526" t="s">
        <v>6159</v>
      </c>
    </row>
    <row r="1527" spans="1:7" x14ac:dyDescent="0.25">
      <c r="A1527" t="s">
        <v>2826</v>
      </c>
      <c r="B1527" s="5">
        <v>38819</v>
      </c>
      <c r="C1527" s="5" t="s">
        <v>3478</v>
      </c>
      <c r="D1527" t="s">
        <v>3478</v>
      </c>
      <c r="G1527" t="s">
        <v>6159</v>
      </c>
    </row>
    <row r="1528" spans="1:7" x14ac:dyDescent="0.25">
      <c r="A1528" t="s">
        <v>2818</v>
      </c>
      <c r="B1528" s="5">
        <v>38824</v>
      </c>
      <c r="C1528" s="5" t="s">
        <v>3479</v>
      </c>
      <c r="D1528" t="s">
        <v>3479</v>
      </c>
      <c r="G1528" t="s">
        <v>6159</v>
      </c>
    </row>
    <row r="1529" spans="1:7" x14ac:dyDescent="0.25">
      <c r="A1529" t="s">
        <v>2115</v>
      </c>
      <c r="B1529" s="5">
        <v>38826</v>
      </c>
      <c r="C1529" s="5" t="s">
        <v>3480</v>
      </c>
      <c r="D1529" t="s">
        <v>3480</v>
      </c>
      <c r="G1529" t="s">
        <v>6159</v>
      </c>
    </row>
    <row r="1530" spans="1:7" x14ac:dyDescent="0.25">
      <c r="A1530" t="s">
        <v>2829</v>
      </c>
      <c r="B1530" s="5">
        <v>38833</v>
      </c>
      <c r="C1530" s="5" t="s">
        <v>3481</v>
      </c>
      <c r="D1530" t="s">
        <v>3481</v>
      </c>
      <c r="G1530" t="s">
        <v>6159</v>
      </c>
    </row>
    <row r="1531" spans="1:7" x14ac:dyDescent="0.25">
      <c r="A1531" t="s">
        <v>2830</v>
      </c>
      <c r="B1531" s="5">
        <v>39874</v>
      </c>
      <c r="C1531" s="5" t="s">
        <v>3482</v>
      </c>
      <c r="D1531" t="s">
        <v>3482</v>
      </c>
      <c r="G1531" t="s">
        <v>6159</v>
      </c>
    </row>
    <row r="1532" spans="1:7" x14ac:dyDescent="0.25">
      <c r="A1532" t="s">
        <v>1530</v>
      </c>
      <c r="B1532" s="5">
        <v>38846</v>
      </c>
      <c r="C1532" s="5" t="s">
        <v>3483</v>
      </c>
      <c r="D1532" t="s">
        <v>3483</v>
      </c>
      <c r="G1532" t="s">
        <v>6159</v>
      </c>
    </row>
    <row r="1533" spans="1:7" x14ac:dyDescent="0.25">
      <c r="A1533" t="s">
        <v>201</v>
      </c>
      <c r="B1533" s="5">
        <v>39855</v>
      </c>
      <c r="C1533" s="5" t="s">
        <v>3484</v>
      </c>
      <c r="D1533" t="s">
        <v>3484</v>
      </c>
      <c r="G1533" t="s">
        <v>6159</v>
      </c>
    </row>
    <row r="1534" spans="1:7" x14ac:dyDescent="0.25">
      <c r="A1534" t="s">
        <v>2822</v>
      </c>
      <c r="B1534" s="5">
        <v>38881</v>
      </c>
      <c r="C1534" s="5" t="s">
        <v>3485</v>
      </c>
      <c r="D1534" t="s">
        <v>3485</v>
      </c>
      <c r="G1534" t="s">
        <v>6159</v>
      </c>
    </row>
    <row r="1535" spans="1:7" x14ac:dyDescent="0.25">
      <c r="A1535" t="s">
        <v>2823</v>
      </c>
      <c r="B1535" s="5">
        <v>38881</v>
      </c>
      <c r="C1535" s="5" t="s">
        <v>3486</v>
      </c>
      <c r="D1535" t="s">
        <v>3486</v>
      </c>
      <c r="G1535" t="s">
        <v>6159</v>
      </c>
    </row>
    <row r="1536" spans="1:7" x14ac:dyDescent="0.25">
      <c r="A1536" t="s">
        <v>50</v>
      </c>
      <c r="B1536" s="5">
        <v>42457</v>
      </c>
      <c r="C1536" s="5" t="s">
        <v>3487</v>
      </c>
      <c r="D1536" t="s">
        <v>3487</v>
      </c>
      <c r="G1536" t="s">
        <v>6159</v>
      </c>
    </row>
    <row r="1537" spans="1:7" x14ac:dyDescent="0.25">
      <c r="A1537" t="s">
        <v>212</v>
      </c>
      <c r="B1537" s="5">
        <v>41165</v>
      </c>
      <c r="C1537" s="5" t="s">
        <v>3488</v>
      </c>
      <c r="D1537" t="s">
        <v>3488</v>
      </c>
      <c r="G1537" t="s">
        <v>6159</v>
      </c>
    </row>
    <row r="1538" spans="1:7" x14ac:dyDescent="0.25">
      <c r="A1538" t="s">
        <v>2773</v>
      </c>
      <c r="B1538" s="5">
        <v>39825</v>
      </c>
      <c r="C1538" s="5" t="s">
        <v>3489</v>
      </c>
      <c r="D1538" t="s">
        <v>3489</v>
      </c>
      <c r="G1538" t="s">
        <v>6159</v>
      </c>
    </row>
    <row r="1539" spans="1:7" x14ac:dyDescent="0.25">
      <c r="A1539" t="s">
        <v>66</v>
      </c>
      <c r="B1539" s="5">
        <v>41200</v>
      </c>
      <c r="C1539" s="5" t="s">
        <v>3490</v>
      </c>
      <c r="D1539" t="s">
        <v>3490</v>
      </c>
      <c r="G1539" t="s">
        <v>6159</v>
      </c>
    </row>
    <row r="1540" spans="1:7" x14ac:dyDescent="0.25">
      <c r="A1540" t="s">
        <v>138</v>
      </c>
      <c r="B1540" s="5">
        <v>39034</v>
      </c>
      <c r="C1540" s="5" t="s">
        <v>3491</v>
      </c>
      <c r="D1540" t="s">
        <v>3491</v>
      </c>
      <c r="G1540" t="s">
        <v>6159</v>
      </c>
    </row>
    <row r="1541" spans="1:7" x14ac:dyDescent="0.25">
      <c r="A1541" t="s">
        <v>2831</v>
      </c>
      <c r="B1541" s="5">
        <v>39034</v>
      </c>
      <c r="C1541" s="5" t="s">
        <v>3492</v>
      </c>
      <c r="D1541" t="s">
        <v>3492</v>
      </c>
      <c r="G1541" t="s">
        <v>6159</v>
      </c>
    </row>
    <row r="1542" spans="1:7" x14ac:dyDescent="0.25">
      <c r="A1542" t="s">
        <v>104</v>
      </c>
      <c r="B1542" s="5">
        <v>39034</v>
      </c>
      <c r="C1542" s="5" t="s">
        <v>3493</v>
      </c>
      <c r="D1542" t="s">
        <v>3493</v>
      </c>
      <c r="G1542" t="s">
        <v>6159</v>
      </c>
    </row>
    <row r="1543" spans="1:7" x14ac:dyDescent="0.25">
      <c r="A1543" t="s">
        <v>112</v>
      </c>
      <c r="B1543" s="5">
        <v>39035</v>
      </c>
      <c r="C1543" s="5" t="s">
        <v>3494</v>
      </c>
      <c r="D1543" t="s">
        <v>3494</v>
      </c>
      <c r="G1543" t="s">
        <v>6159</v>
      </c>
    </row>
    <row r="1544" spans="1:7" x14ac:dyDescent="0.25">
      <c r="A1544" t="s">
        <v>163</v>
      </c>
      <c r="B1544" s="5">
        <v>39035</v>
      </c>
      <c r="C1544" s="5" t="s">
        <v>3495</v>
      </c>
      <c r="D1544" t="s">
        <v>3495</v>
      </c>
      <c r="G1544" t="s">
        <v>6159</v>
      </c>
    </row>
    <row r="1545" spans="1:7" x14ac:dyDescent="0.25">
      <c r="A1545" t="s">
        <v>1519</v>
      </c>
      <c r="B1545" s="5">
        <v>39035</v>
      </c>
      <c r="C1545" s="5" t="s">
        <v>3496</v>
      </c>
      <c r="D1545" t="s">
        <v>3496</v>
      </c>
      <c r="G1545" t="s">
        <v>6159</v>
      </c>
    </row>
    <row r="1546" spans="1:7" x14ac:dyDescent="0.25">
      <c r="A1546" t="s">
        <v>339</v>
      </c>
      <c r="B1546" s="5">
        <v>39771</v>
      </c>
      <c r="C1546" s="5" t="s">
        <v>3497</v>
      </c>
      <c r="D1546" t="s">
        <v>3497</v>
      </c>
      <c r="G1546" t="s">
        <v>6159</v>
      </c>
    </row>
    <row r="1547" spans="1:7" x14ac:dyDescent="0.25">
      <c r="A1547" t="s">
        <v>333</v>
      </c>
      <c r="B1547" s="5">
        <v>39771</v>
      </c>
      <c r="C1547" s="5" t="s">
        <v>3498</v>
      </c>
      <c r="D1547" t="s">
        <v>3498</v>
      </c>
      <c r="G1547" t="s">
        <v>6159</v>
      </c>
    </row>
    <row r="1548" spans="1:7" x14ac:dyDescent="0.25">
      <c r="A1548" t="s">
        <v>73</v>
      </c>
      <c r="B1548" s="5">
        <v>39036</v>
      </c>
      <c r="C1548" s="5" t="s">
        <v>3499</v>
      </c>
      <c r="D1548" t="s">
        <v>3499</v>
      </c>
      <c r="G1548" t="s">
        <v>6159</v>
      </c>
    </row>
    <row r="1549" spans="1:7" x14ac:dyDescent="0.25">
      <c r="A1549" t="s">
        <v>101</v>
      </c>
      <c r="B1549" s="5">
        <v>39036</v>
      </c>
      <c r="C1549" s="5" t="s">
        <v>3500</v>
      </c>
      <c r="D1549" t="s">
        <v>3500</v>
      </c>
      <c r="G1549" t="s">
        <v>6159</v>
      </c>
    </row>
    <row r="1550" spans="1:7" x14ac:dyDescent="0.25">
      <c r="A1550" t="s">
        <v>2832</v>
      </c>
      <c r="B1550" s="5">
        <v>39036</v>
      </c>
      <c r="C1550" s="5" t="s">
        <v>3501</v>
      </c>
      <c r="D1550" t="s">
        <v>3501</v>
      </c>
      <c r="G1550" t="s">
        <v>6159</v>
      </c>
    </row>
    <row r="1551" spans="1:7" x14ac:dyDescent="0.25">
      <c r="A1551" t="s">
        <v>174</v>
      </c>
      <c r="B1551" s="5">
        <v>39036</v>
      </c>
      <c r="C1551" s="5" t="s">
        <v>3502</v>
      </c>
      <c r="D1551" t="s">
        <v>3502</v>
      </c>
      <c r="G1551" t="s">
        <v>6159</v>
      </c>
    </row>
    <row r="1552" spans="1:7" x14ac:dyDescent="0.25">
      <c r="A1552" t="s">
        <v>123</v>
      </c>
      <c r="B1552" s="5">
        <v>39036</v>
      </c>
      <c r="C1552" s="5" t="s">
        <v>3503</v>
      </c>
      <c r="D1552" t="s">
        <v>3503</v>
      </c>
      <c r="G1552" t="s">
        <v>6159</v>
      </c>
    </row>
    <row r="1553" spans="1:7" x14ac:dyDescent="0.25">
      <c r="A1553" t="s">
        <v>128</v>
      </c>
      <c r="B1553" s="5">
        <v>39036</v>
      </c>
      <c r="C1553" s="5" t="s">
        <v>3504</v>
      </c>
      <c r="D1553" t="s">
        <v>3504</v>
      </c>
      <c r="G1553" t="s">
        <v>6159</v>
      </c>
    </row>
    <row r="1554" spans="1:7" x14ac:dyDescent="0.25">
      <c r="A1554" t="s">
        <v>2833</v>
      </c>
      <c r="B1554" s="5">
        <v>39037</v>
      </c>
      <c r="C1554" s="5" t="s">
        <v>3505</v>
      </c>
      <c r="D1554" t="s">
        <v>3505</v>
      </c>
      <c r="G1554" t="s">
        <v>6159</v>
      </c>
    </row>
    <row r="1555" spans="1:7" x14ac:dyDescent="0.25">
      <c r="A1555" t="s">
        <v>2834</v>
      </c>
      <c r="B1555" s="5">
        <v>39048</v>
      </c>
      <c r="C1555" s="5" t="s">
        <v>3506</v>
      </c>
      <c r="D1555" t="s">
        <v>3506</v>
      </c>
      <c r="G1555" t="s">
        <v>6159</v>
      </c>
    </row>
    <row r="1556" spans="1:7" x14ac:dyDescent="0.25">
      <c r="A1556" t="s">
        <v>119</v>
      </c>
      <c r="B1556" s="5">
        <v>39048</v>
      </c>
      <c r="C1556" s="5" t="s">
        <v>3507</v>
      </c>
      <c r="D1556" t="s">
        <v>3507</v>
      </c>
      <c r="G1556" t="s">
        <v>6159</v>
      </c>
    </row>
    <row r="1557" spans="1:7" x14ac:dyDescent="0.25">
      <c r="A1557" t="s">
        <v>136</v>
      </c>
      <c r="B1557" s="5">
        <v>39049</v>
      </c>
      <c r="C1557" s="5" t="s">
        <v>3508</v>
      </c>
      <c r="D1557" t="s">
        <v>3508</v>
      </c>
      <c r="G1557" t="s">
        <v>6159</v>
      </c>
    </row>
    <row r="1558" spans="1:7" x14ac:dyDescent="0.25">
      <c r="A1558" t="s">
        <v>2835</v>
      </c>
      <c r="B1558" s="5">
        <v>39050</v>
      </c>
      <c r="C1558" s="5" t="s">
        <v>3509</v>
      </c>
      <c r="D1558" t="s">
        <v>3509</v>
      </c>
      <c r="G1558" t="s">
        <v>6159</v>
      </c>
    </row>
    <row r="1559" spans="1:7" x14ac:dyDescent="0.25">
      <c r="A1559" t="s">
        <v>2836</v>
      </c>
      <c r="B1559" s="5">
        <v>39126</v>
      </c>
      <c r="C1559" s="5" t="s">
        <v>3510</v>
      </c>
      <c r="D1559" t="s">
        <v>3510</v>
      </c>
      <c r="G1559" t="s">
        <v>6159</v>
      </c>
    </row>
    <row r="1560" spans="1:7" x14ac:dyDescent="0.25">
      <c r="A1560" t="s">
        <v>102</v>
      </c>
      <c r="B1560" s="5">
        <v>39715</v>
      </c>
      <c r="C1560" s="5" t="s">
        <v>3511</v>
      </c>
      <c r="D1560" t="s">
        <v>3511</v>
      </c>
      <c r="G1560" t="s">
        <v>6159</v>
      </c>
    </row>
    <row r="1561" spans="1:7" x14ac:dyDescent="0.25">
      <c r="A1561" t="s">
        <v>2837</v>
      </c>
      <c r="B1561" s="5">
        <v>39146</v>
      </c>
      <c r="C1561" s="5" t="s">
        <v>3512</v>
      </c>
      <c r="D1561" t="s">
        <v>3512</v>
      </c>
      <c r="G1561" t="s">
        <v>6159</v>
      </c>
    </row>
    <row r="1562" spans="1:7" x14ac:dyDescent="0.25">
      <c r="A1562" t="s">
        <v>112</v>
      </c>
      <c r="B1562" s="5">
        <v>39146</v>
      </c>
      <c r="C1562" s="5" t="s">
        <v>3513</v>
      </c>
      <c r="D1562" t="s">
        <v>3513</v>
      </c>
      <c r="G1562" t="s">
        <v>6159</v>
      </c>
    </row>
    <row r="1563" spans="1:7" x14ac:dyDescent="0.25">
      <c r="A1563" t="s">
        <v>2834</v>
      </c>
      <c r="B1563" s="5">
        <v>39146</v>
      </c>
      <c r="C1563" s="5" t="s">
        <v>3514</v>
      </c>
      <c r="D1563" t="s">
        <v>3514</v>
      </c>
      <c r="G1563" t="s">
        <v>6159</v>
      </c>
    </row>
    <row r="1564" spans="1:7" x14ac:dyDescent="0.25">
      <c r="A1564" t="s">
        <v>333</v>
      </c>
      <c r="B1564" s="5">
        <v>39687</v>
      </c>
      <c r="C1564" s="5" t="s">
        <v>3515</v>
      </c>
      <c r="D1564" t="s">
        <v>3515</v>
      </c>
      <c r="G1564" t="s">
        <v>6159</v>
      </c>
    </row>
    <row r="1565" spans="1:7" x14ac:dyDescent="0.25">
      <c r="A1565" t="s">
        <v>119</v>
      </c>
      <c r="B1565" s="5">
        <v>39147</v>
      </c>
      <c r="C1565" s="5" t="s">
        <v>3516</v>
      </c>
      <c r="D1565" t="s">
        <v>3516</v>
      </c>
      <c r="G1565" t="s">
        <v>6159</v>
      </c>
    </row>
    <row r="1566" spans="1:7" x14ac:dyDescent="0.25">
      <c r="A1566" t="s">
        <v>123</v>
      </c>
      <c r="B1566" s="5">
        <v>39147</v>
      </c>
      <c r="C1566" s="5" t="s">
        <v>3517</v>
      </c>
      <c r="D1566" t="s">
        <v>3517</v>
      </c>
      <c r="G1566" t="s">
        <v>6159</v>
      </c>
    </row>
    <row r="1567" spans="1:7" x14ac:dyDescent="0.25">
      <c r="A1567" t="s">
        <v>2838</v>
      </c>
      <c r="B1567" s="5">
        <v>39147</v>
      </c>
      <c r="C1567" s="5" t="s">
        <v>3518</v>
      </c>
      <c r="D1567" t="s">
        <v>3518</v>
      </c>
      <c r="G1567" t="s">
        <v>6159</v>
      </c>
    </row>
    <row r="1568" spans="1:7" x14ac:dyDescent="0.25">
      <c r="A1568" t="s">
        <v>136</v>
      </c>
      <c r="B1568" s="5">
        <v>39147</v>
      </c>
      <c r="C1568" s="5" t="s">
        <v>3519</v>
      </c>
      <c r="D1568" t="s">
        <v>3519</v>
      </c>
      <c r="G1568" t="s">
        <v>6159</v>
      </c>
    </row>
    <row r="1569" spans="1:7" x14ac:dyDescent="0.25">
      <c r="A1569" t="s">
        <v>120</v>
      </c>
      <c r="B1569" s="5">
        <v>39148</v>
      </c>
      <c r="C1569" s="5" t="s">
        <v>3520</v>
      </c>
      <c r="D1569" t="s">
        <v>3520</v>
      </c>
      <c r="G1569" t="s">
        <v>6159</v>
      </c>
    </row>
    <row r="1570" spans="1:7" x14ac:dyDescent="0.25">
      <c r="A1570" t="s">
        <v>2835</v>
      </c>
      <c r="B1570" s="5">
        <v>39148</v>
      </c>
      <c r="C1570" s="5" t="s">
        <v>3521</v>
      </c>
      <c r="D1570" t="s">
        <v>3521</v>
      </c>
      <c r="G1570" t="s">
        <v>6159</v>
      </c>
    </row>
    <row r="1571" spans="1:7" x14ac:dyDescent="0.25">
      <c r="A1571" t="s">
        <v>2839</v>
      </c>
      <c r="B1571" s="5">
        <v>41368</v>
      </c>
      <c r="C1571" s="5" t="s">
        <v>3522</v>
      </c>
      <c r="D1571" t="s">
        <v>3522</v>
      </c>
      <c r="G1571" t="s">
        <v>6159</v>
      </c>
    </row>
    <row r="1572" spans="1:7" x14ac:dyDescent="0.25">
      <c r="A1572" t="s">
        <v>104</v>
      </c>
      <c r="B1572" s="5">
        <v>39167</v>
      </c>
      <c r="C1572" s="5" t="s">
        <v>3523</v>
      </c>
      <c r="D1572" t="s">
        <v>3523</v>
      </c>
      <c r="G1572" t="s">
        <v>6159</v>
      </c>
    </row>
    <row r="1573" spans="1:7" x14ac:dyDescent="0.25">
      <c r="A1573" t="s">
        <v>211</v>
      </c>
      <c r="B1573" s="5">
        <v>39673</v>
      </c>
      <c r="C1573" s="5" t="s">
        <v>3524</v>
      </c>
      <c r="D1573" t="s">
        <v>3524</v>
      </c>
      <c r="G1573" t="s">
        <v>6159</v>
      </c>
    </row>
    <row r="1574" spans="1:7" x14ac:dyDescent="0.25">
      <c r="A1574" t="s">
        <v>101</v>
      </c>
      <c r="B1574" s="5">
        <v>39168</v>
      </c>
      <c r="C1574" s="5" t="s">
        <v>3525</v>
      </c>
      <c r="D1574" t="s">
        <v>3525</v>
      </c>
      <c r="G1574" t="s">
        <v>6159</v>
      </c>
    </row>
    <row r="1575" spans="1:7" x14ac:dyDescent="0.25">
      <c r="A1575" t="s">
        <v>73</v>
      </c>
      <c r="B1575" s="5">
        <v>39168</v>
      </c>
      <c r="C1575" s="5" t="s">
        <v>3526</v>
      </c>
      <c r="D1575" t="s">
        <v>3526</v>
      </c>
      <c r="G1575" t="s">
        <v>6159</v>
      </c>
    </row>
    <row r="1576" spans="1:7" x14ac:dyDescent="0.25">
      <c r="A1576" t="s">
        <v>128</v>
      </c>
      <c r="B1576" s="5">
        <v>39169</v>
      </c>
      <c r="C1576" s="5" t="s">
        <v>3527</v>
      </c>
      <c r="D1576" t="s">
        <v>3527</v>
      </c>
      <c r="G1576" t="s">
        <v>6159</v>
      </c>
    </row>
    <row r="1577" spans="1:7" x14ac:dyDescent="0.25">
      <c r="A1577" t="s">
        <v>96</v>
      </c>
      <c r="B1577" s="5">
        <v>39177</v>
      </c>
      <c r="C1577" s="5" t="s">
        <v>3528</v>
      </c>
      <c r="D1577" t="s">
        <v>3528</v>
      </c>
      <c r="G1577" t="s">
        <v>6159</v>
      </c>
    </row>
    <row r="1578" spans="1:7" x14ac:dyDescent="0.25">
      <c r="A1578" t="s">
        <v>25</v>
      </c>
      <c r="B1578" s="5">
        <v>39182</v>
      </c>
      <c r="C1578" s="5" t="s">
        <v>3529</v>
      </c>
      <c r="D1578" t="s">
        <v>3529</v>
      </c>
      <c r="G1578" t="s">
        <v>6159</v>
      </c>
    </row>
    <row r="1579" spans="1:7" x14ac:dyDescent="0.25">
      <c r="A1579" t="s">
        <v>107</v>
      </c>
      <c r="B1579" s="5">
        <v>39191</v>
      </c>
      <c r="C1579" s="5" t="s">
        <v>3530</v>
      </c>
      <c r="D1579" t="s">
        <v>3530</v>
      </c>
      <c r="G1579" t="s">
        <v>6159</v>
      </c>
    </row>
    <row r="1580" spans="1:7" x14ac:dyDescent="0.25">
      <c r="A1580" t="s">
        <v>2838</v>
      </c>
      <c r="B1580" s="5">
        <v>39195</v>
      </c>
      <c r="C1580" s="5" t="s">
        <v>3531</v>
      </c>
      <c r="D1580" t="s">
        <v>3531</v>
      </c>
      <c r="G1580" t="s">
        <v>6159</v>
      </c>
    </row>
    <row r="1581" spans="1:7" x14ac:dyDescent="0.25">
      <c r="A1581" t="s">
        <v>2832</v>
      </c>
      <c r="B1581" s="5">
        <v>39197</v>
      </c>
      <c r="C1581" s="5" t="s">
        <v>3532</v>
      </c>
      <c r="D1581" t="s">
        <v>3532</v>
      </c>
      <c r="G1581" t="s">
        <v>6159</v>
      </c>
    </row>
    <row r="1582" spans="1:7" x14ac:dyDescent="0.25">
      <c r="A1582" t="s">
        <v>174</v>
      </c>
      <c r="B1582" s="5">
        <v>39197</v>
      </c>
      <c r="C1582" s="5" t="s">
        <v>3533</v>
      </c>
      <c r="D1582" t="s">
        <v>3533</v>
      </c>
      <c r="G1582" t="s">
        <v>6159</v>
      </c>
    </row>
    <row r="1583" spans="1:7" x14ac:dyDescent="0.25">
      <c r="A1583" t="s">
        <v>163</v>
      </c>
      <c r="B1583" s="5">
        <v>39202</v>
      </c>
      <c r="C1583" s="5" t="s">
        <v>3534</v>
      </c>
      <c r="D1583" t="s">
        <v>3534</v>
      </c>
      <c r="G1583" t="s">
        <v>6159</v>
      </c>
    </row>
    <row r="1584" spans="1:7" x14ac:dyDescent="0.25">
      <c r="A1584" t="s">
        <v>2840</v>
      </c>
      <c r="B1584" s="5">
        <v>39425</v>
      </c>
      <c r="C1584" s="5" t="s">
        <v>3535</v>
      </c>
      <c r="D1584" t="s">
        <v>3535</v>
      </c>
      <c r="G1584" t="s">
        <v>6159</v>
      </c>
    </row>
    <row r="1585" spans="1:7" x14ac:dyDescent="0.25">
      <c r="A1585" t="s">
        <v>1519</v>
      </c>
      <c r="B1585" s="5">
        <v>39203</v>
      </c>
      <c r="C1585" s="5" t="s">
        <v>3536</v>
      </c>
      <c r="D1585" t="s">
        <v>3536</v>
      </c>
      <c r="G1585" t="s">
        <v>6159</v>
      </c>
    </row>
    <row r="1586" spans="1:7" x14ac:dyDescent="0.25">
      <c r="A1586" t="s">
        <v>2833</v>
      </c>
      <c r="B1586" s="5">
        <v>39203</v>
      </c>
      <c r="C1586" s="5" t="s">
        <v>3537</v>
      </c>
      <c r="D1586" t="s">
        <v>3537</v>
      </c>
      <c r="G1586" t="s">
        <v>6159</v>
      </c>
    </row>
    <row r="1587" spans="1:7" x14ac:dyDescent="0.25">
      <c r="A1587" t="s">
        <v>163</v>
      </c>
      <c r="B1587" s="5">
        <v>39218</v>
      </c>
      <c r="C1587" s="5" t="s">
        <v>3538</v>
      </c>
      <c r="D1587" t="s">
        <v>3538</v>
      </c>
      <c r="G1587" t="s">
        <v>6159</v>
      </c>
    </row>
    <row r="1588" spans="1:7" x14ac:dyDescent="0.25">
      <c r="A1588" t="s">
        <v>2812</v>
      </c>
      <c r="B1588" s="5">
        <v>39219</v>
      </c>
      <c r="C1588" s="5" t="s">
        <v>3539</v>
      </c>
      <c r="D1588" t="s">
        <v>3539</v>
      </c>
      <c r="G1588" t="s">
        <v>6159</v>
      </c>
    </row>
    <row r="1589" spans="1:7" x14ac:dyDescent="0.25">
      <c r="A1589" t="s">
        <v>2837</v>
      </c>
      <c r="B1589" s="5">
        <v>39223</v>
      </c>
      <c r="C1589" s="5" t="s">
        <v>3540</v>
      </c>
      <c r="D1589" t="s">
        <v>3540</v>
      </c>
      <c r="G1589" t="s">
        <v>6159</v>
      </c>
    </row>
    <row r="1590" spans="1:7" x14ac:dyDescent="0.25">
      <c r="A1590" t="s">
        <v>118</v>
      </c>
      <c r="B1590" s="5">
        <v>40330</v>
      </c>
      <c r="C1590" s="5" t="s">
        <v>3541</v>
      </c>
      <c r="D1590" t="s">
        <v>3541</v>
      </c>
      <c r="G1590" t="s">
        <v>6159</v>
      </c>
    </row>
    <row r="1591" spans="1:7" x14ac:dyDescent="0.25">
      <c r="A1591" t="s">
        <v>138</v>
      </c>
      <c r="B1591" s="5">
        <v>39253</v>
      </c>
      <c r="C1591" s="5" t="s">
        <v>3542</v>
      </c>
      <c r="D1591" t="s">
        <v>3542</v>
      </c>
      <c r="G1591" t="s">
        <v>6159</v>
      </c>
    </row>
    <row r="1592" spans="1:7" x14ac:dyDescent="0.25">
      <c r="A1592" t="s">
        <v>320</v>
      </c>
      <c r="B1592" s="5">
        <v>39260</v>
      </c>
      <c r="C1592" s="5" t="s">
        <v>3543</v>
      </c>
      <c r="D1592" t="s">
        <v>3543</v>
      </c>
      <c r="G1592" t="s">
        <v>6159</v>
      </c>
    </row>
    <row r="1593" spans="1:7" x14ac:dyDescent="0.25">
      <c r="A1593" t="s">
        <v>2841</v>
      </c>
      <c r="B1593" s="5">
        <v>40267</v>
      </c>
      <c r="C1593" s="5" t="s">
        <v>3544</v>
      </c>
      <c r="D1593" t="s">
        <v>3544</v>
      </c>
      <c r="G1593" t="s">
        <v>6159</v>
      </c>
    </row>
    <row r="1594" spans="1:7" x14ac:dyDescent="0.25">
      <c r="A1594" t="s">
        <v>2842</v>
      </c>
      <c r="B1594" s="5">
        <v>39261</v>
      </c>
      <c r="C1594" s="5" t="s">
        <v>3545</v>
      </c>
      <c r="D1594" t="s">
        <v>3545</v>
      </c>
      <c r="G1594" t="s">
        <v>6159</v>
      </c>
    </row>
    <row r="1595" spans="1:7" x14ac:dyDescent="0.25">
      <c r="A1595" t="s">
        <v>2843</v>
      </c>
      <c r="B1595" s="5">
        <v>39261</v>
      </c>
      <c r="C1595" s="5" t="s">
        <v>3546</v>
      </c>
      <c r="D1595" t="s">
        <v>3546</v>
      </c>
      <c r="G1595" t="s">
        <v>6159</v>
      </c>
    </row>
    <row r="1596" spans="1:7" x14ac:dyDescent="0.25">
      <c r="A1596" t="s">
        <v>2844</v>
      </c>
      <c r="B1596" s="5">
        <v>39261</v>
      </c>
      <c r="C1596" s="5" t="s">
        <v>3547</v>
      </c>
      <c r="D1596" t="s">
        <v>3547</v>
      </c>
      <c r="G1596" t="s">
        <v>6159</v>
      </c>
    </row>
    <row r="1597" spans="1:7" x14ac:dyDescent="0.25">
      <c r="A1597" t="s">
        <v>324</v>
      </c>
      <c r="B1597" s="5">
        <v>39262</v>
      </c>
      <c r="C1597" s="5" t="s">
        <v>3548</v>
      </c>
      <c r="D1597" t="s">
        <v>3548</v>
      </c>
      <c r="G1597" t="s">
        <v>6159</v>
      </c>
    </row>
    <row r="1598" spans="1:7" x14ac:dyDescent="0.25">
      <c r="A1598" t="s">
        <v>2845</v>
      </c>
      <c r="B1598" s="5">
        <v>40155</v>
      </c>
      <c r="C1598" s="5" t="s">
        <v>3549</v>
      </c>
      <c r="D1598" t="s">
        <v>3549</v>
      </c>
      <c r="G1598" t="s">
        <v>6159</v>
      </c>
    </row>
    <row r="1599" spans="1:7" x14ac:dyDescent="0.25">
      <c r="A1599" t="s">
        <v>126</v>
      </c>
      <c r="B1599" s="5">
        <v>40154</v>
      </c>
      <c r="C1599" s="5" t="s">
        <v>3550</v>
      </c>
      <c r="D1599" t="s">
        <v>3550</v>
      </c>
      <c r="G1599" t="s">
        <v>6159</v>
      </c>
    </row>
    <row r="1600" spans="1:7" x14ac:dyDescent="0.25">
      <c r="A1600" t="s">
        <v>2846</v>
      </c>
      <c r="B1600" s="5">
        <v>39610</v>
      </c>
      <c r="C1600" s="5" t="s">
        <v>3551</v>
      </c>
      <c r="D1600" t="s">
        <v>3551</v>
      </c>
      <c r="G1600" t="s">
        <v>6159</v>
      </c>
    </row>
    <row r="1601" spans="1:7" x14ac:dyDescent="0.25">
      <c r="A1601" t="s">
        <v>103</v>
      </c>
      <c r="B1601" s="5">
        <v>40085</v>
      </c>
      <c r="C1601" s="5" t="s">
        <v>3552</v>
      </c>
      <c r="D1601" t="s">
        <v>3552</v>
      </c>
      <c r="G1601" t="s">
        <v>6159</v>
      </c>
    </row>
    <row r="1602" spans="1:7" x14ac:dyDescent="0.25">
      <c r="A1602" t="s">
        <v>2814</v>
      </c>
      <c r="B1602" s="5">
        <v>40080</v>
      </c>
      <c r="C1602" s="5" t="s">
        <v>3553</v>
      </c>
      <c r="D1602" t="s">
        <v>3553</v>
      </c>
      <c r="G1602" t="s">
        <v>6159</v>
      </c>
    </row>
    <row r="1603" spans="1:7" x14ac:dyDescent="0.25">
      <c r="A1603" t="s">
        <v>139</v>
      </c>
      <c r="B1603" s="5">
        <v>40078</v>
      </c>
      <c r="C1603" s="5" t="s">
        <v>3554</v>
      </c>
      <c r="D1603" t="s">
        <v>3554</v>
      </c>
      <c r="G1603" t="s">
        <v>6159</v>
      </c>
    </row>
    <row r="1604" spans="1:7" x14ac:dyDescent="0.25">
      <c r="A1604" t="s">
        <v>85</v>
      </c>
      <c r="B1604" s="5">
        <v>39588</v>
      </c>
      <c r="C1604" s="5" t="s">
        <v>3555</v>
      </c>
      <c r="D1604" t="s">
        <v>3555</v>
      </c>
      <c r="G1604" t="s">
        <v>6159</v>
      </c>
    </row>
    <row r="1605" spans="1:7" x14ac:dyDescent="0.25">
      <c r="A1605" t="s">
        <v>99</v>
      </c>
      <c r="B1605" s="5">
        <v>40065</v>
      </c>
      <c r="C1605" s="5" t="s">
        <v>3556</v>
      </c>
      <c r="D1605" t="s">
        <v>3556</v>
      </c>
      <c r="G1605" t="s">
        <v>6159</v>
      </c>
    </row>
    <row r="1606" spans="1:7" x14ac:dyDescent="0.25">
      <c r="A1606" t="s">
        <v>49</v>
      </c>
      <c r="B1606" s="5">
        <v>39576</v>
      </c>
      <c r="C1606" s="5" t="s">
        <v>3557</v>
      </c>
      <c r="D1606" t="s">
        <v>3557</v>
      </c>
      <c r="G1606" t="s">
        <v>6159</v>
      </c>
    </row>
    <row r="1607" spans="1:7" x14ac:dyDescent="0.25">
      <c r="A1607" t="s">
        <v>43</v>
      </c>
      <c r="B1607" s="5">
        <v>39575</v>
      </c>
      <c r="C1607" s="5" t="s">
        <v>3558</v>
      </c>
      <c r="D1607" t="s">
        <v>3558</v>
      </c>
      <c r="G1607" t="s">
        <v>6159</v>
      </c>
    </row>
    <row r="1608" spans="1:7" x14ac:dyDescent="0.25">
      <c r="A1608" t="s">
        <v>69</v>
      </c>
      <c r="B1608" s="5">
        <v>39569</v>
      </c>
      <c r="C1608" s="5" t="s">
        <v>3559</v>
      </c>
      <c r="D1608" t="s">
        <v>3559</v>
      </c>
      <c r="G1608" t="s">
        <v>6159</v>
      </c>
    </row>
    <row r="1609" spans="1:7" x14ac:dyDescent="0.25">
      <c r="A1609" t="s">
        <v>2847</v>
      </c>
      <c r="B1609" s="5">
        <v>39568</v>
      </c>
      <c r="C1609" s="5" t="s">
        <v>3560</v>
      </c>
      <c r="D1609" t="s">
        <v>3560</v>
      </c>
      <c r="G1609" t="s">
        <v>6159</v>
      </c>
    </row>
    <row r="1610" spans="1:7" x14ac:dyDescent="0.25">
      <c r="A1610" t="s">
        <v>2822</v>
      </c>
      <c r="B1610" s="5">
        <v>39568</v>
      </c>
      <c r="C1610" s="5" t="s">
        <v>3561</v>
      </c>
      <c r="D1610" t="s">
        <v>3561</v>
      </c>
      <c r="G1610" t="s">
        <v>6159</v>
      </c>
    </row>
    <row r="1611" spans="1:7" x14ac:dyDescent="0.25">
      <c r="A1611" t="s">
        <v>2848</v>
      </c>
      <c r="B1611" s="5">
        <v>39568</v>
      </c>
      <c r="C1611" s="5" t="s">
        <v>3562</v>
      </c>
      <c r="D1611" t="s">
        <v>3562</v>
      </c>
      <c r="G1611" t="s">
        <v>6159</v>
      </c>
    </row>
    <row r="1612" spans="1:7" x14ac:dyDescent="0.25">
      <c r="A1612" t="s">
        <v>2773</v>
      </c>
      <c r="B1612" s="5">
        <v>39568</v>
      </c>
      <c r="C1612" s="5" t="s">
        <v>3563</v>
      </c>
      <c r="D1612" t="s">
        <v>3563</v>
      </c>
      <c r="G1612" t="s">
        <v>6159</v>
      </c>
    </row>
    <row r="1613" spans="1:7" x14ac:dyDescent="0.25">
      <c r="A1613" t="s">
        <v>365</v>
      </c>
      <c r="B1613" s="5">
        <v>39568</v>
      </c>
      <c r="C1613" s="5" t="s">
        <v>3564</v>
      </c>
      <c r="D1613" t="s">
        <v>3564</v>
      </c>
      <c r="G1613" t="s">
        <v>6159</v>
      </c>
    </row>
    <row r="1614" spans="1:7" x14ac:dyDescent="0.25">
      <c r="A1614" t="s">
        <v>2849</v>
      </c>
      <c r="B1614" s="5">
        <v>39568</v>
      </c>
      <c r="C1614" s="5" t="s">
        <v>3565</v>
      </c>
      <c r="D1614" t="s">
        <v>3565</v>
      </c>
      <c r="G1614" t="s">
        <v>6159</v>
      </c>
    </row>
    <row r="1615" spans="1:7" x14ac:dyDescent="0.25">
      <c r="A1615" t="s">
        <v>2186</v>
      </c>
      <c r="B1615" s="5">
        <v>39566</v>
      </c>
      <c r="C1615" s="5" t="s">
        <v>3566</v>
      </c>
      <c r="D1615" t="s">
        <v>3566</v>
      </c>
      <c r="G1615" t="s">
        <v>6159</v>
      </c>
    </row>
    <row r="1616" spans="1:7" x14ac:dyDescent="0.25">
      <c r="A1616" t="s">
        <v>86</v>
      </c>
      <c r="B1616" s="5">
        <v>39561</v>
      </c>
      <c r="C1616" s="5" t="s">
        <v>3567</v>
      </c>
      <c r="D1616" t="s">
        <v>3567</v>
      </c>
      <c r="G1616" t="s">
        <v>6159</v>
      </c>
    </row>
    <row r="1617" spans="1:7" x14ac:dyDescent="0.25">
      <c r="A1617" t="s">
        <v>75</v>
      </c>
      <c r="B1617" s="5">
        <v>39560</v>
      </c>
      <c r="C1617" s="5" t="s">
        <v>3568</v>
      </c>
      <c r="D1617" t="s">
        <v>3568</v>
      </c>
      <c r="G1617" t="s">
        <v>6159</v>
      </c>
    </row>
    <row r="1618" spans="1:7" x14ac:dyDescent="0.25">
      <c r="A1618" t="s">
        <v>2095</v>
      </c>
      <c r="B1618" s="5">
        <v>39560</v>
      </c>
      <c r="C1618" s="5" t="s">
        <v>3569</v>
      </c>
      <c r="D1618" t="s">
        <v>3569</v>
      </c>
      <c r="G1618" t="s">
        <v>6159</v>
      </c>
    </row>
    <row r="1619" spans="1:7" x14ac:dyDescent="0.25">
      <c r="A1619" t="s">
        <v>187</v>
      </c>
      <c r="B1619" s="5">
        <v>39541</v>
      </c>
      <c r="C1619" s="5" t="s">
        <v>3570</v>
      </c>
      <c r="D1619" t="s">
        <v>3570</v>
      </c>
      <c r="G1619" t="s">
        <v>6159</v>
      </c>
    </row>
    <row r="1620" spans="1:7" x14ac:dyDescent="0.25">
      <c r="A1620" t="s">
        <v>2847</v>
      </c>
      <c r="B1620" s="5">
        <v>39541</v>
      </c>
      <c r="C1620" s="5" t="s">
        <v>3571</v>
      </c>
      <c r="D1620" t="s">
        <v>3571</v>
      </c>
      <c r="G1620" t="s">
        <v>6159</v>
      </c>
    </row>
    <row r="1621" spans="1:7" x14ac:dyDescent="0.25">
      <c r="A1621" t="s">
        <v>195</v>
      </c>
      <c r="B1621" s="5">
        <v>39541</v>
      </c>
      <c r="C1621" s="5" t="s">
        <v>3572</v>
      </c>
      <c r="D1621" t="s">
        <v>3572</v>
      </c>
      <c r="G1621" t="s">
        <v>6159</v>
      </c>
    </row>
    <row r="1622" spans="1:7" x14ac:dyDescent="0.25">
      <c r="A1622" t="s">
        <v>313</v>
      </c>
      <c r="B1622" s="5">
        <v>39540</v>
      </c>
      <c r="C1622" s="5" t="s">
        <v>3573</v>
      </c>
      <c r="D1622" t="s">
        <v>3573</v>
      </c>
      <c r="G1622" t="s">
        <v>6159</v>
      </c>
    </row>
    <row r="1623" spans="1:7" x14ac:dyDescent="0.25">
      <c r="A1623" t="s">
        <v>121</v>
      </c>
      <c r="B1623" s="5">
        <v>39534</v>
      </c>
      <c r="C1623" s="5" t="s">
        <v>3574</v>
      </c>
      <c r="D1623" t="s">
        <v>3574</v>
      </c>
      <c r="G1623" t="s">
        <v>6159</v>
      </c>
    </row>
    <row r="1624" spans="1:7" x14ac:dyDescent="0.25">
      <c r="A1624" t="s">
        <v>60</v>
      </c>
      <c r="B1624" s="5">
        <v>39534</v>
      </c>
      <c r="C1624" s="5" t="s">
        <v>3575</v>
      </c>
      <c r="D1624" t="s">
        <v>3575</v>
      </c>
      <c r="G1624" t="s">
        <v>6159</v>
      </c>
    </row>
    <row r="1625" spans="1:7" x14ac:dyDescent="0.25">
      <c r="A1625" t="s">
        <v>151</v>
      </c>
      <c r="B1625" s="5">
        <v>39533</v>
      </c>
      <c r="C1625" s="5" t="s">
        <v>3576</v>
      </c>
      <c r="D1625" t="s">
        <v>3576</v>
      </c>
      <c r="G1625" t="s">
        <v>6159</v>
      </c>
    </row>
    <row r="1626" spans="1:7" x14ac:dyDescent="0.25">
      <c r="A1626" t="s">
        <v>358</v>
      </c>
      <c r="B1626" s="5">
        <v>39533</v>
      </c>
      <c r="C1626" s="5" t="s">
        <v>3577</v>
      </c>
      <c r="D1626" t="s">
        <v>3577</v>
      </c>
      <c r="G1626" t="s">
        <v>6159</v>
      </c>
    </row>
    <row r="1627" spans="1:7" x14ac:dyDescent="0.25">
      <c r="A1627" t="s">
        <v>285</v>
      </c>
      <c r="B1627" s="5">
        <v>39533</v>
      </c>
      <c r="C1627" s="5" t="s">
        <v>3578</v>
      </c>
      <c r="D1627" t="s">
        <v>3578</v>
      </c>
      <c r="G1627" t="s">
        <v>6159</v>
      </c>
    </row>
    <row r="1628" spans="1:7" x14ac:dyDescent="0.25">
      <c r="A1628" t="s">
        <v>230</v>
      </c>
      <c r="B1628" s="5">
        <v>39533</v>
      </c>
      <c r="C1628" s="5" t="s">
        <v>3579</v>
      </c>
      <c r="D1628" t="s">
        <v>3579</v>
      </c>
      <c r="G1628" t="s">
        <v>6159</v>
      </c>
    </row>
    <row r="1629" spans="1:7" x14ac:dyDescent="0.25">
      <c r="A1629" t="s">
        <v>295</v>
      </c>
      <c r="B1629" s="5">
        <v>39532</v>
      </c>
      <c r="C1629" s="5" t="s">
        <v>3580</v>
      </c>
      <c r="D1629" t="s">
        <v>3580</v>
      </c>
      <c r="G1629" t="s">
        <v>6159</v>
      </c>
    </row>
    <row r="1630" spans="1:7" x14ac:dyDescent="0.25">
      <c r="A1630" t="s">
        <v>197</v>
      </c>
      <c r="B1630" s="5">
        <v>39532</v>
      </c>
      <c r="C1630" s="5" t="s">
        <v>3581</v>
      </c>
      <c r="D1630" t="s">
        <v>3581</v>
      </c>
      <c r="G1630" t="s">
        <v>6159</v>
      </c>
    </row>
    <row r="1631" spans="1:7" x14ac:dyDescent="0.25">
      <c r="A1631" t="s">
        <v>53</v>
      </c>
      <c r="B1631" s="5">
        <v>39532</v>
      </c>
      <c r="C1631" s="5" t="s">
        <v>3582</v>
      </c>
      <c r="D1631" t="s">
        <v>3582</v>
      </c>
      <c r="G1631" t="s">
        <v>6159</v>
      </c>
    </row>
    <row r="1632" spans="1:7" x14ac:dyDescent="0.25">
      <c r="A1632" t="s">
        <v>267</v>
      </c>
      <c r="B1632" s="5">
        <v>39532</v>
      </c>
      <c r="C1632" s="5" t="s">
        <v>3583</v>
      </c>
      <c r="D1632" t="s">
        <v>3583</v>
      </c>
      <c r="G1632" t="s">
        <v>6159</v>
      </c>
    </row>
    <row r="1633" spans="1:7" x14ac:dyDescent="0.25">
      <c r="A1633" t="s">
        <v>374</v>
      </c>
      <c r="B1633" s="5">
        <v>39528</v>
      </c>
      <c r="C1633" s="5" t="s">
        <v>3584</v>
      </c>
      <c r="D1633" t="s">
        <v>3584</v>
      </c>
      <c r="G1633" t="s">
        <v>6159</v>
      </c>
    </row>
    <row r="1634" spans="1:7" x14ac:dyDescent="0.25">
      <c r="A1634" t="s">
        <v>37</v>
      </c>
      <c r="B1634" s="5">
        <v>39528</v>
      </c>
      <c r="C1634" s="5" t="s">
        <v>3585</v>
      </c>
      <c r="D1634" t="s">
        <v>3585</v>
      </c>
      <c r="G1634" t="s">
        <v>6159</v>
      </c>
    </row>
    <row r="1635" spans="1:7" x14ac:dyDescent="0.25">
      <c r="A1635" t="s">
        <v>57</v>
      </c>
      <c r="B1635" s="5">
        <v>40653</v>
      </c>
      <c r="C1635" s="5" t="s">
        <v>3586</v>
      </c>
      <c r="D1635" t="s">
        <v>3586</v>
      </c>
      <c r="G1635" t="s">
        <v>6159</v>
      </c>
    </row>
    <row r="1636" spans="1:7" x14ac:dyDescent="0.25">
      <c r="A1636" t="s">
        <v>26</v>
      </c>
      <c r="B1636" s="5">
        <v>40645</v>
      </c>
      <c r="C1636" s="5" t="s">
        <v>3587</v>
      </c>
      <c r="D1636" t="s">
        <v>3587</v>
      </c>
      <c r="G1636" t="s">
        <v>6159</v>
      </c>
    </row>
    <row r="1637" spans="1:7" x14ac:dyDescent="0.25">
      <c r="A1637" t="s">
        <v>274</v>
      </c>
      <c r="B1637" s="5">
        <v>39527</v>
      </c>
      <c r="C1637" s="5" t="s">
        <v>3588</v>
      </c>
      <c r="D1637" t="s">
        <v>3588</v>
      </c>
      <c r="G1637" t="s">
        <v>6159</v>
      </c>
    </row>
    <row r="1638" spans="1:7" x14ac:dyDescent="0.25">
      <c r="A1638" t="s">
        <v>220</v>
      </c>
      <c r="B1638" s="5">
        <v>39527</v>
      </c>
      <c r="C1638" s="5" t="s">
        <v>3589</v>
      </c>
      <c r="D1638" t="s">
        <v>3589</v>
      </c>
      <c r="G1638" t="s">
        <v>6159</v>
      </c>
    </row>
    <row r="1639" spans="1:7" x14ac:dyDescent="0.25">
      <c r="A1639" t="s">
        <v>213</v>
      </c>
      <c r="B1639" s="5">
        <v>40644</v>
      </c>
      <c r="C1639" s="5" t="s">
        <v>3590</v>
      </c>
      <c r="D1639" t="s">
        <v>3590</v>
      </c>
      <c r="G1639" t="s">
        <v>6159</v>
      </c>
    </row>
    <row r="1640" spans="1:7" x14ac:dyDescent="0.25">
      <c r="A1640" t="s">
        <v>2846</v>
      </c>
      <c r="B1640" s="5">
        <v>39527</v>
      </c>
      <c r="C1640" s="5" t="s">
        <v>3591</v>
      </c>
      <c r="D1640" t="s">
        <v>3591</v>
      </c>
      <c r="G1640" t="s">
        <v>6159</v>
      </c>
    </row>
    <row r="1641" spans="1:7" x14ac:dyDescent="0.25">
      <c r="A1641" t="s">
        <v>193</v>
      </c>
      <c r="B1641" s="5">
        <v>39527</v>
      </c>
      <c r="C1641" s="5" t="s">
        <v>3592</v>
      </c>
      <c r="D1641" t="s">
        <v>3592</v>
      </c>
      <c r="G1641" t="s">
        <v>6159</v>
      </c>
    </row>
    <row r="1642" spans="1:7" x14ac:dyDescent="0.25">
      <c r="A1642" t="s">
        <v>172</v>
      </c>
      <c r="B1642" s="5">
        <v>39526</v>
      </c>
      <c r="C1642" s="5" t="s">
        <v>3593</v>
      </c>
      <c r="D1642" t="s">
        <v>3593</v>
      </c>
      <c r="G1642" t="s">
        <v>6159</v>
      </c>
    </row>
    <row r="1643" spans="1:7" x14ac:dyDescent="0.25">
      <c r="A1643" t="s">
        <v>242</v>
      </c>
      <c r="B1643" s="5">
        <v>39526</v>
      </c>
      <c r="C1643" s="5" t="s">
        <v>3594</v>
      </c>
      <c r="D1643" t="s">
        <v>3594</v>
      </c>
      <c r="G1643" t="s">
        <v>6159</v>
      </c>
    </row>
    <row r="1644" spans="1:7" x14ac:dyDescent="0.25">
      <c r="A1644" t="s">
        <v>347</v>
      </c>
      <c r="B1644" s="5">
        <v>39435</v>
      </c>
      <c r="C1644" s="5" t="s">
        <v>3595</v>
      </c>
      <c r="D1644" t="s">
        <v>3595</v>
      </c>
      <c r="G1644" t="s">
        <v>6159</v>
      </c>
    </row>
    <row r="1645" spans="1:7" x14ac:dyDescent="0.25">
      <c r="A1645" t="s">
        <v>69</v>
      </c>
      <c r="B1645" s="5">
        <v>39434</v>
      </c>
      <c r="C1645" s="5" t="s">
        <v>3596</v>
      </c>
      <c r="D1645" t="s">
        <v>3596</v>
      </c>
      <c r="G1645" t="s">
        <v>6159</v>
      </c>
    </row>
    <row r="1646" spans="1:7" x14ac:dyDescent="0.25">
      <c r="A1646" t="s">
        <v>375</v>
      </c>
      <c r="B1646" s="5">
        <v>39434</v>
      </c>
      <c r="C1646" s="5" t="s">
        <v>3597</v>
      </c>
      <c r="D1646" t="s">
        <v>3597</v>
      </c>
      <c r="G1646" t="s">
        <v>6159</v>
      </c>
    </row>
    <row r="1647" spans="1:7" x14ac:dyDescent="0.25">
      <c r="A1647" t="s">
        <v>220</v>
      </c>
      <c r="B1647" s="5">
        <v>39433</v>
      </c>
      <c r="C1647" s="5" t="s">
        <v>3598</v>
      </c>
      <c r="D1647" t="s">
        <v>3598</v>
      </c>
      <c r="G1647" t="s">
        <v>6159</v>
      </c>
    </row>
    <row r="1648" spans="1:7" x14ac:dyDescent="0.25">
      <c r="A1648" t="s">
        <v>318</v>
      </c>
      <c r="B1648" s="5">
        <v>40582</v>
      </c>
      <c r="C1648" s="5" t="s">
        <v>3599</v>
      </c>
      <c r="D1648" t="s">
        <v>3599</v>
      </c>
      <c r="G1648" t="s">
        <v>6159</v>
      </c>
    </row>
    <row r="1649" spans="1:7" x14ac:dyDescent="0.25">
      <c r="A1649" t="s">
        <v>342</v>
      </c>
      <c r="B1649" s="5">
        <v>39424</v>
      </c>
      <c r="C1649" s="5" t="s">
        <v>3600</v>
      </c>
      <c r="D1649" t="s">
        <v>3600</v>
      </c>
      <c r="G1649" t="s">
        <v>6159</v>
      </c>
    </row>
    <row r="1650" spans="1:7" x14ac:dyDescent="0.25">
      <c r="A1650" t="s">
        <v>124</v>
      </c>
      <c r="B1650" s="5">
        <v>40511</v>
      </c>
      <c r="C1650" s="5" t="s">
        <v>3601</v>
      </c>
      <c r="D1650" t="s">
        <v>3601</v>
      </c>
      <c r="G1650" t="s">
        <v>6159</v>
      </c>
    </row>
    <row r="1651" spans="1:7" x14ac:dyDescent="0.25">
      <c r="A1651" t="s">
        <v>197</v>
      </c>
      <c r="B1651" s="5">
        <v>39414</v>
      </c>
      <c r="C1651" s="5" t="s">
        <v>3602</v>
      </c>
      <c r="D1651" t="s">
        <v>3602</v>
      </c>
      <c r="G1651" t="s">
        <v>6159</v>
      </c>
    </row>
    <row r="1652" spans="1:7" x14ac:dyDescent="0.25">
      <c r="A1652" t="s">
        <v>360</v>
      </c>
      <c r="B1652" s="5">
        <v>40500</v>
      </c>
      <c r="C1652" s="5" t="s">
        <v>3603</v>
      </c>
      <c r="D1652" t="s">
        <v>3603</v>
      </c>
      <c r="G1652" t="s">
        <v>6159</v>
      </c>
    </row>
    <row r="1653" spans="1:7" x14ac:dyDescent="0.25">
      <c r="A1653" t="s">
        <v>53</v>
      </c>
      <c r="B1653" s="5">
        <v>39414</v>
      </c>
      <c r="C1653" s="5" t="s">
        <v>3604</v>
      </c>
      <c r="D1653" t="s">
        <v>3604</v>
      </c>
      <c r="G1653" t="s">
        <v>6159</v>
      </c>
    </row>
    <row r="1654" spans="1:7" x14ac:dyDescent="0.25">
      <c r="A1654" t="s">
        <v>151</v>
      </c>
      <c r="B1654" s="5">
        <v>39413</v>
      </c>
      <c r="C1654" s="5" t="s">
        <v>3605</v>
      </c>
      <c r="D1654" t="s">
        <v>3605</v>
      </c>
      <c r="G1654" t="s">
        <v>6159</v>
      </c>
    </row>
    <row r="1655" spans="1:7" x14ac:dyDescent="0.25">
      <c r="A1655" t="s">
        <v>43</v>
      </c>
      <c r="B1655" s="5">
        <v>39413</v>
      </c>
      <c r="C1655" s="5" t="s">
        <v>3606</v>
      </c>
      <c r="D1655" t="s">
        <v>3606</v>
      </c>
      <c r="G1655" t="s">
        <v>6159</v>
      </c>
    </row>
    <row r="1656" spans="1:7" x14ac:dyDescent="0.25">
      <c r="A1656" t="s">
        <v>358</v>
      </c>
      <c r="B1656" s="5">
        <v>39413</v>
      </c>
      <c r="C1656" s="5" t="s">
        <v>3607</v>
      </c>
      <c r="D1656" t="s">
        <v>3607</v>
      </c>
      <c r="G1656" t="s">
        <v>6159</v>
      </c>
    </row>
    <row r="1657" spans="1:7" x14ac:dyDescent="0.25">
      <c r="A1657" t="s">
        <v>2842</v>
      </c>
      <c r="B1657" s="5">
        <v>39401</v>
      </c>
      <c r="C1657" s="5" t="s">
        <v>3608</v>
      </c>
      <c r="D1657" t="s">
        <v>3608</v>
      </c>
      <c r="G1657" t="s">
        <v>6159</v>
      </c>
    </row>
    <row r="1658" spans="1:7" x14ac:dyDescent="0.25">
      <c r="A1658" t="s">
        <v>2843</v>
      </c>
      <c r="B1658" s="5">
        <v>39401</v>
      </c>
      <c r="C1658" s="5" t="s">
        <v>3609</v>
      </c>
      <c r="D1658" t="s">
        <v>3609</v>
      </c>
      <c r="G1658" t="s">
        <v>6159</v>
      </c>
    </row>
    <row r="1659" spans="1:7" x14ac:dyDescent="0.25">
      <c r="A1659" t="s">
        <v>326</v>
      </c>
      <c r="B1659" s="5">
        <v>39400</v>
      </c>
      <c r="C1659" s="5" t="s">
        <v>3610</v>
      </c>
      <c r="D1659" t="s">
        <v>3610</v>
      </c>
      <c r="G1659" t="s">
        <v>6159</v>
      </c>
    </row>
    <row r="1660" spans="1:7" x14ac:dyDescent="0.25">
      <c r="A1660" t="s">
        <v>2840</v>
      </c>
      <c r="B1660" s="5">
        <v>39400</v>
      </c>
      <c r="C1660" s="5" t="s">
        <v>3611</v>
      </c>
      <c r="D1660" t="s">
        <v>3611</v>
      </c>
      <c r="G1660" t="s">
        <v>6159</v>
      </c>
    </row>
    <row r="1661" spans="1:7" x14ac:dyDescent="0.25">
      <c r="A1661" t="s">
        <v>342</v>
      </c>
      <c r="B1661" s="5">
        <v>39399</v>
      </c>
      <c r="C1661" s="5" t="s">
        <v>3612</v>
      </c>
      <c r="D1661" t="s">
        <v>3612</v>
      </c>
      <c r="G1661" t="s">
        <v>6159</v>
      </c>
    </row>
    <row r="1662" spans="1:7" x14ac:dyDescent="0.25">
      <c r="A1662" t="s">
        <v>320</v>
      </c>
      <c r="B1662" s="5">
        <v>39399</v>
      </c>
      <c r="C1662" s="5" t="s">
        <v>3613</v>
      </c>
      <c r="D1662" t="s">
        <v>3613</v>
      </c>
      <c r="G1662" t="s">
        <v>6159</v>
      </c>
    </row>
    <row r="1663" spans="1:7" x14ac:dyDescent="0.25">
      <c r="A1663" t="s">
        <v>60</v>
      </c>
      <c r="B1663" s="5">
        <v>39399</v>
      </c>
      <c r="C1663" s="5" t="s">
        <v>3614</v>
      </c>
      <c r="D1663" t="s">
        <v>3614</v>
      </c>
      <c r="G1663" t="s">
        <v>6159</v>
      </c>
    </row>
    <row r="1664" spans="1:7" x14ac:dyDescent="0.25">
      <c r="A1664" t="s">
        <v>295</v>
      </c>
      <c r="B1664" s="5">
        <v>39398</v>
      </c>
      <c r="C1664" s="5" t="s">
        <v>3615</v>
      </c>
      <c r="D1664" t="s">
        <v>3615</v>
      </c>
      <c r="G1664" t="s">
        <v>6159</v>
      </c>
    </row>
    <row r="1665" spans="1:7" x14ac:dyDescent="0.25">
      <c r="A1665" t="s">
        <v>2850</v>
      </c>
      <c r="B1665" s="5">
        <v>40483</v>
      </c>
      <c r="C1665" s="5" t="s">
        <v>3616</v>
      </c>
      <c r="D1665" t="s">
        <v>3616</v>
      </c>
      <c r="G1665" t="s">
        <v>6159</v>
      </c>
    </row>
    <row r="1666" spans="1:7" x14ac:dyDescent="0.25">
      <c r="A1666" t="s">
        <v>267</v>
      </c>
      <c r="B1666" s="5">
        <v>39398</v>
      </c>
      <c r="C1666" s="5" t="s">
        <v>3617</v>
      </c>
      <c r="D1666" t="s">
        <v>3617</v>
      </c>
      <c r="G1666" t="s">
        <v>6159</v>
      </c>
    </row>
    <row r="1667" spans="1:7" x14ac:dyDescent="0.25">
      <c r="A1667" t="s">
        <v>49</v>
      </c>
      <c r="B1667" s="5">
        <v>39394</v>
      </c>
      <c r="C1667" s="5" t="s">
        <v>3618</v>
      </c>
      <c r="D1667" t="s">
        <v>3618</v>
      </c>
      <c r="G1667" t="s">
        <v>6159</v>
      </c>
    </row>
    <row r="1668" spans="1:7" x14ac:dyDescent="0.25">
      <c r="A1668" t="s">
        <v>313</v>
      </c>
      <c r="B1668" s="5">
        <v>39394</v>
      </c>
      <c r="C1668" s="5" t="s">
        <v>3619</v>
      </c>
      <c r="D1668" t="s">
        <v>3619</v>
      </c>
      <c r="G1668" t="s">
        <v>6159</v>
      </c>
    </row>
    <row r="1669" spans="1:7" x14ac:dyDescent="0.25">
      <c r="A1669" t="s">
        <v>57</v>
      </c>
      <c r="B1669" s="5">
        <v>40470</v>
      </c>
      <c r="C1669" s="5" t="s">
        <v>3620</v>
      </c>
      <c r="D1669" t="s">
        <v>3620</v>
      </c>
      <c r="G1669" t="s">
        <v>6159</v>
      </c>
    </row>
    <row r="1670" spans="1:7" x14ac:dyDescent="0.25">
      <c r="A1670" t="s">
        <v>195</v>
      </c>
      <c r="B1670" s="5">
        <v>39393</v>
      </c>
      <c r="C1670" s="5" t="s">
        <v>3621</v>
      </c>
      <c r="D1670" t="s">
        <v>3621</v>
      </c>
      <c r="G1670" t="s">
        <v>6159</v>
      </c>
    </row>
    <row r="1671" spans="1:7" x14ac:dyDescent="0.25">
      <c r="A1671" t="s">
        <v>187</v>
      </c>
      <c r="B1671" s="5">
        <v>39392</v>
      </c>
      <c r="C1671" s="5" t="s">
        <v>3622</v>
      </c>
      <c r="D1671" t="s">
        <v>3622</v>
      </c>
      <c r="G1671" t="s">
        <v>6159</v>
      </c>
    </row>
    <row r="1672" spans="1:7" x14ac:dyDescent="0.25">
      <c r="A1672" t="s">
        <v>2186</v>
      </c>
      <c r="B1672" s="5">
        <v>39392</v>
      </c>
      <c r="C1672" s="5" t="s">
        <v>3623</v>
      </c>
      <c r="D1672" t="s">
        <v>3623</v>
      </c>
      <c r="G1672" t="s">
        <v>6159</v>
      </c>
    </row>
    <row r="1673" spans="1:7" x14ac:dyDescent="0.25">
      <c r="A1673" t="s">
        <v>85</v>
      </c>
      <c r="B1673" s="5">
        <v>39385</v>
      </c>
      <c r="C1673" s="5" t="s">
        <v>3624</v>
      </c>
      <c r="D1673" t="s">
        <v>3624</v>
      </c>
      <c r="G1673" t="s">
        <v>6159</v>
      </c>
    </row>
    <row r="1674" spans="1:7" x14ac:dyDescent="0.25">
      <c r="A1674" t="s">
        <v>324</v>
      </c>
      <c r="B1674" s="5">
        <v>39380</v>
      </c>
      <c r="C1674" s="5" t="s">
        <v>3625</v>
      </c>
      <c r="D1674" t="s">
        <v>3625</v>
      </c>
      <c r="G1674" t="s">
        <v>6159</v>
      </c>
    </row>
    <row r="1675" spans="1:7" x14ac:dyDescent="0.25">
      <c r="A1675" t="s">
        <v>2842</v>
      </c>
      <c r="B1675" s="5">
        <v>39379</v>
      </c>
      <c r="C1675" s="5" t="s">
        <v>3626</v>
      </c>
      <c r="D1675" t="s">
        <v>3626</v>
      </c>
      <c r="G1675" t="s">
        <v>6159</v>
      </c>
    </row>
    <row r="1676" spans="1:7" x14ac:dyDescent="0.25">
      <c r="A1676" t="s">
        <v>2844</v>
      </c>
      <c r="B1676" s="5">
        <v>39379</v>
      </c>
      <c r="C1676" s="5" t="s">
        <v>3627</v>
      </c>
      <c r="D1676" t="s">
        <v>3627</v>
      </c>
      <c r="G1676" t="s">
        <v>6159</v>
      </c>
    </row>
    <row r="1677" spans="1:7" x14ac:dyDescent="0.25">
      <c r="A1677" t="s">
        <v>2843</v>
      </c>
      <c r="B1677" s="5">
        <v>39379</v>
      </c>
      <c r="C1677" s="5" t="s">
        <v>3628</v>
      </c>
      <c r="D1677" t="s">
        <v>3628</v>
      </c>
      <c r="G1677" t="s">
        <v>6159</v>
      </c>
    </row>
    <row r="1678" spans="1:7" x14ac:dyDescent="0.25">
      <c r="A1678" t="s">
        <v>2115</v>
      </c>
      <c r="B1678" s="5">
        <v>39378</v>
      </c>
      <c r="C1678" s="5" t="s">
        <v>3629</v>
      </c>
      <c r="D1678" t="s">
        <v>3629</v>
      </c>
      <c r="G1678" t="s">
        <v>6159</v>
      </c>
    </row>
    <row r="1679" spans="1:7" x14ac:dyDescent="0.25">
      <c r="A1679" t="s">
        <v>2849</v>
      </c>
      <c r="B1679" s="5">
        <v>40429</v>
      </c>
      <c r="C1679" s="5" t="s">
        <v>3630</v>
      </c>
      <c r="D1679" t="s">
        <v>3630</v>
      </c>
      <c r="G1679" t="s">
        <v>6159</v>
      </c>
    </row>
    <row r="1680" spans="1:7" x14ac:dyDescent="0.25">
      <c r="A1680" t="s">
        <v>326</v>
      </c>
      <c r="B1680" s="5">
        <v>39378</v>
      </c>
      <c r="C1680" s="5" t="s">
        <v>3631</v>
      </c>
      <c r="D1680" t="s">
        <v>3631</v>
      </c>
      <c r="G1680" t="s">
        <v>6159</v>
      </c>
    </row>
    <row r="1681" spans="1:7" x14ac:dyDescent="0.25">
      <c r="A1681" t="s">
        <v>2840</v>
      </c>
      <c r="B1681" s="5">
        <v>39378</v>
      </c>
      <c r="C1681" s="5" t="s">
        <v>3632</v>
      </c>
      <c r="D1681" t="s">
        <v>3632</v>
      </c>
      <c r="G1681" t="s">
        <v>6159</v>
      </c>
    </row>
    <row r="1682" spans="1:7" x14ac:dyDescent="0.25">
      <c r="A1682" t="s">
        <v>165</v>
      </c>
      <c r="B1682" s="5">
        <v>39378</v>
      </c>
      <c r="C1682" s="5" t="s">
        <v>3633</v>
      </c>
      <c r="D1682" t="s">
        <v>3633</v>
      </c>
      <c r="G1682" t="s">
        <v>6159</v>
      </c>
    </row>
    <row r="1683" spans="1:7" x14ac:dyDescent="0.25">
      <c r="A1683" t="s">
        <v>86</v>
      </c>
      <c r="B1683" s="5">
        <v>39377</v>
      </c>
      <c r="C1683" s="5" t="s">
        <v>3634</v>
      </c>
      <c r="D1683" t="s">
        <v>3634</v>
      </c>
      <c r="G1683" t="s">
        <v>6159</v>
      </c>
    </row>
    <row r="1684" spans="1:7" x14ac:dyDescent="0.25">
      <c r="A1684" t="s">
        <v>342</v>
      </c>
      <c r="B1684" s="5">
        <v>39377</v>
      </c>
      <c r="C1684" s="5" t="s">
        <v>3635</v>
      </c>
      <c r="D1684" t="s">
        <v>3635</v>
      </c>
      <c r="G1684" t="s">
        <v>6159</v>
      </c>
    </row>
    <row r="1685" spans="1:7" x14ac:dyDescent="0.25">
      <c r="A1685" t="s">
        <v>320</v>
      </c>
      <c r="B1685" s="5">
        <v>39377</v>
      </c>
      <c r="C1685" s="5" t="s">
        <v>3636</v>
      </c>
      <c r="D1685" t="s">
        <v>3636</v>
      </c>
      <c r="G1685" t="s">
        <v>6159</v>
      </c>
    </row>
    <row r="1686" spans="1:7" x14ac:dyDescent="0.25">
      <c r="A1686" t="s">
        <v>274</v>
      </c>
      <c r="B1686" s="5">
        <v>39359</v>
      </c>
      <c r="C1686" s="5" t="s">
        <v>3637</v>
      </c>
      <c r="D1686" t="s">
        <v>3637</v>
      </c>
      <c r="G1686" t="s">
        <v>6159</v>
      </c>
    </row>
    <row r="1687" spans="1:7" x14ac:dyDescent="0.25">
      <c r="A1687" t="s">
        <v>374</v>
      </c>
      <c r="B1687" s="5">
        <v>39359</v>
      </c>
      <c r="C1687" s="5" t="s">
        <v>3638</v>
      </c>
      <c r="D1687" t="s">
        <v>3638</v>
      </c>
      <c r="G1687" t="s">
        <v>6159</v>
      </c>
    </row>
    <row r="1688" spans="1:7" x14ac:dyDescent="0.25">
      <c r="A1688" t="s">
        <v>222</v>
      </c>
      <c r="B1688" s="5">
        <v>39359</v>
      </c>
      <c r="C1688" s="5" t="s">
        <v>3639</v>
      </c>
      <c r="D1688" t="s">
        <v>3639</v>
      </c>
      <c r="G1688" t="s">
        <v>6159</v>
      </c>
    </row>
    <row r="1689" spans="1:7" x14ac:dyDescent="0.25">
      <c r="A1689" t="s">
        <v>2846</v>
      </c>
      <c r="B1689" s="5">
        <v>39358</v>
      </c>
      <c r="C1689" s="5" t="s">
        <v>3640</v>
      </c>
      <c r="D1689" t="s">
        <v>3640</v>
      </c>
      <c r="G1689" t="s">
        <v>6159</v>
      </c>
    </row>
    <row r="1690" spans="1:7" x14ac:dyDescent="0.25">
      <c r="A1690" t="s">
        <v>193</v>
      </c>
      <c r="B1690" s="5">
        <v>39358</v>
      </c>
      <c r="C1690" s="5" t="s">
        <v>3641</v>
      </c>
      <c r="D1690" t="s">
        <v>3641</v>
      </c>
      <c r="G1690" t="s">
        <v>6159</v>
      </c>
    </row>
    <row r="1691" spans="1:7" x14ac:dyDescent="0.25">
      <c r="A1691" t="s">
        <v>172</v>
      </c>
      <c r="B1691" s="5">
        <v>39357</v>
      </c>
      <c r="C1691" s="5" t="s">
        <v>3642</v>
      </c>
      <c r="D1691" t="s">
        <v>3642</v>
      </c>
      <c r="G1691" t="s">
        <v>6159</v>
      </c>
    </row>
    <row r="1692" spans="1:7" x14ac:dyDescent="0.25">
      <c r="A1692" t="s">
        <v>2851</v>
      </c>
      <c r="B1692" s="5">
        <v>40381</v>
      </c>
      <c r="C1692" s="5" t="s">
        <v>3643</v>
      </c>
      <c r="D1692" t="s">
        <v>3643</v>
      </c>
      <c r="G1692" t="s">
        <v>6159</v>
      </c>
    </row>
    <row r="1693" spans="1:7" x14ac:dyDescent="0.25">
      <c r="A1693" t="s">
        <v>242</v>
      </c>
      <c r="B1693" s="5">
        <v>39357</v>
      </c>
      <c r="C1693" s="5" t="s">
        <v>3644</v>
      </c>
      <c r="D1693" t="s">
        <v>3644</v>
      </c>
      <c r="G1693" t="s">
        <v>6159</v>
      </c>
    </row>
    <row r="1694" spans="1:7" x14ac:dyDescent="0.25">
      <c r="A1694" t="s">
        <v>197</v>
      </c>
      <c r="B1694" s="5">
        <v>39344</v>
      </c>
      <c r="C1694" s="5" t="s">
        <v>3645</v>
      </c>
      <c r="D1694" t="s">
        <v>3645</v>
      </c>
      <c r="G1694" t="s">
        <v>6159</v>
      </c>
    </row>
    <row r="1695" spans="1:7" x14ac:dyDescent="0.25">
      <c r="A1695" t="s">
        <v>53</v>
      </c>
      <c r="B1695" s="5">
        <v>39344</v>
      </c>
      <c r="C1695" s="5" t="s">
        <v>3646</v>
      </c>
      <c r="D1695" t="s">
        <v>3646</v>
      </c>
      <c r="G1695" t="s">
        <v>6159</v>
      </c>
    </row>
    <row r="1696" spans="1:7" x14ac:dyDescent="0.25">
      <c r="A1696" t="s">
        <v>151</v>
      </c>
      <c r="B1696" s="5">
        <v>39343</v>
      </c>
      <c r="C1696" s="5" t="s">
        <v>3647</v>
      </c>
      <c r="D1696" t="s">
        <v>3647</v>
      </c>
      <c r="G1696" t="s">
        <v>6159</v>
      </c>
    </row>
    <row r="1697" spans="1:7" x14ac:dyDescent="0.25">
      <c r="A1697" t="s">
        <v>43</v>
      </c>
      <c r="B1697" s="5">
        <v>39343</v>
      </c>
      <c r="C1697" s="5" t="s">
        <v>3648</v>
      </c>
      <c r="D1697" t="s">
        <v>3648</v>
      </c>
      <c r="G1697" t="s">
        <v>6159</v>
      </c>
    </row>
    <row r="1698" spans="1:7" x14ac:dyDescent="0.25">
      <c r="A1698" t="s">
        <v>40</v>
      </c>
      <c r="B1698" s="5">
        <v>40379</v>
      </c>
      <c r="C1698" s="5" t="s">
        <v>3649</v>
      </c>
      <c r="D1698" t="s">
        <v>3649</v>
      </c>
      <c r="G1698" t="s">
        <v>6159</v>
      </c>
    </row>
    <row r="1699" spans="1:7" x14ac:dyDescent="0.25">
      <c r="A1699" t="s">
        <v>358</v>
      </c>
      <c r="B1699" s="5">
        <v>39343</v>
      </c>
      <c r="C1699" s="5" t="s">
        <v>3650</v>
      </c>
      <c r="D1699" t="s">
        <v>3650</v>
      </c>
      <c r="G1699" t="s">
        <v>6159</v>
      </c>
    </row>
    <row r="1700" spans="1:7" x14ac:dyDescent="0.25">
      <c r="A1700" t="s">
        <v>49</v>
      </c>
      <c r="B1700" s="5">
        <v>39325</v>
      </c>
      <c r="C1700" s="5" t="s">
        <v>3651</v>
      </c>
      <c r="D1700" t="s">
        <v>3651</v>
      </c>
      <c r="G1700" t="s">
        <v>6159</v>
      </c>
    </row>
    <row r="1701" spans="1:7" x14ac:dyDescent="0.25">
      <c r="A1701" t="s">
        <v>313</v>
      </c>
      <c r="B1701" s="5">
        <v>39324</v>
      </c>
      <c r="C1701" s="5" t="s">
        <v>3652</v>
      </c>
      <c r="D1701" t="s">
        <v>3652</v>
      </c>
      <c r="G1701" t="s">
        <v>6159</v>
      </c>
    </row>
    <row r="1702" spans="1:7" x14ac:dyDescent="0.25">
      <c r="A1702" t="s">
        <v>69</v>
      </c>
      <c r="B1702" s="5">
        <v>39323</v>
      </c>
      <c r="C1702" s="5" t="s">
        <v>3653</v>
      </c>
      <c r="D1702" t="s">
        <v>3653</v>
      </c>
      <c r="G1702" t="s">
        <v>6159</v>
      </c>
    </row>
    <row r="1703" spans="1:7" x14ac:dyDescent="0.25">
      <c r="A1703" t="s">
        <v>195</v>
      </c>
      <c r="B1703" s="5">
        <v>39323</v>
      </c>
      <c r="C1703" s="5" t="s">
        <v>3654</v>
      </c>
      <c r="D1703" t="s">
        <v>3654</v>
      </c>
      <c r="G1703" t="s">
        <v>6159</v>
      </c>
    </row>
    <row r="1704" spans="1:7" x14ac:dyDescent="0.25">
      <c r="A1704" t="s">
        <v>2847</v>
      </c>
      <c r="B1704" s="5">
        <v>39322</v>
      </c>
      <c r="C1704" s="5" t="s">
        <v>3655</v>
      </c>
      <c r="D1704" t="s">
        <v>3655</v>
      </c>
      <c r="G1704" t="s">
        <v>6159</v>
      </c>
    </row>
    <row r="1705" spans="1:7" x14ac:dyDescent="0.25">
      <c r="A1705" t="s">
        <v>187</v>
      </c>
      <c r="B1705" s="5">
        <v>39322</v>
      </c>
      <c r="C1705" s="5" t="s">
        <v>3656</v>
      </c>
      <c r="D1705" t="s">
        <v>3656</v>
      </c>
      <c r="G1705" t="s">
        <v>6159</v>
      </c>
    </row>
    <row r="1706" spans="1:7" x14ac:dyDescent="0.25">
      <c r="A1706" t="s">
        <v>2186</v>
      </c>
      <c r="B1706" s="5">
        <v>39322</v>
      </c>
      <c r="C1706" s="5" t="s">
        <v>3657</v>
      </c>
      <c r="D1706" t="s">
        <v>3657</v>
      </c>
      <c r="G1706" t="s">
        <v>6159</v>
      </c>
    </row>
    <row r="1707" spans="1:7" x14ac:dyDescent="0.25">
      <c r="A1707" t="s">
        <v>375</v>
      </c>
      <c r="B1707" s="5">
        <v>39321</v>
      </c>
      <c r="C1707" s="5" t="s">
        <v>3658</v>
      </c>
      <c r="D1707" t="s">
        <v>3658</v>
      </c>
      <c r="G1707" t="s">
        <v>6159</v>
      </c>
    </row>
    <row r="1708" spans="1:7" x14ac:dyDescent="0.25">
      <c r="A1708" t="s">
        <v>193</v>
      </c>
      <c r="B1708" s="5">
        <v>39309</v>
      </c>
      <c r="C1708" s="5" t="s">
        <v>3659</v>
      </c>
      <c r="D1708" t="s">
        <v>3659</v>
      </c>
      <c r="G1708" t="s">
        <v>6159</v>
      </c>
    </row>
    <row r="1709" spans="1:7" x14ac:dyDescent="0.25">
      <c r="A1709" t="s">
        <v>274</v>
      </c>
      <c r="B1709" s="5">
        <v>39308</v>
      </c>
      <c r="C1709" s="5" t="s">
        <v>3660</v>
      </c>
      <c r="D1709" t="s">
        <v>3660</v>
      </c>
      <c r="G1709" t="s">
        <v>6159</v>
      </c>
    </row>
    <row r="1710" spans="1:7" x14ac:dyDescent="0.25">
      <c r="A1710" t="s">
        <v>230</v>
      </c>
      <c r="B1710" s="5">
        <v>39308</v>
      </c>
      <c r="C1710" s="5" t="s">
        <v>3661</v>
      </c>
      <c r="D1710" t="s">
        <v>3661</v>
      </c>
      <c r="G1710" t="s">
        <v>6159</v>
      </c>
    </row>
    <row r="1711" spans="1:7" x14ac:dyDescent="0.25">
      <c r="A1711" t="s">
        <v>2846</v>
      </c>
      <c r="B1711" s="5">
        <v>39308</v>
      </c>
      <c r="C1711" s="5" t="s">
        <v>3662</v>
      </c>
      <c r="D1711" t="s">
        <v>3662</v>
      </c>
      <c r="G1711" t="s">
        <v>6159</v>
      </c>
    </row>
    <row r="1712" spans="1:7" x14ac:dyDescent="0.25">
      <c r="A1712" t="s">
        <v>121</v>
      </c>
      <c r="B1712" s="5">
        <v>39308</v>
      </c>
      <c r="C1712" s="5" t="s">
        <v>3663</v>
      </c>
      <c r="D1712" t="s">
        <v>3663</v>
      </c>
      <c r="G1712" t="s">
        <v>6159</v>
      </c>
    </row>
    <row r="1713" spans="1:7" x14ac:dyDescent="0.25">
      <c r="A1713" t="s">
        <v>242</v>
      </c>
      <c r="B1713" s="5">
        <v>39308</v>
      </c>
      <c r="C1713" s="5" t="s">
        <v>3664</v>
      </c>
      <c r="D1713" t="s">
        <v>3664</v>
      </c>
      <c r="G1713" t="s">
        <v>6159</v>
      </c>
    </row>
    <row r="1714" spans="1:7" x14ac:dyDescent="0.25">
      <c r="A1714" t="s">
        <v>60</v>
      </c>
      <c r="B1714" s="5">
        <v>39308</v>
      </c>
      <c r="C1714" s="5" t="s">
        <v>3665</v>
      </c>
      <c r="D1714" t="s">
        <v>3665</v>
      </c>
      <c r="G1714" t="s">
        <v>6159</v>
      </c>
    </row>
    <row r="1715" spans="1:7" x14ac:dyDescent="0.25">
      <c r="A1715" t="s">
        <v>295</v>
      </c>
      <c r="B1715" s="5">
        <v>39307</v>
      </c>
      <c r="C1715" s="5" t="s">
        <v>3666</v>
      </c>
      <c r="D1715" t="s">
        <v>3666</v>
      </c>
      <c r="G1715" t="s">
        <v>6159</v>
      </c>
    </row>
    <row r="1716" spans="1:7" x14ac:dyDescent="0.25">
      <c r="A1716" t="s">
        <v>172</v>
      </c>
      <c r="B1716" s="5">
        <v>39307</v>
      </c>
      <c r="C1716" s="5" t="s">
        <v>3667</v>
      </c>
      <c r="D1716" t="s">
        <v>3667</v>
      </c>
      <c r="G1716" t="s">
        <v>6159</v>
      </c>
    </row>
    <row r="1717" spans="1:7" x14ac:dyDescent="0.25">
      <c r="A1717" t="s">
        <v>267</v>
      </c>
      <c r="B1717" s="5">
        <v>39307</v>
      </c>
      <c r="C1717" s="5" t="s">
        <v>3668</v>
      </c>
      <c r="D1717" t="s">
        <v>3668</v>
      </c>
      <c r="G1717" t="s">
        <v>6159</v>
      </c>
    </row>
    <row r="1718" spans="1:7" x14ac:dyDescent="0.25">
      <c r="A1718" t="s">
        <v>39</v>
      </c>
      <c r="B1718" s="5">
        <v>42003</v>
      </c>
      <c r="C1718" s="5" t="s">
        <v>3669</v>
      </c>
      <c r="D1718" t="s">
        <v>3669</v>
      </c>
      <c r="G1718" t="s">
        <v>6159</v>
      </c>
    </row>
    <row r="1719" spans="1:7" x14ac:dyDescent="0.25">
      <c r="A1719" t="s">
        <v>40</v>
      </c>
      <c r="B1719" s="5">
        <v>41038</v>
      </c>
      <c r="C1719" s="5" t="s">
        <v>3670</v>
      </c>
      <c r="D1719" t="s">
        <v>3670</v>
      </c>
      <c r="G1719" t="s">
        <v>6159</v>
      </c>
    </row>
    <row r="1720" spans="1:7" x14ac:dyDescent="0.25">
      <c r="A1720" t="s">
        <v>342</v>
      </c>
      <c r="B1720" s="5">
        <v>39300</v>
      </c>
      <c r="C1720" s="5" t="s">
        <v>3671</v>
      </c>
      <c r="D1720" t="s">
        <v>3671</v>
      </c>
      <c r="G1720" t="s">
        <v>6159</v>
      </c>
    </row>
    <row r="1721" spans="1:7" x14ac:dyDescent="0.25">
      <c r="A1721" t="s">
        <v>35</v>
      </c>
      <c r="B1721" s="5">
        <v>41025</v>
      </c>
      <c r="C1721" s="5" t="s">
        <v>3672</v>
      </c>
      <c r="D1721" t="s">
        <v>3672</v>
      </c>
      <c r="G1721" t="s">
        <v>6159</v>
      </c>
    </row>
    <row r="1722" spans="1:7" x14ac:dyDescent="0.25">
      <c r="A1722" t="s">
        <v>100</v>
      </c>
      <c r="B1722" s="5">
        <v>39295</v>
      </c>
      <c r="C1722" s="5" t="s">
        <v>3673</v>
      </c>
      <c r="D1722" t="s">
        <v>3673</v>
      </c>
      <c r="G1722" t="s">
        <v>6159</v>
      </c>
    </row>
    <row r="1723" spans="1:7" x14ac:dyDescent="0.25">
      <c r="A1723" t="s">
        <v>165</v>
      </c>
      <c r="B1723" s="5">
        <v>39295</v>
      </c>
      <c r="C1723" s="5" t="s">
        <v>3674</v>
      </c>
      <c r="D1723" t="s">
        <v>3674</v>
      </c>
      <c r="G1723" t="s">
        <v>6159</v>
      </c>
    </row>
    <row r="1724" spans="1:7" x14ac:dyDescent="0.25">
      <c r="A1724" t="s">
        <v>75</v>
      </c>
      <c r="B1724" s="5">
        <v>39294</v>
      </c>
      <c r="C1724" s="5" t="s">
        <v>3675</v>
      </c>
      <c r="D1724" t="s">
        <v>3675</v>
      </c>
      <c r="G1724" t="s">
        <v>6159</v>
      </c>
    </row>
    <row r="1725" spans="1:7" x14ac:dyDescent="0.25">
      <c r="A1725" t="s">
        <v>2095</v>
      </c>
      <c r="B1725" s="5">
        <v>39294</v>
      </c>
      <c r="C1725" s="5" t="s">
        <v>3676</v>
      </c>
      <c r="D1725" t="s">
        <v>3676</v>
      </c>
      <c r="G1725" t="s">
        <v>6159</v>
      </c>
    </row>
    <row r="1726" spans="1:7" x14ac:dyDescent="0.25">
      <c r="A1726" t="s">
        <v>2852</v>
      </c>
      <c r="B1726" s="5">
        <v>39294</v>
      </c>
      <c r="C1726" s="5" t="s">
        <v>3677</v>
      </c>
      <c r="D1726" t="s">
        <v>3677</v>
      </c>
      <c r="G1726" t="s">
        <v>6159</v>
      </c>
    </row>
    <row r="1727" spans="1:7" x14ac:dyDescent="0.25">
      <c r="A1727" t="s">
        <v>2816</v>
      </c>
      <c r="B1727" s="5">
        <v>39294</v>
      </c>
      <c r="C1727" s="5" t="s">
        <v>3678</v>
      </c>
      <c r="D1727" t="s">
        <v>3678</v>
      </c>
      <c r="G1727" t="s">
        <v>6159</v>
      </c>
    </row>
    <row r="1728" spans="1:7" x14ac:dyDescent="0.25">
      <c r="A1728" t="s">
        <v>2042</v>
      </c>
      <c r="B1728" s="5">
        <v>41957</v>
      </c>
      <c r="C1728" s="5" t="s">
        <v>3679</v>
      </c>
      <c r="D1728" t="s">
        <v>3679</v>
      </c>
      <c r="G1728" t="s">
        <v>6159</v>
      </c>
    </row>
    <row r="1729" spans="1:7" x14ac:dyDescent="0.25">
      <c r="A1729" t="s">
        <v>86</v>
      </c>
      <c r="B1729" s="5">
        <v>39294</v>
      </c>
      <c r="C1729" s="5" t="s">
        <v>3680</v>
      </c>
      <c r="D1729" t="s">
        <v>3680</v>
      </c>
      <c r="G1729" t="s">
        <v>6159</v>
      </c>
    </row>
    <row r="1730" spans="1:7" x14ac:dyDescent="0.25">
      <c r="A1730" t="s">
        <v>78</v>
      </c>
      <c r="B1730" s="5">
        <v>39294</v>
      </c>
      <c r="C1730" s="5" t="s">
        <v>3681</v>
      </c>
      <c r="D1730" t="s">
        <v>3681</v>
      </c>
      <c r="G1730" t="s">
        <v>6159</v>
      </c>
    </row>
    <row r="1731" spans="1:7" x14ac:dyDescent="0.25">
      <c r="A1731" t="s">
        <v>85</v>
      </c>
      <c r="B1731" s="5">
        <v>39294</v>
      </c>
      <c r="C1731" s="5" t="s">
        <v>3682</v>
      </c>
      <c r="D1731" t="s">
        <v>3682</v>
      </c>
      <c r="G1731" t="s">
        <v>6159</v>
      </c>
    </row>
    <row r="1732" spans="1:7" x14ac:dyDescent="0.25">
      <c r="A1732" t="s">
        <v>74</v>
      </c>
      <c r="B1732" s="5">
        <v>39293</v>
      </c>
      <c r="C1732" s="5" t="s">
        <v>3683</v>
      </c>
      <c r="D1732" t="s">
        <v>3683</v>
      </c>
      <c r="G1732" t="s">
        <v>6159</v>
      </c>
    </row>
    <row r="1733" spans="1:7" x14ac:dyDescent="0.25">
      <c r="A1733" t="s">
        <v>326</v>
      </c>
      <c r="B1733" s="5">
        <v>39273</v>
      </c>
      <c r="C1733" s="5" t="s">
        <v>3684</v>
      </c>
      <c r="D1733" t="s">
        <v>3684</v>
      </c>
      <c r="G1733" t="s">
        <v>6159</v>
      </c>
    </row>
    <row r="1734" spans="1:7" x14ac:dyDescent="0.25">
      <c r="A1734" t="s">
        <v>2840</v>
      </c>
      <c r="B1734" s="5">
        <v>39273</v>
      </c>
      <c r="C1734" s="5" t="s">
        <v>3685</v>
      </c>
      <c r="D1734" t="s">
        <v>3685</v>
      </c>
      <c r="G1734" t="s">
        <v>6159</v>
      </c>
    </row>
    <row r="1735" spans="1:7" x14ac:dyDescent="0.25">
      <c r="A1735" t="s">
        <v>328</v>
      </c>
      <c r="B1735" s="5">
        <v>39989</v>
      </c>
      <c r="C1735" s="5" t="s">
        <v>3686</v>
      </c>
      <c r="D1735" t="s">
        <v>3686</v>
      </c>
      <c r="G1735" t="s">
        <v>6159</v>
      </c>
    </row>
    <row r="1736" spans="1:7" x14ac:dyDescent="0.25">
      <c r="A1736" t="s">
        <v>2853</v>
      </c>
      <c r="B1736" s="5">
        <v>40974</v>
      </c>
      <c r="C1736" s="5" t="s">
        <v>3687</v>
      </c>
      <c r="D1736" t="s">
        <v>3687</v>
      </c>
      <c r="G1736" t="s">
        <v>6159</v>
      </c>
    </row>
    <row r="1737" spans="1:7" x14ac:dyDescent="0.25">
      <c r="A1737" t="s">
        <v>326</v>
      </c>
      <c r="B1737" s="5">
        <v>39988</v>
      </c>
      <c r="C1737" s="5" t="s">
        <v>3688</v>
      </c>
      <c r="D1737" t="s">
        <v>3688</v>
      </c>
      <c r="G1737" t="s">
        <v>6159</v>
      </c>
    </row>
    <row r="1738" spans="1:7" x14ac:dyDescent="0.25">
      <c r="A1738" t="s">
        <v>2854</v>
      </c>
      <c r="B1738" s="5">
        <v>41893</v>
      </c>
      <c r="C1738" s="5" t="s">
        <v>3689</v>
      </c>
      <c r="D1738" t="s">
        <v>3689</v>
      </c>
      <c r="G1738" t="s">
        <v>6159</v>
      </c>
    </row>
    <row r="1739" spans="1:7" x14ac:dyDescent="0.25">
      <c r="A1739" t="s">
        <v>190</v>
      </c>
      <c r="B1739" s="5">
        <v>40953</v>
      </c>
      <c r="C1739" s="5" t="s">
        <v>3690</v>
      </c>
      <c r="D1739" t="s">
        <v>3690</v>
      </c>
      <c r="G1739" t="s">
        <v>6159</v>
      </c>
    </row>
    <row r="1740" spans="1:7" x14ac:dyDescent="0.25">
      <c r="A1740" t="s">
        <v>204</v>
      </c>
      <c r="B1740" s="5">
        <v>40946</v>
      </c>
      <c r="C1740" s="5" t="s">
        <v>3691</v>
      </c>
      <c r="D1740" t="s">
        <v>3691</v>
      </c>
      <c r="G1740" t="s">
        <v>6159</v>
      </c>
    </row>
    <row r="1741" spans="1:7" x14ac:dyDescent="0.25">
      <c r="A1741" t="s">
        <v>275</v>
      </c>
      <c r="B1741" s="5">
        <v>40928</v>
      </c>
      <c r="C1741" s="5" t="s">
        <v>3692</v>
      </c>
      <c r="D1741" t="s">
        <v>3692</v>
      </c>
      <c r="G1741" t="s">
        <v>6159</v>
      </c>
    </row>
    <row r="1742" spans="1:7" x14ac:dyDescent="0.25">
      <c r="A1742" t="s">
        <v>104</v>
      </c>
      <c r="B1742" s="5">
        <v>39952</v>
      </c>
      <c r="C1742" s="5" t="s">
        <v>3693</v>
      </c>
      <c r="D1742" t="s">
        <v>3693</v>
      </c>
      <c r="G1742" t="s">
        <v>6159</v>
      </c>
    </row>
    <row r="1743" spans="1:7" x14ac:dyDescent="0.25">
      <c r="A1743" t="s">
        <v>87</v>
      </c>
      <c r="B1743" s="5">
        <v>39952</v>
      </c>
      <c r="C1743" s="5" t="s">
        <v>3694</v>
      </c>
      <c r="D1743" t="s">
        <v>3694</v>
      </c>
      <c r="G1743" t="s">
        <v>6159</v>
      </c>
    </row>
    <row r="1744" spans="1:7" x14ac:dyDescent="0.25">
      <c r="A1744" t="s">
        <v>2855</v>
      </c>
      <c r="B1744" s="5">
        <v>39951</v>
      </c>
      <c r="C1744" s="5" t="s">
        <v>3695</v>
      </c>
      <c r="D1744" t="s">
        <v>3695</v>
      </c>
      <c r="G1744" t="s">
        <v>6159</v>
      </c>
    </row>
    <row r="1745" spans="1:7" x14ac:dyDescent="0.25">
      <c r="A1745" t="s">
        <v>79</v>
      </c>
      <c r="B1745" s="5">
        <v>40925</v>
      </c>
      <c r="C1745" s="5" t="s">
        <v>3696</v>
      </c>
      <c r="D1745" t="s">
        <v>3696</v>
      </c>
      <c r="G1745" t="s">
        <v>6159</v>
      </c>
    </row>
    <row r="1746" spans="1:7" x14ac:dyDescent="0.25">
      <c r="A1746" t="s">
        <v>166</v>
      </c>
      <c r="B1746" s="5">
        <v>39681</v>
      </c>
      <c r="C1746" s="5" t="s">
        <v>3697</v>
      </c>
      <c r="D1746" t="s">
        <v>3697</v>
      </c>
      <c r="G1746" t="s">
        <v>6159</v>
      </c>
    </row>
    <row r="1747" spans="1:7" x14ac:dyDescent="0.25">
      <c r="A1747" t="s">
        <v>168</v>
      </c>
      <c r="B1747" s="5">
        <v>39946</v>
      </c>
      <c r="C1747" s="5" t="s">
        <v>3698</v>
      </c>
      <c r="D1747" t="s">
        <v>3698</v>
      </c>
      <c r="G1747" t="s">
        <v>6159</v>
      </c>
    </row>
    <row r="1748" spans="1:7" x14ac:dyDescent="0.25">
      <c r="A1748" t="s">
        <v>326</v>
      </c>
      <c r="B1748" s="5">
        <v>41884</v>
      </c>
      <c r="C1748" s="5" t="s">
        <v>3699</v>
      </c>
      <c r="D1748" t="s">
        <v>3699</v>
      </c>
      <c r="G1748" t="s">
        <v>6159</v>
      </c>
    </row>
    <row r="1749" spans="1:7" x14ac:dyDescent="0.25">
      <c r="A1749" t="s">
        <v>40</v>
      </c>
      <c r="B1749" s="5">
        <v>39945</v>
      </c>
      <c r="C1749" s="5" t="s">
        <v>3700</v>
      </c>
      <c r="D1749" t="s">
        <v>3700</v>
      </c>
      <c r="G1749" t="s">
        <v>6159</v>
      </c>
    </row>
    <row r="1750" spans="1:7" x14ac:dyDescent="0.25">
      <c r="A1750" t="s">
        <v>2856</v>
      </c>
      <c r="B1750" s="5">
        <v>39945</v>
      </c>
      <c r="C1750" s="5" t="s">
        <v>3701</v>
      </c>
      <c r="D1750" t="s">
        <v>3701</v>
      </c>
      <c r="G1750" t="s">
        <v>6159</v>
      </c>
    </row>
    <row r="1751" spans="1:7" x14ac:dyDescent="0.25">
      <c r="A1751" t="s">
        <v>290</v>
      </c>
      <c r="B1751" s="5">
        <v>40883</v>
      </c>
      <c r="C1751" s="5" t="s">
        <v>3702</v>
      </c>
      <c r="D1751" t="s">
        <v>3702</v>
      </c>
      <c r="G1751" t="s">
        <v>6159</v>
      </c>
    </row>
    <row r="1752" spans="1:7" x14ac:dyDescent="0.25">
      <c r="A1752" t="s">
        <v>60</v>
      </c>
      <c r="B1752" s="5">
        <v>39945</v>
      </c>
      <c r="C1752" s="5" t="s">
        <v>3703</v>
      </c>
      <c r="D1752" t="s">
        <v>3703</v>
      </c>
      <c r="G1752" t="s">
        <v>6159</v>
      </c>
    </row>
    <row r="1753" spans="1:7" x14ac:dyDescent="0.25">
      <c r="A1753" t="s">
        <v>26</v>
      </c>
      <c r="B1753" s="5">
        <v>39944</v>
      </c>
      <c r="C1753" s="5" t="s">
        <v>3704</v>
      </c>
      <c r="D1753" t="s">
        <v>3704</v>
      </c>
      <c r="G1753" t="s">
        <v>6159</v>
      </c>
    </row>
    <row r="1754" spans="1:7" x14ac:dyDescent="0.25">
      <c r="A1754" t="s">
        <v>52</v>
      </c>
      <c r="B1754" s="5">
        <v>40856</v>
      </c>
      <c r="C1754" s="5" t="s">
        <v>3705</v>
      </c>
      <c r="D1754" t="s">
        <v>3705</v>
      </c>
      <c r="G1754" t="s">
        <v>6159</v>
      </c>
    </row>
    <row r="1755" spans="1:7" x14ac:dyDescent="0.25">
      <c r="A1755" t="s">
        <v>226</v>
      </c>
      <c r="B1755" s="5">
        <v>39924</v>
      </c>
      <c r="C1755" s="5" t="s">
        <v>3706</v>
      </c>
      <c r="D1755" t="s">
        <v>3706</v>
      </c>
      <c r="G1755" t="s">
        <v>6159</v>
      </c>
    </row>
    <row r="1756" spans="1:7" x14ac:dyDescent="0.25">
      <c r="A1756" t="s">
        <v>57</v>
      </c>
      <c r="B1756" s="5">
        <v>40843</v>
      </c>
      <c r="C1756" s="5" t="s">
        <v>3707</v>
      </c>
      <c r="D1756" t="s">
        <v>3707</v>
      </c>
      <c r="G1756" t="s">
        <v>6159</v>
      </c>
    </row>
    <row r="1757" spans="1:7" x14ac:dyDescent="0.25">
      <c r="A1757" t="s">
        <v>104</v>
      </c>
      <c r="B1757" s="5">
        <v>40841</v>
      </c>
      <c r="C1757" s="5" t="s">
        <v>3708</v>
      </c>
      <c r="D1757" t="s">
        <v>3708</v>
      </c>
      <c r="G1757" t="s">
        <v>6159</v>
      </c>
    </row>
    <row r="1758" spans="1:7" x14ac:dyDescent="0.25">
      <c r="A1758" t="s">
        <v>176</v>
      </c>
      <c r="B1758" s="5">
        <v>39904</v>
      </c>
      <c r="C1758" s="5" t="s">
        <v>3709</v>
      </c>
      <c r="D1758" t="s">
        <v>3709</v>
      </c>
      <c r="G1758" t="s">
        <v>6159</v>
      </c>
    </row>
    <row r="1759" spans="1:7" x14ac:dyDescent="0.25">
      <c r="A1759" t="s">
        <v>28</v>
      </c>
      <c r="B1759" s="5">
        <v>39904</v>
      </c>
      <c r="C1759" s="5" t="s">
        <v>3710</v>
      </c>
      <c r="D1759" t="s">
        <v>3710</v>
      </c>
      <c r="G1759" t="s">
        <v>6159</v>
      </c>
    </row>
    <row r="1760" spans="1:7" x14ac:dyDescent="0.25">
      <c r="A1760" t="s">
        <v>231</v>
      </c>
      <c r="B1760" s="5">
        <v>39898</v>
      </c>
      <c r="C1760" s="5" t="s">
        <v>3711</v>
      </c>
      <c r="D1760" t="s">
        <v>3711</v>
      </c>
      <c r="G1760" t="s">
        <v>6159</v>
      </c>
    </row>
    <row r="1761" spans="1:7" x14ac:dyDescent="0.25">
      <c r="A1761" t="s">
        <v>328</v>
      </c>
      <c r="B1761" s="5">
        <v>39897</v>
      </c>
      <c r="C1761" s="5" t="s">
        <v>3712</v>
      </c>
      <c r="D1761" t="s">
        <v>3712</v>
      </c>
      <c r="G1761" t="s">
        <v>6159</v>
      </c>
    </row>
    <row r="1762" spans="1:7" x14ac:dyDescent="0.25">
      <c r="A1762" t="s">
        <v>357</v>
      </c>
      <c r="B1762" s="5">
        <v>39897</v>
      </c>
      <c r="C1762" s="5" t="s">
        <v>3713</v>
      </c>
      <c r="D1762" t="s">
        <v>3713</v>
      </c>
      <c r="G1762" t="s">
        <v>6159</v>
      </c>
    </row>
    <row r="1763" spans="1:7" x14ac:dyDescent="0.25">
      <c r="A1763" t="s">
        <v>290</v>
      </c>
      <c r="B1763" s="5">
        <v>39896</v>
      </c>
      <c r="C1763" s="5" t="s">
        <v>3714</v>
      </c>
      <c r="D1763" t="s">
        <v>3714</v>
      </c>
      <c r="G1763" t="s">
        <v>6159</v>
      </c>
    </row>
    <row r="1764" spans="1:7" x14ac:dyDescent="0.25">
      <c r="A1764" t="s">
        <v>333</v>
      </c>
      <c r="B1764" s="5">
        <v>39890</v>
      </c>
      <c r="C1764" s="5" t="s">
        <v>3715</v>
      </c>
      <c r="D1764" t="s">
        <v>3715</v>
      </c>
      <c r="G1764" t="s">
        <v>6159</v>
      </c>
    </row>
    <row r="1765" spans="1:7" x14ac:dyDescent="0.25">
      <c r="A1765" t="s">
        <v>39</v>
      </c>
      <c r="B1765" s="5">
        <v>39888</v>
      </c>
      <c r="C1765" s="5" t="s">
        <v>3716</v>
      </c>
      <c r="D1765" t="s">
        <v>3716</v>
      </c>
      <c r="G1765" t="s">
        <v>6159</v>
      </c>
    </row>
    <row r="1766" spans="1:7" x14ac:dyDescent="0.25">
      <c r="A1766" t="s">
        <v>57</v>
      </c>
      <c r="B1766" s="5">
        <v>40772</v>
      </c>
      <c r="C1766" s="5" t="s">
        <v>3717</v>
      </c>
      <c r="D1766" t="s">
        <v>3717</v>
      </c>
      <c r="G1766" t="s">
        <v>6159</v>
      </c>
    </row>
    <row r="1767" spans="1:7" x14ac:dyDescent="0.25">
      <c r="A1767" t="s">
        <v>79</v>
      </c>
      <c r="B1767" s="5">
        <v>39883</v>
      </c>
      <c r="C1767" s="5" t="s">
        <v>3718</v>
      </c>
      <c r="D1767" t="s">
        <v>3718</v>
      </c>
      <c r="G1767" t="s">
        <v>6159</v>
      </c>
    </row>
    <row r="1768" spans="1:7" x14ac:dyDescent="0.25">
      <c r="A1768" t="s">
        <v>52</v>
      </c>
      <c r="B1768" s="5">
        <v>39883</v>
      </c>
      <c r="C1768" s="5" t="s">
        <v>3719</v>
      </c>
      <c r="D1768" t="s">
        <v>3719</v>
      </c>
      <c r="G1768" t="s">
        <v>6159</v>
      </c>
    </row>
    <row r="1769" spans="1:7" x14ac:dyDescent="0.25">
      <c r="A1769" t="s">
        <v>1630</v>
      </c>
      <c r="B1769" s="5">
        <v>39882</v>
      </c>
      <c r="C1769" s="5" t="s">
        <v>3720</v>
      </c>
      <c r="D1769" t="s">
        <v>3720</v>
      </c>
      <c r="G1769" t="s">
        <v>6159</v>
      </c>
    </row>
    <row r="1770" spans="1:7" x14ac:dyDescent="0.25">
      <c r="A1770" t="s">
        <v>208</v>
      </c>
      <c r="B1770" s="5">
        <v>39876</v>
      </c>
      <c r="C1770" s="5" t="s">
        <v>3721</v>
      </c>
      <c r="D1770" t="s">
        <v>3721</v>
      </c>
      <c r="G1770" t="s">
        <v>6159</v>
      </c>
    </row>
    <row r="1771" spans="1:7" x14ac:dyDescent="0.25">
      <c r="A1771" t="s">
        <v>154</v>
      </c>
      <c r="B1771" s="5">
        <v>39876</v>
      </c>
      <c r="C1771" s="5" t="s">
        <v>3722</v>
      </c>
      <c r="D1771" t="s">
        <v>3722</v>
      </c>
      <c r="G1771" t="s">
        <v>6159</v>
      </c>
    </row>
    <row r="1772" spans="1:7" x14ac:dyDescent="0.25">
      <c r="A1772" t="s">
        <v>149</v>
      </c>
      <c r="B1772" s="5">
        <v>39876</v>
      </c>
      <c r="C1772" s="5" t="s">
        <v>3723</v>
      </c>
      <c r="D1772" t="s">
        <v>3723</v>
      </c>
      <c r="G1772" t="s">
        <v>6159</v>
      </c>
    </row>
    <row r="1773" spans="1:7" x14ac:dyDescent="0.25">
      <c r="A1773" t="s">
        <v>2811</v>
      </c>
      <c r="B1773" s="5">
        <v>39875</v>
      </c>
      <c r="C1773" s="5" t="s">
        <v>3724</v>
      </c>
      <c r="D1773" t="s">
        <v>3724</v>
      </c>
      <c r="G1773" t="s">
        <v>6159</v>
      </c>
    </row>
    <row r="1774" spans="1:7" x14ac:dyDescent="0.25">
      <c r="A1774" t="s">
        <v>362</v>
      </c>
      <c r="B1774" s="5">
        <v>39854</v>
      </c>
      <c r="C1774" s="5" t="s">
        <v>3725</v>
      </c>
      <c r="D1774" t="s">
        <v>3725</v>
      </c>
      <c r="G1774" t="s">
        <v>6159</v>
      </c>
    </row>
    <row r="1775" spans="1:7" x14ac:dyDescent="0.25">
      <c r="A1775" t="s">
        <v>275</v>
      </c>
      <c r="B1775" s="5">
        <v>39849</v>
      </c>
      <c r="C1775" s="5" t="s">
        <v>3726</v>
      </c>
      <c r="D1775" t="s">
        <v>3726</v>
      </c>
      <c r="G1775" t="s">
        <v>6159</v>
      </c>
    </row>
    <row r="1776" spans="1:7" x14ac:dyDescent="0.25">
      <c r="A1776" t="s">
        <v>203</v>
      </c>
      <c r="B1776" s="5">
        <v>39849</v>
      </c>
      <c r="C1776" s="5" t="s">
        <v>3727</v>
      </c>
      <c r="D1776" t="s">
        <v>3727</v>
      </c>
      <c r="G1776" t="s">
        <v>6159</v>
      </c>
    </row>
    <row r="1777" spans="1:7" x14ac:dyDescent="0.25">
      <c r="A1777" t="s">
        <v>228</v>
      </c>
      <c r="B1777" s="5">
        <v>39848</v>
      </c>
      <c r="C1777" s="5" t="s">
        <v>3728</v>
      </c>
      <c r="D1777" t="s">
        <v>3728</v>
      </c>
      <c r="G1777" t="s">
        <v>6159</v>
      </c>
    </row>
    <row r="1778" spans="1:7" x14ac:dyDescent="0.25">
      <c r="A1778" t="s">
        <v>150</v>
      </c>
      <c r="B1778" s="5">
        <v>39848</v>
      </c>
      <c r="C1778" s="5" t="s">
        <v>3729</v>
      </c>
      <c r="D1778" t="s">
        <v>3729</v>
      </c>
      <c r="G1778" t="s">
        <v>6159</v>
      </c>
    </row>
    <row r="1779" spans="1:7" x14ac:dyDescent="0.25">
      <c r="A1779" t="s">
        <v>273</v>
      </c>
      <c r="B1779" s="5">
        <v>39848</v>
      </c>
      <c r="C1779" s="5" t="s">
        <v>3730</v>
      </c>
      <c r="D1779" t="s">
        <v>3730</v>
      </c>
      <c r="G1779" t="s">
        <v>6159</v>
      </c>
    </row>
    <row r="1780" spans="1:7" x14ac:dyDescent="0.25">
      <c r="A1780" t="s">
        <v>190</v>
      </c>
      <c r="B1780" s="5">
        <v>39847</v>
      </c>
      <c r="C1780" s="5" t="s">
        <v>3731</v>
      </c>
      <c r="D1780" t="s">
        <v>3731</v>
      </c>
      <c r="G1780" t="s">
        <v>6159</v>
      </c>
    </row>
    <row r="1781" spans="1:7" x14ac:dyDescent="0.25">
      <c r="A1781" t="s">
        <v>126</v>
      </c>
      <c r="B1781" s="5">
        <v>41162</v>
      </c>
      <c r="C1781" s="5" t="s">
        <v>3732</v>
      </c>
      <c r="D1781" t="s">
        <v>3732</v>
      </c>
      <c r="G1781" t="s">
        <v>6159</v>
      </c>
    </row>
    <row r="1782" spans="1:7" x14ac:dyDescent="0.25">
      <c r="A1782" t="s">
        <v>211</v>
      </c>
      <c r="B1782" s="5">
        <v>39847</v>
      </c>
      <c r="C1782" s="5" t="s">
        <v>3733</v>
      </c>
      <c r="D1782" t="s">
        <v>3733</v>
      </c>
      <c r="G1782" t="s">
        <v>6159</v>
      </c>
    </row>
    <row r="1783" spans="1:7" x14ac:dyDescent="0.25">
      <c r="A1783" t="s">
        <v>2830</v>
      </c>
      <c r="B1783" s="5">
        <v>39842</v>
      </c>
      <c r="C1783" s="5" t="s">
        <v>3734</v>
      </c>
      <c r="D1783" t="s">
        <v>3734</v>
      </c>
      <c r="G1783" t="s">
        <v>6159</v>
      </c>
    </row>
    <row r="1784" spans="1:7" x14ac:dyDescent="0.25">
      <c r="A1784" t="s">
        <v>315</v>
      </c>
      <c r="B1784" s="5">
        <v>41172</v>
      </c>
      <c r="C1784" s="5" t="s">
        <v>3735</v>
      </c>
      <c r="D1784" t="s">
        <v>3735</v>
      </c>
      <c r="G1784" t="s">
        <v>6159</v>
      </c>
    </row>
    <row r="1785" spans="1:7" x14ac:dyDescent="0.25">
      <c r="A1785" t="s">
        <v>274</v>
      </c>
      <c r="B1785" s="5">
        <v>41148</v>
      </c>
      <c r="C1785" s="5" t="s">
        <v>3736</v>
      </c>
      <c r="D1785" t="s">
        <v>3736</v>
      </c>
      <c r="G1785" t="s">
        <v>6159</v>
      </c>
    </row>
    <row r="1786" spans="1:7" x14ac:dyDescent="0.25">
      <c r="A1786" t="s">
        <v>2811</v>
      </c>
      <c r="B1786" s="5">
        <v>39841</v>
      </c>
      <c r="C1786" s="5" t="s">
        <v>3737</v>
      </c>
      <c r="D1786" t="s">
        <v>3737</v>
      </c>
      <c r="G1786" t="s">
        <v>6159</v>
      </c>
    </row>
    <row r="1787" spans="1:7" x14ac:dyDescent="0.25">
      <c r="A1787" t="s">
        <v>2857</v>
      </c>
      <c r="B1787" s="5">
        <v>39826</v>
      </c>
      <c r="C1787" s="5" t="s">
        <v>3738</v>
      </c>
      <c r="D1787" t="s">
        <v>3738</v>
      </c>
      <c r="G1787" t="s">
        <v>6159</v>
      </c>
    </row>
    <row r="1788" spans="1:7" x14ac:dyDescent="0.25">
      <c r="A1788" t="s">
        <v>2824</v>
      </c>
      <c r="B1788" s="5">
        <v>39825</v>
      </c>
      <c r="C1788" s="5" t="s">
        <v>3739</v>
      </c>
      <c r="D1788" t="s">
        <v>3739</v>
      </c>
      <c r="G1788" t="s">
        <v>6159</v>
      </c>
    </row>
    <row r="1789" spans="1:7" x14ac:dyDescent="0.25">
      <c r="A1789" t="s">
        <v>260</v>
      </c>
      <c r="B1789" s="5">
        <v>41149</v>
      </c>
      <c r="C1789" s="5" t="s">
        <v>3740</v>
      </c>
      <c r="D1789" t="s">
        <v>3740</v>
      </c>
      <c r="G1789" t="s">
        <v>6159</v>
      </c>
    </row>
    <row r="1790" spans="1:7" x14ac:dyDescent="0.25">
      <c r="A1790" t="s">
        <v>2822</v>
      </c>
      <c r="B1790" s="5">
        <v>39825</v>
      </c>
      <c r="C1790" s="5" t="s">
        <v>3741</v>
      </c>
      <c r="D1790" t="s">
        <v>3741</v>
      </c>
      <c r="G1790" t="s">
        <v>6159</v>
      </c>
    </row>
    <row r="1791" spans="1:7" x14ac:dyDescent="0.25">
      <c r="A1791" t="s">
        <v>2848</v>
      </c>
      <c r="B1791" s="5">
        <v>39825</v>
      </c>
      <c r="C1791" s="5" t="s">
        <v>3742</v>
      </c>
      <c r="D1791" t="s">
        <v>3742</v>
      </c>
      <c r="G1791" t="s">
        <v>6159</v>
      </c>
    </row>
    <row r="1792" spans="1:7" x14ac:dyDescent="0.25">
      <c r="A1792" t="s">
        <v>150</v>
      </c>
      <c r="B1792" s="5">
        <v>42422</v>
      </c>
      <c r="C1792" s="5" t="s">
        <v>3743</v>
      </c>
      <c r="D1792" t="s">
        <v>3743</v>
      </c>
      <c r="G1792" t="s">
        <v>6159</v>
      </c>
    </row>
    <row r="1793" spans="1:7" x14ac:dyDescent="0.25">
      <c r="A1793" t="s">
        <v>2858</v>
      </c>
      <c r="B1793" s="5">
        <v>41382</v>
      </c>
      <c r="C1793" s="5" t="s">
        <v>3744</v>
      </c>
      <c r="D1793" t="s">
        <v>3744</v>
      </c>
      <c r="G1793" t="s">
        <v>6159</v>
      </c>
    </row>
    <row r="1794" spans="1:7" x14ac:dyDescent="0.25">
      <c r="A1794" t="s">
        <v>187</v>
      </c>
      <c r="B1794" s="5">
        <v>41114</v>
      </c>
      <c r="C1794" s="5" t="s">
        <v>3745</v>
      </c>
      <c r="D1794" t="s">
        <v>3745</v>
      </c>
      <c r="G1794" t="s">
        <v>6159</v>
      </c>
    </row>
    <row r="1795" spans="1:7" x14ac:dyDescent="0.25">
      <c r="A1795" t="s">
        <v>357</v>
      </c>
      <c r="B1795" s="5">
        <v>39799</v>
      </c>
      <c r="C1795" s="5" t="s">
        <v>3746</v>
      </c>
      <c r="D1795" t="s">
        <v>3746</v>
      </c>
      <c r="G1795" t="s">
        <v>6159</v>
      </c>
    </row>
    <row r="1796" spans="1:7" x14ac:dyDescent="0.25">
      <c r="A1796" t="s">
        <v>295</v>
      </c>
      <c r="B1796" s="5">
        <v>41115</v>
      </c>
      <c r="C1796" s="5" t="s">
        <v>3747</v>
      </c>
      <c r="D1796" t="s">
        <v>3747</v>
      </c>
      <c r="G1796" t="s">
        <v>6159</v>
      </c>
    </row>
    <row r="1797" spans="1:7" x14ac:dyDescent="0.25">
      <c r="A1797" t="s">
        <v>313</v>
      </c>
      <c r="B1797" s="5">
        <v>40380</v>
      </c>
      <c r="C1797" s="5" t="s">
        <v>3748</v>
      </c>
      <c r="D1797" t="s">
        <v>3748</v>
      </c>
      <c r="G1797" t="s">
        <v>6159</v>
      </c>
    </row>
    <row r="1798" spans="1:7" x14ac:dyDescent="0.25">
      <c r="A1798" t="s">
        <v>328</v>
      </c>
      <c r="B1798" s="5">
        <v>39799</v>
      </c>
      <c r="C1798" s="5" t="s">
        <v>3749</v>
      </c>
      <c r="D1798" t="s">
        <v>3749</v>
      </c>
      <c r="G1798" t="s">
        <v>6159</v>
      </c>
    </row>
    <row r="1799" spans="1:7" x14ac:dyDescent="0.25">
      <c r="A1799" t="s">
        <v>253</v>
      </c>
      <c r="B1799" s="5">
        <v>41136</v>
      </c>
      <c r="C1799" s="5" t="s">
        <v>3750</v>
      </c>
      <c r="D1799" t="s">
        <v>3750</v>
      </c>
      <c r="G1799" t="s">
        <v>6159</v>
      </c>
    </row>
    <row r="1800" spans="1:7" x14ac:dyDescent="0.25">
      <c r="A1800" t="s">
        <v>2853</v>
      </c>
      <c r="B1800" s="5">
        <v>41162</v>
      </c>
      <c r="C1800" s="5" t="s">
        <v>3751</v>
      </c>
      <c r="D1800" t="s">
        <v>3751</v>
      </c>
      <c r="G1800" t="s">
        <v>6159</v>
      </c>
    </row>
    <row r="1801" spans="1:7" x14ac:dyDescent="0.25">
      <c r="A1801" t="s">
        <v>2859</v>
      </c>
      <c r="B1801" s="5">
        <v>40155</v>
      </c>
      <c r="C1801" s="5" t="s">
        <v>3752</v>
      </c>
      <c r="D1801" t="s">
        <v>3752</v>
      </c>
      <c r="G1801" t="s">
        <v>6159</v>
      </c>
    </row>
    <row r="1802" spans="1:7" x14ac:dyDescent="0.25">
      <c r="A1802" t="s">
        <v>201</v>
      </c>
      <c r="B1802" s="5">
        <v>39792</v>
      </c>
      <c r="C1802" s="5" t="s">
        <v>3753</v>
      </c>
      <c r="D1802" t="s">
        <v>3753</v>
      </c>
      <c r="G1802" t="s">
        <v>6159</v>
      </c>
    </row>
    <row r="1803" spans="1:7" x14ac:dyDescent="0.25">
      <c r="A1803" t="s">
        <v>149</v>
      </c>
      <c r="B1803" s="5">
        <v>39786</v>
      </c>
      <c r="C1803" s="5" t="s">
        <v>3754</v>
      </c>
      <c r="D1803" t="s">
        <v>3754</v>
      </c>
      <c r="G1803" t="s">
        <v>6159</v>
      </c>
    </row>
    <row r="1804" spans="1:7" x14ac:dyDescent="0.25">
      <c r="A1804" t="s">
        <v>154</v>
      </c>
      <c r="B1804" s="5">
        <v>39785</v>
      </c>
      <c r="C1804" s="5" t="s">
        <v>3755</v>
      </c>
      <c r="D1804" t="s">
        <v>3755</v>
      </c>
      <c r="G1804" t="s">
        <v>6159</v>
      </c>
    </row>
    <row r="1805" spans="1:7" x14ac:dyDescent="0.25">
      <c r="A1805" t="s">
        <v>315</v>
      </c>
      <c r="B1805" s="5">
        <v>42350</v>
      </c>
      <c r="C1805" s="5" t="s">
        <v>3756</v>
      </c>
      <c r="D1805" t="s">
        <v>3756</v>
      </c>
      <c r="G1805" t="s">
        <v>6159</v>
      </c>
    </row>
    <row r="1806" spans="1:7" x14ac:dyDescent="0.25">
      <c r="A1806" t="s">
        <v>208</v>
      </c>
      <c r="B1806" s="5">
        <v>39783</v>
      </c>
      <c r="C1806" s="5" t="s">
        <v>3757</v>
      </c>
      <c r="D1806" t="s">
        <v>3757</v>
      </c>
      <c r="G1806" t="s">
        <v>6159</v>
      </c>
    </row>
    <row r="1807" spans="1:7" x14ac:dyDescent="0.25">
      <c r="A1807" t="s">
        <v>38</v>
      </c>
      <c r="B1807" s="5">
        <v>39771</v>
      </c>
      <c r="C1807" s="5" t="s">
        <v>3758</v>
      </c>
      <c r="D1807" t="s">
        <v>3758</v>
      </c>
      <c r="G1807" t="s">
        <v>6159</v>
      </c>
    </row>
    <row r="1808" spans="1:7" x14ac:dyDescent="0.25">
      <c r="A1808" t="s">
        <v>299</v>
      </c>
      <c r="B1808" s="5">
        <v>42331</v>
      </c>
      <c r="C1808" s="5" t="s">
        <v>3759</v>
      </c>
      <c r="D1808" t="s">
        <v>3759</v>
      </c>
      <c r="G1808" t="s">
        <v>6159</v>
      </c>
    </row>
    <row r="1809" spans="1:7" x14ac:dyDescent="0.25">
      <c r="A1809" t="s">
        <v>2860</v>
      </c>
      <c r="B1809" s="5">
        <v>41241</v>
      </c>
      <c r="C1809" s="5" t="s">
        <v>3760</v>
      </c>
      <c r="D1809" t="s">
        <v>3760</v>
      </c>
      <c r="G1809" t="s">
        <v>6159</v>
      </c>
    </row>
    <row r="1810" spans="1:7" x14ac:dyDescent="0.25">
      <c r="A1810" t="s">
        <v>186</v>
      </c>
      <c r="B1810" s="5">
        <v>41241</v>
      </c>
      <c r="C1810" s="5" t="s">
        <v>3761</v>
      </c>
      <c r="D1810" t="s">
        <v>3761</v>
      </c>
      <c r="G1810" t="s">
        <v>6159</v>
      </c>
    </row>
    <row r="1811" spans="1:7" x14ac:dyDescent="0.25">
      <c r="A1811" t="s">
        <v>299</v>
      </c>
      <c r="B1811" s="5">
        <v>41241</v>
      </c>
      <c r="C1811" s="5" t="s">
        <v>3762</v>
      </c>
      <c r="D1811" t="s">
        <v>3762</v>
      </c>
      <c r="G1811" t="s">
        <v>6159</v>
      </c>
    </row>
    <row r="1812" spans="1:7" x14ac:dyDescent="0.25">
      <c r="A1812" t="s">
        <v>28</v>
      </c>
      <c r="B1812" s="5">
        <v>39770</v>
      </c>
      <c r="C1812" s="5" t="s">
        <v>3763</v>
      </c>
      <c r="D1812" t="s">
        <v>3763</v>
      </c>
      <c r="G1812" t="s">
        <v>6159</v>
      </c>
    </row>
    <row r="1813" spans="1:7" x14ac:dyDescent="0.25">
      <c r="A1813" t="s">
        <v>176</v>
      </c>
      <c r="B1813" s="5">
        <v>39770</v>
      </c>
      <c r="C1813" s="5" t="s">
        <v>3764</v>
      </c>
      <c r="D1813" t="s">
        <v>3764</v>
      </c>
      <c r="G1813" t="s">
        <v>6159</v>
      </c>
    </row>
    <row r="1814" spans="1:7" x14ac:dyDescent="0.25">
      <c r="A1814" t="s">
        <v>238</v>
      </c>
      <c r="B1814" s="5">
        <v>39770</v>
      </c>
      <c r="C1814" s="5" t="s">
        <v>3765</v>
      </c>
      <c r="D1814" t="s">
        <v>3765</v>
      </c>
      <c r="G1814" t="s">
        <v>6159</v>
      </c>
    </row>
    <row r="1815" spans="1:7" x14ac:dyDescent="0.25">
      <c r="A1815" t="s">
        <v>213</v>
      </c>
      <c r="B1815" s="5">
        <v>41242</v>
      </c>
      <c r="C1815" s="5" t="s">
        <v>3766</v>
      </c>
      <c r="D1815" t="s">
        <v>3766</v>
      </c>
      <c r="G1815" t="s">
        <v>6159</v>
      </c>
    </row>
    <row r="1816" spans="1:7" x14ac:dyDescent="0.25">
      <c r="A1816" t="s">
        <v>39</v>
      </c>
      <c r="B1816" s="5">
        <v>39769</v>
      </c>
      <c r="C1816" s="5" t="s">
        <v>3767</v>
      </c>
      <c r="D1816" t="s">
        <v>3767</v>
      </c>
      <c r="G1816" t="s">
        <v>6159</v>
      </c>
    </row>
    <row r="1817" spans="1:7" x14ac:dyDescent="0.25">
      <c r="A1817" t="s">
        <v>290</v>
      </c>
      <c r="B1817" s="5">
        <v>39764</v>
      </c>
      <c r="C1817" s="5" t="s">
        <v>3768</v>
      </c>
      <c r="D1817" t="s">
        <v>3768</v>
      </c>
      <c r="G1817" t="s">
        <v>6159</v>
      </c>
    </row>
    <row r="1818" spans="1:7" x14ac:dyDescent="0.25">
      <c r="A1818" t="s">
        <v>135</v>
      </c>
      <c r="B1818" s="5">
        <v>42311</v>
      </c>
      <c r="C1818" s="5" t="s">
        <v>3769</v>
      </c>
      <c r="D1818" t="s">
        <v>3769</v>
      </c>
      <c r="G1818" t="s">
        <v>6159</v>
      </c>
    </row>
    <row r="1819" spans="1:7" x14ac:dyDescent="0.25">
      <c r="A1819" t="s">
        <v>253</v>
      </c>
      <c r="B1819" s="5">
        <v>41248</v>
      </c>
      <c r="C1819" s="5" t="s">
        <v>3770</v>
      </c>
      <c r="D1819" t="s">
        <v>3770</v>
      </c>
      <c r="G1819" t="s">
        <v>6159</v>
      </c>
    </row>
    <row r="1820" spans="1:7" x14ac:dyDescent="0.25">
      <c r="A1820" t="s">
        <v>223</v>
      </c>
      <c r="B1820" s="5">
        <v>41228</v>
      </c>
      <c r="C1820" s="5" t="s">
        <v>3771</v>
      </c>
      <c r="D1820" t="s">
        <v>3771</v>
      </c>
      <c r="G1820" t="s">
        <v>6159</v>
      </c>
    </row>
    <row r="1821" spans="1:7" x14ac:dyDescent="0.25">
      <c r="A1821" t="s">
        <v>260</v>
      </c>
      <c r="B1821" s="5">
        <v>41254</v>
      </c>
      <c r="C1821" s="5" t="s">
        <v>3772</v>
      </c>
      <c r="D1821" t="s">
        <v>3772</v>
      </c>
      <c r="G1821" t="s">
        <v>6159</v>
      </c>
    </row>
    <row r="1822" spans="1:7" x14ac:dyDescent="0.25">
      <c r="A1822" t="s">
        <v>273</v>
      </c>
      <c r="B1822" s="5">
        <v>39743</v>
      </c>
      <c r="C1822" s="5" t="s">
        <v>3773</v>
      </c>
      <c r="D1822" t="s">
        <v>3773</v>
      </c>
      <c r="G1822" t="s">
        <v>6159</v>
      </c>
    </row>
    <row r="1823" spans="1:7" x14ac:dyDescent="0.25">
      <c r="A1823" t="s">
        <v>266</v>
      </c>
      <c r="B1823" s="5">
        <v>41254</v>
      </c>
      <c r="C1823" s="5" t="s">
        <v>3774</v>
      </c>
      <c r="D1823" t="s">
        <v>3774</v>
      </c>
      <c r="G1823" t="s">
        <v>6159</v>
      </c>
    </row>
    <row r="1824" spans="1:7" x14ac:dyDescent="0.25">
      <c r="A1824" t="s">
        <v>2861</v>
      </c>
      <c r="B1824" s="5">
        <v>42296</v>
      </c>
      <c r="C1824" s="5" t="s">
        <v>3775</v>
      </c>
      <c r="D1824" t="s">
        <v>3775</v>
      </c>
      <c r="G1824" t="s">
        <v>6159</v>
      </c>
    </row>
    <row r="1825" spans="1:7" x14ac:dyDescent="0.25">
      <c r="A1825" t="s">
        <v>203</v>
      </c>
      <c r="B1825" s="5">
        <v>39742</v>
      </c>
      <c r="C1825" s="5" t="s">
        <v>3776</v>
      </c>
      <c r="D1825" t="s">
        <v>3776</v>
      </c>
      <c r="G1825" t="s">
        <v>6159</v>
      </c>
    </row>
    <row r="1826" spans="1:7" x14ac:dyDescent="0.25">
      <c r="A1826" t="s">
        <v>126</v>
      </c>
      <c r="B1826" s="5">
        <v>41261</v>
      </c>
      <c r="C1826" s="5" t="s">
        <v>3777</v>
      </c>
      <c r="D1826" t="s">
        <v>3777</v>
      </c>
      <c r="G1826" t="s">
        <v>6159</v>
      </c>
    </row>
    <row r="1827" spans="1:7" x14ac:dyDescent="0.25">
      <c r="A1827" t="s">
        <v>18</v>
      </c>
      <c r="B1827" s="5">
        <v>39737</v>
      </c>
      <c r="C1827" s="5" t="s">
        <v>3778</v>
      </c>
      <c r="D1827" t="s">
        <v>3778</v>
      </c>
      <c r="G1827" t="s">
        <v>6159</v>
      </c>
    </row>
    <row r="1828" spans="1:7" x14ac:dyDescent="0.25">
      <c r="A1828" t="s">
        <v>328</v>
      </c>
      <c r="B1828" s="5">
        <v>39736</v>
      </c>
      <c r="C1828" s="5" t="s">
        <v>3779</v>
      </c>
      <c r="D1828" t="s">
        <v>3779</v>
      </c>
      <c r="G1828" t="s">
        <v>6159</v>
      </c>
    </row>
    <row r="1829" spans="1:7" x14ac:dyDescent="0.25">
      <c r="A1829" t="s">
        <v>357</v>
      </c>
      <c r="B1829" s="5">
        <v>39736</v>
      </c>
      <c r="C1829" s="5" t="s">
        <v>3780</v>
      </c>
      <c r="D1829" t="s">
        <v>3780</v>
      </c>
      <c r="G1829" t="s">
        <v>6159</v>
      </c>
    </row>
    <row r="1830" spans="1:7" x14ac:dyDescent="0.25">
      <c r="A1830" t="s">
        <v>326</v>
      </c>
      <c r="B1830" s="5">
        <v>41282</v>
      </c>
      <c r="C1830" s="5" t="s">
        <v>3781</v>
      </c>
      <c r="D1830" t="s">
        <v>3781</v>
      </c>
      <c r="G1830" t="s">
        <v>6159</v>
      </c>
    </row>
    <row r="1831" spans="1:7" x14ac:dyDescent="0.25">
      <c r="A1831" t="s">
        <v>176</v>
      </c>
      <c r="B1831" s="5">
        <v>39714</v>
      </c>
      <c r="C1831" s="5" t="s">
        <v>3782</v>
      </c>
      <c r="D1831" t="s">
        <v>3782</v>
      </c>
      <c r="G1831" t="s">
        <v>6159</v>
      </c>
    </row>
    <row r="1832" spans="1:7" x14ac:dyDescent="0.25">
      <c r="A1832" t="s">
        <v>42</v>
      </c>
      <c r="B1832" s="5">
        <v>39714</v>
      </c>
      <c r="C1832" s="5" t="s">
        <v>3783</v>
      </c>
      <c r="D1832" t="s">
        <v>3783</v>
      </c>
      <c r="G1832" t="s">
        <v>6159</v>
      </c>
    </row>
    <row r="1833" spans="1:7" x14ac:dyDescent="0.25">
      <c r="A1833" t="s">
        <v>28</v>
      </c>
      <c r="B1833" s="5">
        <v>39714</v>
      </c>
      <c r="C1833" s="5" t="s">
        <v>3784</v>
      </c>
      <c r="D1833" t="s">
        <v>3784</v>
      </c>
      <c r="G1833" t="s">
        <v>6159</v>
      </c>
    </row>
    <row r="1834" spans="1:7" x14ac:dyDescent="0.25">
      <c r="A1834" t="s">
        <v>38</v>
      </c>
      <c r="B1834" s="5">
        <v>39713</v>
      </c>
      <c r="C1834" s="5" t="s">
        <v>3785</v>
      </c>
      <c r="D1834" t="s">
        <v>3785</v>
      </c>
      <c r="G1834" t="s">
        <v>6159</v>
      </c>
    </row>
    <row r="1835" spans="1:7" x14ac:dyDescent="0.25">
      <c r="A1835" t="s">
        <v>54</v>
      </c>
      <c r="B1835" s="5">
        <v>39713</v>
      </c>
      <c r="C1835" s="5" t="s">
        <v>3786</v>
      </c>
      <c r="D1835" t="s">
        <v>3786</v>
      </c>
      <c r="G1835" t="s">
        <v>6159</v>
      </c>
    </row>
    <row r="1836" spans="1:7" x14ac:dyDescent="0.25">
      <c r="A1836" t="s">
        <v>60</v>
      </c>
      <c r="B1836" s="5">
        <v>41304</v>
      </c>
      <c r="C1836" s="5" t="s">
        <v>3787</v>
      </c>
      <c r="D1836" t="s">
        <v>3787</v>
      </c>
      <c r="G1836" t="s">
        <v>6159</v>
      </c>
    </row>
    <row r="1837" spans="1:7" x14ac:dyDescent="0.25">
      <c r="A1837" t="s">
        <v>2857</v>
      </c>
      <c r="B1837" s="5">
        <v>39706</v>
      </c>
      <c r="C1837" s="5" t="s">
        <v>3788</v>
      </c>
      <c r="D1837" t="s">
        <v>3788</v>
      </c>
      <c r="G1837" t="s">
        <v>6159</v>
      </c>
    </row>
    <row r="1838" spans="1:7" x14ac:dyDescent="0.25">
      <c r="A1838" t="s">
        <v>203</v>
      </c>
      <c r="B1838" s="5">
        <v>41312</v>
      </c>
      <c r="C1838" s="5" t="s">
        <v>3789</v>
      </c>
      <c r="D1838" t="s">
        <v>3789</v>
      </c>
      <c r="G1838" t="s">
        <v>6159</v>
      </c>
    </row>
    <row r="1839" spans="1:7" x14ac:dyDescent="0.25">
      <c r="A1839" t="s">
        <v>362</v>
      </c>
      <c r="B1839" s="5">
        <v>39702</v>
      </c>
      <c r="C1839" s="5" t="s">
        <v>3790</v>
      </c>
      <c r="D1839" t="s">
        <v>3790</v>
      </c>
      <c r="G1839" t="s">
        <v>6159</v>
      </c>
    </row>
    <row r="1840" spans="1:7" x14ac:dyDescent="0.25">
      <c r="A1840" t="s">
        <v>79</v>
      </c>
      <c r="B1840" s="5">
        <v>39700</v>
      </c>
      <c r="C1840" s="5" t="s">
        <v>3791</v>
      </c>
      <c r="D1840" t="s">
        <v>3791</v>
      </c>
      <c r="G1840" t="s">
        <v>6159</v>
      </c>
    </row>
    <row r="1841" spans="1:7" x14ac:dyDescent="0.25">
      <c r="A1841" t="s">
        <v>278</v>
      </c>
      <c r="B1841" s="5">
        <v>41339</v>
      </c>
      <c r="C1841" s="5" t="s">
        <v>3792</v>
      </c>
      <c r="D1841" t="s">
        <v>3792</v>
      </c>
      <c r="G1841" t="s">
        <v>6159</v>
      </c>
    </row>
    <row r="1842" spans="1:7" x14ac:dyDescent="0.25">
      <c r="A1842" t="s">
        <v>2862</v>
      </c>
      <c r="B1842" s="5">
        <v>39700</v>
      </c>
      <c r="C1842" s="5" t="s">
        <v>3793</v>
      </c>
      <c r="D1842" t="s">
        <v>3793</v>
      </c>
      <c r="G1842" t="s">
        <v>6159</v>
      </c>
    </row>
    <row r="1843" spans="1:7" x14ac:dyDescent="0.25">
      <c r="A1843" t="s">
        <v>1630</v>
      </c>
      <c r="B1843" s="5">
        <v>39699</v>
      </c>
      <c r="C1843" s="5" t="s">
        <v>3794</v>
      </c>
      <c r="D1843" t="s">
        <v>3794</v>
      </c>
      <c r="G1843" t="s">
        <v>6159</v>
      </c>
    </row>
    <row r="1844" spans="1:7" x14ac:dyDescent="0.25">
      <c r="A1844" t="s">
        <v>339</v>
      </c>
      <c r="B1844" s="5">
        <v>39687</v>
      </c>
      <c r="C1844" s="5" t="s">
        <v>3795</v>
      </c>
      <c r="D1844" t="s">
        <v>3795</v>
      </c>
      <c r="G1844" t="s">
        <v>6159</v>
      </c>
    </row>
    <row r="1845" spans="1:7" x14ac:dyDescent="0.25">
      <c r="A1845" t="s">
        <v>140</v>
      </c>
      <c r="B1845" s="5">
        <v>39686</v>
      </c>
      <c r="C1845" s="5" t="s">
        <v>3796</v>
      </c>
      <c r="D1845" t="s">
        <v>3796</v>
      </c>
      <c r="G1845" t="s">
        <v>6159</v>
      </c>
    </row>
    <row r="1846" spans="1:7" x14ac:dyDescent="0.25">
      <c r="A1846" t="s">
        <v>238</v>
      </c>
      <c r="B1846" s="5">
        <v>39686</v>
      </c>
      <c r="C1846" s="5" t="s">
        <v>3797</v>
      </c>
      <c r="D1846" t="s">
        <v>3797</v>
      </c>
      <c r="G1846" t="s">
        <v>6159</v>
      </c>
    </row>
    <row r="1847" spans="1:7" x14ac:dyDescent="0.25">
      <c r="A1847" t="s">
        <v>39</v>
      </c>
      <c r="B1847" s="5">
        <v>39685</v>
      </c>
      <c r="C1847" s="5" t="s">
        <v>3798</v>
      </c>
      <c r="D1847" t="s">
        <v>3798</v>
      </c>
      <c r="G1847" t="s">
        <v>6159</v>
      </c>
    </row>
    <row r="1848" spans="1:7" x14ac:dyDescent="0.25">
      <c r="A1848" t="s">
        <v>260</v>
      </c>
      <c r="B1848" s="5">
        <v>41330</v>
      </c>
      <c r="C1848" s="5" t="s">
        <v>3799</v>
      </c>
      <c r="D1848" t="s">
        <v>3799</v>
      </c>
      <c r="G1848" t="s">
        <v>6159</v>
      </c>
    </row>
    <row r="1849" spans="1:7" x14ac:dyDescent="0.25">
      <c r="A1849" t="s">
        <v>154</v>
      </c>
      <c r="B1849" s="5">
        <v>39682</v>
      </c>
      <c r="C1849" s="5" t="s">
        <v>3800</v>
      </c>
      <c r="D1849" t="s">
        <v>3800</v>
      </c>
      <c r="G1849" t="s">
        <v>6159</v>
      </c>
    </row>
    <row r="1850" spans="1:7" x14ac:dyDescent="0.25">
      <c r="A1850" t="s">
        <v>149</v>
      </c>
      <c r="B1850" s="5">
        <v>39681</v>
      </c>
      <c r="C1850" s="5" t="s">
        <v>3801</v>
      </c>
      <c r="D1850" t="s">
        <v>3801</v>
      </c>
      <c r="G1850" t="s">
        <v>6159</v>
      </c>
    </row>
    <row r="1851" spans="1:7" x14ac:dyDescent="0.25">
      <c r="A1851" t="s">
        <v>289</v>
      </c>
      <c r="B1851" s="5">
        <v>39680</v>
      </c>
      <c r="C1851" s="5" t="s">
        <v>3802</v>
      </c>
      <c r="D1851" t="s">
        <v>3802</v>
      </c>
      <c r="G1851" t="s">
        <v>6159</v>
      </c>
    </row>
    <row r="1852" spans="1:7" x14ac:dyDescent="0.25">
      <c r="A1852" t="s">
        <v>245</v>
      </c>
      <c r="B1852" s="5">
        <v>41352</v>
      </c>
      <c r="C1852" s="5" t="s">
        <v>3803</v>
      </c>
      <c r="D1852" t="s">
        <v>3803</v>
      </c>
      <c r="G1852" t="s">
        <v>6159</v>
      </c>
    </row>
    <row r="1853" spans="1:7" x14ac:dyDescent="0.25">
      <c r="A1853" t="s">
        <v>208</v>
      </c>
      <c r="B1853" s="5">
        <v>39680</v>
      </c>
      <c r="C1853" s="5" t="s">
        <v>3804</v>
      </c>
      <c r="D1853" t="s">
        <v>3804</v>
      </c>
      <c r="G1853" t="s">
        <v>6159</v>
      </c>
    </row>
    <row r="1854" spans="1:7" x14ac:dyDescent="0.25">
      <c r="A1854" t="s">
        <v>201</v>
      </c>
      <c r="B1854" s="5">
        <v>39679</v>
      </c>
      <c r="C1854" s="5" t="s">
        <v>3805</v>
      </c>
      <c r="D1854" t="s">
        <v>3805</v>
      </c>
      <c r="G1854" t="s">
        <v>6159</v>
      </c>
    </row>
    <row r="1855" spans="1:7" x14ac:dyDescent="0.25">
      <c r="A1855" t="s">
        <v>275</v>
      </c>
      <c r="B1855" s="5">
        <v>39674</v>
      </c>
      <c r="C1855" s="5" t="s">
        <v>3806</v>
      </c>
      <c r="D1855" t="s">
        <v>3806</v>
      </c>
      <c r="G1855" t="s">
        <v>6159</v>
      </c>
    </row>
    <row r="1856" spans="1:7" x14ac:dyDescent="0.25">
      <c r="A1856" t="s">
        <v>226</v>
      </c>
      <c r="B1856" s="5">
        <v>39674</v>
      </c>
      <c r="C1856" s="5" t="s">
        <v>3807</v>
      </c>
      <c r="D1856" t="s">
        <v>3807</v>
      </c>
      <c r="G1856" t="s">
        <v>6159</v>
      </c>
    </row>
    <row r="1857" spans="1:7" x14ac:dyDescent="0.25">
      <c r="A1857" t="s">
        <v>190</v>
      </c>
      <c r="B1857" s="5">
        <v>39673</v>
      </c>
      <c r="C1857" s="5" t="s">
        <v>3808</v>
      </c>
      <c r="D1857" t="s">
        <v>3808</v>
      </c>
      <c r="G1857" t="s">
        <v>6159</v>
      </c>
    </row>
    <row r="1858" spans="1:7" x14ac:dyDescent="0.25">
      <c r="A1858" t="s">
        <v>231</v>
      </c>
      <c r="B1858" s="5">
        <v>41338</v>
      </c>
      <c r="C1858" s="5" t="s">
        <v>3809</v>
      </c>
      <c r="D1858" t="s">
        <v>3809</v>
      </c>
      <c r="G1858" t="s">
        <v>6159</v>
      </c>
    </row>
    <row r="1859" spans="1:7" x14ac:dyDescent="0.25">
      <c r="A1859" t="s">
        <v>69</v>
      </c>
      <c r="B1859" s="5">
        <v>41541</v>
      </c>
      <c r="C1859" s="5" t="s">
        <v>3810</v>
      </c>
      <c r="D1859" t="s">
        <v>3810</v>
      </c>
      <c r="G1859" t="s">
        <v>6159</v>
      </c>
    </row>
    <row r="1860" spans="1:7" x14ac:dyDescent="0.25">
      <c r="A1860" t="s">
        <v>273</v>
      </c>
      <c r="B1860" s="5">
        <v>39672</v>
      </c>
      <c r="C1860" s="5" t="s">
        <v>3811</v>
      </c>
      <c r="D1860" t="s">
        <v>3811</v>
      </c>
      <c r="G1860" t="s">
        <v>6159</v>
      </c>
    </row>
    <row r="1861" spans="1:7" x14ac:dyDescent="0.25">
      <c r="A1861" t="s">
        <v>2811</v>
      </c>
      <c r="B1861" s="5">
        <v>39667</v>
      </c>
      <c r="C1861" s="5" t="s">
        <v>3812</v>
      </c>
      <c r="D1861" t="s">
        <v>3812</v>
      </c>
      <c r="G1861" t="s">
        <v>6159</v>
      </c>
    </row>
    <row r="1862" spans="1:7" x14ac:dyDescent="0.25">
      <c r="A1862" t="s">
        <v>2814</v>
      </c>
      <c r="B1862" s="5">
        <v>39667</v>
      </c>
      <c r="C1862" s="5" t="s">
        <v>3813</v>
      </c>
      <c r="D1862" t="s">
        <v>3813</v>
      </c>
      <c r="G1862" t="s">
        <v>6159</v>
      </c>
    </row>
    <row r="1863" spans="1:7" x14ac:dyDescent="0.25">
      <c r="A1863" t="s">
        <v>2830</v>
      </c>
      <c r="B1863" s="5">
        <v>39666</v>
      </c>
      <c r="C1863" s="5" t="s">
        <v>3814</v>
      </c>
      <c r="D1863" t="s">
        <v>3814</v>
      </c>
      <c r="G1863" t="s">
        <v>6159</v>
      </c>
    </row>
    <row r="1864" spans="1:7" x14ac:dyDescent="0.25">
      <c r="A1864" t="s">
        <v>2814</v>
      </c>
      <c r="B1864" s="5">
        <v>39644</v>
      </c>
      <c r="C1864" s="5" t="s">
        <v>3815</v>
      </c>
      <c r="D1864" t="s">
        <v>3815</v>
      </c>
      <c r="G1864" t="s">
        <v>6159</v>
      </c>
    </row>
    <row r="1865" spans="1:7" x14ac:dyDescent="0.25">
      <c r="A1865" t="s">
        <v>250</v>
      </c>
      <c r="B1865" s="5">
        <v>40526</v>
      </c>
      <c r="C1865" s="5" t="s">
        <v>3816</v>
      </c>
      <c r="D1865" t="s">
        <v>3816</v>
      </c>
      <c r="G1865" t="s">
        <v>6159</v>
      </c>
    </row>
    <row r="1866" spans="1:7" x14ac:dyDescent="0.25">
      <c r="A1866" t="s">
        <v>104</v>
      </c>
      <c r="B1866" s="5">
        <v>40770</v>
      </c>
      <c r="C1866" s="5" t="s">
        <v>3817</v>
      </c>
      <c r="D1866" t="s">
        <v>3817</v>
      </c>
      <c r="G1866" t="s">
        <v>6159</v>
      </c>
    </row>
    <row r="1867" spans="1:7" x14ac:dyDescent="0.25">
      <c r="A1867" t="s">
        <v>57</v>
      </c>
      <c r="B1867" s="5">
        <v>41415</v>
      </c>
      <c r="C1867" s="5" t="s">
        <v>3818</v>
      </c>
      <c r="D1867" t="s">
        <v>3818</v>
      </c>
      <c r="G1867" t="s">
        <v>6159</v>
      </c>
    </row>
    <row r="1868" spans="1:7" x14ac:dyDescent="0.25">
      <c r="A1868" t="s">
        <v>87</v>
      </c>
      <c r="B1868" s="5">
        <v>40332</v>
      </c>
      <c r="C1868" s="5" t="s">
        <v>3819</v>
      </c>
      <c r="D1868" t="s">
        <v>3819</v>
      </c>
      <c r="G1868" t="s">
        <v>6159</v>
      </c>
    </row>
    <row r="1869" spans="1:7" x14ac:dyDescent="0.25">
      <c r="A1869" t="s">
        <v>2863</v>
      </c>
      <c r="B1869" s="5">
        <v>40332</v>
      </c>
      <c r="C1869" s="5" t="s">
        <v>3820</v>
      </c>
      <c r="D1869" t="s">
        <v>3820</v>
      </c>
      <c r="G1869" t="s">
        <v>6159</v>
      </c>
    </row>
    <row r="1870" spans="1:7" x14ac:dyDescent="0.25">
      <c r="A1870" t="s">
        <v>103</v>
      </c>
      <c r="B1870" s="5">
        <v>40304</v>
      </c>
      <c r="C1870" s="5" t="s">
        <v>3821</v>
      </c>
      <c r="D1870" t="s">
        <v>3821</v>
      </c>
      <c r="G1870" t="s">
        <v>6159</v>
      </c>
    </row>
    <row r="1871" spans="1:7" x14ac:dyDescent="0.25">
      <c r="A1871" t="s">
        <v>95</v>
      </c>
      <c r="B1871" s="5">
        <v>40303</v>
      </c>
      <c r="C1871" s="5" t="s">
        <v>3822</v>
      </c>
      <c r="D1871" t="s">
        <v>3822</v>
      </c>
      <c r="G1871" t="s">
        <v>6159</v>
      </c>
    </row>
    <row r="1872" spans="1:7" x14ac:dyDescent="0.25">
      <c r="A1872" t="s">
        <v>212</v>
      </c>
      <c r="B1872" s="5">
        <v>41409</v>
      </c>
      <c r="C1872" s="5" t="s">
        <v>3823</v>
      </c>
      <c r="D1872" t="s">
        <v>3823</v>
      </c>
      <c r="G1872" t="s">
        <v>6159</v>
      </c>
    </row>
    <row r="1873" spans="1:7" x14ac:dyDescent="0.25">
      <c r="A1873" t="s">
        <v>98</v>
      </c>
      <c r="B1873" s="5">
        <v>40302</v>
      </c>
      <c r="C1873" s="5" t="s">
        <v>3824</v>
      </c>
      <c r="D1873" t="s">
        <v>3824</v>
      </c>
      <c r="G1873" t="s">
        <v>6159</v>
      </c>
    </row>
    <row r="1874" spans="1:7" x14ac:dyDescent="0.25">
      <c r="A1874" t="s">
        <v>1387</v>
      </c>
      <c r="B1874" s="5">
        <v>40289</v>
      </c>
      <c r="C1874" s="5" t="s">
        <v>3825</v>
      </c>
      <c r="D1874" t="s">
        <v>3825</v>
      </c>
      <c r="G1874" t="s">
        <v>6159</v>
      </c>
    </row>
    <row r="1875" spans="1:7" x14ac:dyDescent="0.25">
      <c r="A1875" t="s">
        <v>247</v>
      </c>
      <c r="B1875" s="5">
        <v>40269</v>
      </c>
      <c r="C1875" s="5" t="s">
        <v>3826</v>
      </c>
      <c r="D1875" t="s">
        <v>3826</v>
      </c>
      <c r="G1875" t="s">
        <v>6159</v>
      </c>
    </row>
    <row r="1876" spans="1:7" x14ac:dyDescent="0.25">
      <c r="A1876" t="s">
        <v>315</v>
      </c>
      <c r="B1876" s="5">
        <v>40234</v>
      </c>
      <c r="C1876" s="5" t="s">
        <v>3827</v>
      </c>
      <c r="D1876" t="s">
        <v>3827</v>
      </c>
      <c r="G1876" t="s">
        <v>6159</v>
      </c>
    </row>
    <row r="1877" spans="1:7" x14ac:dyDescent="0.25">
      <c r="A1877" t="s">
        <v>235</v>
      </c>
      <c r="B1877" s="5">
        <v>40234</v>
      </c>
      <c r="C1877" s="5" t="s">
        <v>3828</v>
      </c>
      <c r="D1877" t="s">
        <v>3828</v>
      </c>
      <c r="G1877" t="s">
        <v>6159</v>
      </c>
    </row>
    <row r="1878" spans="1:7" x14ac:dyDescent="0.25">
      <c r="A1878" t="s">
        <v>229</v>
      </c>
      <c r="B1878" s="5">
        <v>40163</v>
      </c>
      <c r="C1878" s="5" t="s">
        <v>3829</v>
      </c>
      <c r="D1878" t="s">
        <v>3829</v>
      </c>
      <c r="G1878" t="s">
        <v>6159</v>
      </c>
    </row>
    <row r="1879" spans="1:7" x14ac:dyDescent="0.25">
      <c r="A1879" t="s">
        <v>329</v>
      </c>
      <c r="B1879" s="5">
        <v>40379</v>
      </c>
      <c r="C1879" s="5" t="s">
        <v>3830</v>
      </c>
      <c r="D1879" t="s">
        <v>3830</v>
      </c>
      <c r="G1879" t="s">
        <v>6159</v>
      </c>
    </row>
    <row r="1880" spans="1:7" x14ac:dyDescent="0.25">
      <c r="A1880" t="s">
        <v>2864</v>
      </c>
      <c r="B1880" s="5">
        <v>41772</v>
      </c>
      <c r="C1880" s="5" t="s">
        <v>3831</v>
      </c>
      <c r="D1880" t="s">
        <v>3831</v>
      </c>
      <c r="G1880" t="s">
        <v>6159</v>
      </c>
    </row>
    <row r="1881" spans="1:7" x14ac:dyDescent="0.25">
      <c r="A1881" t="s">
        <v>1772</v>
      </c>
      <c r="B1881" s="5">
        <v>40156</v>
      </c>
      <c r="C1881" s="5" t="s">
        <v>3832</v>
      </c>
      <c r="D1881" t="s">
        <v>3832</v>
      </c>
      <c r="G1881" t="s">
        <v>6159</v>
      </c>
    </row>
    <row r="1882" spans="1:7" x14ac:dyDescent="0.25">
      <c r="A1882" t="s">
        <v>278</v>
      </c>
      <c r="B1882" s="5">
        <v>40156</v>
      </c>
      <c r="C1882" s="5" t="s">
        <v>3833</v>
      </c>
      <c r="D1882" t="s">
        <v>3833</v>
      </c>
      <c r="G1882" t="s">
        <v>6159</v>
      </c>
    </row>
    <row r="1883" spans="1:7" x14ac:dyDescent="0.25">
      <c r="A1883" t="s">
        <v>212</v>
      </c>
      <c r="B1883" s="5">
        <v>40155</v>
      </c>
      <c r="C1883" s="5" t="s">
        <v>3834</v>
      </c>
      <c r="D1883" t="s">
        <v>3834</v>
      </c>
      <c r="G1883" t="s">
        <v>6159</v>
      </c>
    </row>
    <row r="1884" spans="1:7" x14ac:dyDescent="0.25">
      <c r="A1884" t="s">
        <v>218</v>
      </c>
      <c r="B1884" s="5">
        <v>40154</v>
      </c>
      <c r="C1884" s="5" t="s">
        <v>3835</v>
      </c>
      <c r="D1884" t="s">
        <v>3835</v>
      </c>
      <c r="G1884" t="s">
        <v>6159</v>
      </c>
    </row>
    <row r="1885" spans="1:7" x14ac:dyDescent="0.25">
      <c r="A1885" t="s">
        <v>121</v>
      </c>
      <c r="B1885" s="5">
        <v>40154</v>
      </c>
      <c r="C1885" s="5" t="s">
        <v>3836</v>
      </c>
      <c r="D1885" t="s">
        <v>3836</v>
      </c>
      <c r="G1885" t="s">
        <v>6159</v>
      </c>
    </row>
    <row r="1886" spans="1:7" x14ac:dyDescent="0.25">
      <c r="A1886" t="s">
        <v>186</v>
      </c>
      <c r="B1886" s="5">
        <v>40154</v>
      </c>
      <c r="C1886" s="5" t="s">
        <v>3837</v>
      </c>
      <c r="D1886" t="s">
        <v>3837</v>
      </c>
      <c r="G1886" t="s">
        <v>6159</v>
      </c>
    </row>
    <row r="1887" spans="1:7" x14ac:dyDescent="0.25">
      <c r="A1887" t="s">
        <v>219</v>
      </c>
      <c r="B1887" s="5">
        <v>40126</v>
      </c>
      <c r="C1887" s="5" t="s">
        <v>3838</v>
      </c>
      <c r="D1887" t="s">
        <v>3838</v>
      </c>
      <c r="G1887" t="s">
        <v>6159</v>
      </c>
    </row>
    <row r="1888" spans="1:7" x14ac:dyDescent="0.25">
      <c r="A1888" t="s">
        <v>70</v>
      </c>
      <c r="B1888" s="5">
        <v>41744</v>
      </c>
      <c r="C1888" s="5" t="s">
        <v>3839</v>
      </c>
      <c r="D1888" t="s">
        <v>3839</v>
      </c>
      <c r="G1888" t="s">
        <v>6159</v>
      </c>
    </row>
    <row r="1889" spans="1:7" x14ac:dyDescent="0.25">
      <c r="A1889" t="s">
        <v>1634</v>
      </c>
      <c r="B1889" s="5">
        <v>41725</v>
      </c>
      <c r="C1889" s="5" t="s">
        <v>3840</v>
      </c>
      <c r="D1889" t="s">
        <v>3840</v>
      </c>
      <c r="G1889" t="s">
        <v>6159</v>
      </c>
    </row>
    <row r="1890" spans="1:7" x14ac:dyDescent="0.25">
      <c r="A1890" t="s">
        <v>142</v>
      </c>
      <c r="B1890" s="5">
        <v>40086</v>
      </c>
      <c r="C1890" s="5" t="s">
        <v>3841</v>
      </c>
      <c r="D1890" t="s">
        <v>3841</v>
      </c>
      <c r="G1890" t="s">
        <v>6159</v>
      </c>
    </row>
    <row r="1891" spans="1:7" x14ac:dyDescent="0.25">
      <c r="A1891" t="s">
        <v>95</v>
      </c>
      <c r="B1891" s="5">
        <v>40086</v>
      </c>
      <c r="C1891" s="5" t="s">
        <v>3842</v>
      </c>
      <c r="D1891" t="s">
        <v>3842</v>
      </c>
      <c r="G1891" t="s">
        <v>6159</v>
      </c>
    </row>
    <row r="1892" spans="1:7" x14ac:dyDescent="0.25">
      <c r="A1892" t="s">
        <v>62</v>
      </c>
      <c r="B1892" s="5">
        <v>41724</v>
      </c>
      <c r="C1892" s="5" t="s">
        <v>3843</v>
      </c>
      <c r="D1892" t="s">
        <v>3843</v>
      </c>
      <c r="G1892" t="s">
        <v>6159</v>
      </c>
    </row>
    <row r="1893" spans="1:7" x14ac:dyDescent="0.25">
      <c r="A1893" t="s">
        <v>2864</v>
      </c>
      <c r="B1893" s="5">
        <v>41723</v>
      </c>
      <c r="C1893" s="5" t="s">
        <v>3844</v>
      </c>
      <c r="D1893" t="s">
        <v>3844</v>
      </c>
      <c r="G1893" t="s">
        <v>6159</v>
      </c>
    </row>
    <row r="1894" spans="1:7" x14ac:dyDescent="0.25">
      <c r="A1894" t="s">
        <v>118</v>
      </c>
      <c r="B1894" s="5">
        <v>40077</v>
      </c>
      <c r="C1894" s="5" t="s">
        <v>3845</v>
      </c>
      <c r="D1894" t="s">
        <v>3845</v>
      </c>
      <c r="G1894" t="s">
        <v>6159</v>
      </c>
    </row>
    <row r="1895" spans="1:7" x14ac:dyDescent="0.25">
      <c r="A1895" t="s">
        <v>118</v>
      </c>
      <c r="B1895" s="5">
        <v>41722</v>
      </c>
      <c r="C1895" s="5" t="s">
        <v>3846</v>
      </c>
      <c r="D1895" t="s">
        <v>3846</v>
      </c>
      <c r="G1895" t="s">
        <v>6159</v>
      </c>
    </row>
    <row r="1896" spans="1:7" x14ac:dyDescent="0.25">
      <c r="A1896" t="s">
        <v>38</v>
      </c>
      <c r="B1896" s="5">
        <v>41716</v>
      </c>
      <c r="C1896" s="5" t="s">
        <v>3847</v>
      </c>
      <c r="D1896" t="s">
        <v>3847</v>
      </c>
      <c r="G1896" t="s">
        <v>6159</v>
      </c>
    </row>
    <row r="1897" spans="1:7" x14ac:dyDescent="0.25">
      <c r="A1897" t="s">
        <v>83</v>
      </c>
      <c r="B1897" s="5">
        <v>40066</v>
      </c>
      <c r="C1897" s="5" t="s">
        <v>3848</v>
      </c>
      <c r="D1897" t="s">
        <v>3848</v>
      </c>
      <c r="G1897" t="s">
        <v>6159</v>
      </c>
    </row>
    <row r="1898" spans="1:7" x14ac:dyDescent="0.25">
      <c r="A1898" t="s">
        <v>106</v>
      </c>
      <c r="B1898" s="5">
        <v>40066</v>
      </c>
      <c r="C1898" s="5" t="s">
        <v>3849</v>
      </c>
      <c r="D1898" t="s">
        <v>3849</v>
      </c>
      <c r="G1898" t="s">
        <v>6159</v>
      </c>
    </row>
    <row r="1899" spans="1:7" x14ac:dyDescent="0.25">
      <c r="A1899" t="s">
        <v>106</v>
      </c>
      <c r="B1899" s="5">
        <v>41715</v>
      </c>
      <c r="C1899" s="5" t="s">
        <v>3850</v>
      </c>
      <c r="D1899" t="s">
        <v>3850</v>
      </c>
      <c r="G1899" t="s">
        <v>6159</v>
      </c>
    </row>
    <row r="1900" spans="1:7" x14ac:dyDescent="0.25">
      <c r="A1900" t="s">
        <v>2830</v>
      </c>
      <c r="B1900" s="5">
        <v>40062</v>
      </c>
      <c r="C1900" s="5" t="s">
        <v>3851</v>
      </c>
      <c r="D1900" t="s">
        <v>3851</v>
      </c>
      <c r="G1900" t="s">
        <v>6159</v>
      </c>
    </row>
    <row r="1901" spans="1:7" x14ac:dyDescent="0.25">
      <c r="A1901" t="s">
        <v>212</v>
      </c>
      <c r="B1901" s="5">
        <v>41269</v>
      </c>
      <c r="C1901" s="5" t="s">
        <v>3852</v>
      </c>
      <c r="D1901" t="s">
        <v>3852</v>
      </c>
      <c r="G1901" t="s">
        <v>6159</v>
      </c>
    </row>
    <row r="1902" spans="1:7" x14ac:dyDescent="0.25">
      <c r="A1902" t="s">
        <v>2839</v>
      </c>
      <c r="B1902" s="5">
        <v>41653</v>
      </c>
      <c r="C1902" s="5" t="s">
        <v>3853</v>
      </c>
      <c r="D1902" t="s">
        <v>3853</v>
      </c>
      <c r="G1902" t="s">
        <v>6159</v>
      </c>
    </row>
    <row r="1903" spans="1:7" x14ac:dyDescent="0.25">
      <c r="A1903" t="s">
        <v>19</v>
      </c>
      <c r="B1903" s="5">
        <v>41612</v>
      </c>
      <c r="C1903" s="5" t="s">
        <v>3854</v>
      </c>
      <c r="D1903" t="s">
        <v>3854</v>
      </c>
      <c r="G1903" t="s">
        <v>6159</v>
      </c>
    </row>
    <row r="1904" spans="1:7" x14ac:dyDescent="0.25">
      <c r="A1904" t="s">
        <v>2814</v>
      </c>
      <c r="B1904" s="5">
        <v>40001</v>
      </c>
      <c r="C1904" s="5" t="s">
        <v>3855</v>
      </c>
      <c r="D1904" t="s">
        <v>3855</v>
      </c>
      <c r="G1904" t="s">
        <v>6159</v>
      </c>
    </row>
    <row r="1905" spans="1:7" x14ac:dyDescent="0.25">
      <c r="A1905" t="s">
        <v>2830</v>
      </c>
      <c r="B1905" s="5">
        <v>40000</v>
      </c>
      <c r="C1905" s="5" t="s">
        <v>3856</v>
      </c>
      <c r="D1905" t="s">
        <v>3856</v>
      </c>
      <c r="G1905" t="s">
        <v>6159</v>
      </c>
    </row>
    <row r="1906" spans="1:7" x14ac:dyDescent="0.25">
      <c r="A1906" t="s">
        <v>2839</v>
      </c>
      <c r="B1906" s="5">
        <v>41597</v>
      </c>
      <c r="C1906" s="5" t="s">
        <v>3857</v>
      </c>
      <c r="D1906" t="s">
        <v>3857</v>
      </c>
      <c r="G1906" t="s">
        <v>6159</v>
      </c>
    </row>
    <row r="1907" spans="1:7" x14ac:dyDescent="0.25">
      <c r="A1907" t="s">
        <v>2860</v>
      </c>
      <c r="B1907" s="5">
        <v>40724</v>
      </c>
      <c r="C1907" s="5" t="s">
        <v>3858</v>
      </c>
      <c r="D1907" t="s">
        <v>3858</v>
      </c>
      <c r="G1907" t="s">
        <v>6159</v>
      </c>
    </row>
    <row r="1908" spans="1:7" x14ac:dyDescent="0.25">
      <c r="A1908" t="s">
        <v>299</v>
      </c>
      <c r="B1908" s="5">
        <v>40724</v>
      </c>
      <c r="C1908" s="5" t="s">
        <v>3859</v>
      </c>
      <c r="D1908" t="s">
        <v>3859</v>
      </c>
      <c r="G1908" t="s">
        <v>6159</v>
      </c>
    </row>
    <row r="1909" spans="1:7" x14ac:dyDescent="0.25">
      <c r="A1909" t="s">
        <v>2853</v>
      </c>
      <c r="B1909" s="5">
        <v>40723</v>
      </c>
      <c r="C1909" s="5" t="s">
        <v>3860</v>
      </c>
      <c r="D1909" t="s">
        <v>3860</v>
      </c>
      <c r="G1909" t="s">
        <v>6159</v>
      </c>
    </row>
    <row r="1910" spans="1:7" x14ac:dyDescent="0.25">
      <c r="A1910" t="s">
        <v>146</v>
      </c>
      <c r="B1910" s="5">
        <v>40723</v>
      </c>
      <c r="C1910" s="5" t="s">
        <v>3861</v>
      </c>
      <c r="D1910" t="s">
        <v>3861</v>
      </c>
      <c r="G1910" t="s">
        <v>6159</v>
      </c>
    </row>
    <row r="1911" spans="1:7" x14ac:dyDescent="0.25">
      <c r="A1911" t="s">
        <v>186</v>
      </c>
      <c r="B1911" s="5">
        <v>40722</v>
      </c>
      <c r="C1911" s="5" t="s">
        <v>3862</v>
      </c>
      <c r="D1911" t="s">
        <v>3862</v>
      </c>
      <c r="G1911" t="s">
        <v>6159</v>
      </c>
    </row>
    <row r="1912" spans="1:7" x14ac:dyDescent="0.25">
      <c r="A1912" t="s">
        <v>62</v>
      </c>
      <c r="B1912" s="5">
        <v>41590</v>
      </c>
      <c r="C1912" s="5" t="s">
        <v>3863</v>
      </c>
      <c r="D1912" t="s">
        <v>3863</v>
      </c>
      <c r="G1912" t="s">
        <v>6159</v>
      </c>
    </row>
    <row r="1913" spans="1:7" x14ac:dyDescent="0.25">
      <c r="A1913" t="s">
        <v>83</v>
      </c>
      <c r="B1913" s="5">
        <v>41576</v>
      </c>
      <c r="C1913" s="5" t="s">
        <v>3864</v>
      </c>
      <c r="D1913" t="s">
        <v>3864</v>
      </c>
      <c r="G1913" t="s">
        <v>6159</v>
      </c>
    </row>
    <row r="1914" spans="1:7" x14ac:dyDescent="0.25">
      <c r="A1914" t="s">
        <v>106</v>
      </c>
      <c r="B1914" s="5">
        <v>41576</v>
      </c>
      <c r="C1914" s="5" t="s">
        <v>3865</v>
      </c>
      <c r="D1914" t="s">
        <v>3865</v>
      </c>
      <c r="G1914" t="s">
        <v>6159</v>
      </c>
    </row>
    <row r="1915" spans="1:7" x14ac:dyDescent="0.25">
      <c r="A1915" t="s">
        <v>34</v>
      </c>
      <c r="B1915" s="5">
        <v>41576</v>
      </c>
      <c r="C1915" s="5" t="s">
        <v>3866</v>
      </c>
      <c r="D1915" t="s">
        <v>3866</v>
      </c>
      <c r="G1915" t="s">
        <v>6159</v>
      </c>
    </row>
    <row r="1916" spans="1:7" x14ac:dyDescent="0.25">
      <c r="A1916" t="s">
        <v>68</v>
      </c>
      <c r="B1916" s="5">
        <v>41575</v>
      </c>
      <c r="C1916" s="5" t="s">
        <v>3867</v>
      </c>
      <c r="D1916" t="s">
        <v>3867</v>
      </c>
      <c r="G1916" t="s">
        <v>6159</v>
      </c>
    </row>
    <row r="1917" spans="1:7" x14ac:dyDescent="0.25">
      <c r="A1917" t="s">
        <v>2865</v>
      </c>
      <c r="B1917" s="5">
        <v>41892</v>
      </c>
      <c r="C1917" s="5" t="s">
        <v>3868</v>
      </c>
      <c r="D1917" t="s">
        <v>3868</v>
      </c>
      <c r="G1917" t="s">
        <v>6159</v>
      </c>
    </row>
    <row r="1918" spans="1:7" x14ac:dyDescent="0.25">
      <c r="A1918" t="s">
        <v>60</v>
      </c>
      <c r="B1918" s="5">
        <v>41570</v>
      </c>
      <c r="C1918" s="5" t="s">
        <v>3869</v>
      </c>
      <c r="D1918" t="s">
        <v>3869</v>
      </c>
      <c r="G1918" t="s">
        <v>6159</v>
      </c>
    </row>
    <row r="1919" spans="1:7" x14ac:dyDescent="0.25">
      <c r="A1919" t="s">
        <v>2850</v>
      </c>
      <c r="B1919" s="5">
        <v>40674</v>
      </c>
      <c r="C1919" s="5" t="s">
        <v>3870</v>
      </c>
      <c r="D1919" t="s">
        <v>3870</v>
      </c>
      <c r="G1919" t="s">
        <v>6159</v>
      </c>
    </row>
    <row r="1920" spans="1:7" x14ac:dyDescent="0.25">
      <c r="A1920" t="s">
        <v>2828</v>
      </c>
      <c r="B1920" s="5">
        <v>40673</v>
      </c>
      <c r="C1920" s="5" t="s">
        <v>3871</v>
      </c>
      <c r="D1920" t="s">
        <v>3871</v>
      </c>
      <c r="G1920" t="s">
        <v>6159</v>
      </c>
    </row>
    <row r="1921" spans="1:7" x14ac:dyDescent="0.25">
      <c r="A1921" t="s">
        <v>120</v>
      </c>
      <c r="B1921" s="5">
        <v>40673</v>
      </c>
      <c r="C1921" s="5" t="s">
        <v>3872</v>
      </c>
      <c r="D1921" t="s">
        <v>3872</v>
      </c>
      <c r="G1921" t="s">
        <v>6159</v>
      </c>
    </row>
    <row r="1922" spans="1:7" x14ac:dyDescent="0.25">
      <c r="A1922" t="s">
        <v>19</v>
      </c>
      <c r="B1922" s="5">
        <v>41556</v>
      </c>
      <c r="C1922" s="5" t="s">
        <v>3873</v>
      </c>
      <c r="D1922" t="s">
        <v>3873</v>
      </c>
      <c r="G1922" t="s">
        <v>6159</v>
      </c>
    </row>
    <row r="1923" spans="1:7" x14ac:dyDescent="0.25">
      <c r="A1923" t="s">
        <v>28</v>
      </c>
      <c r="B1923" s="5">
        <v>41556</v>
      </c>
      <c r="C1923" s="5" t="s">
        <v>3874</v>
      </c>
      <c r="D1923" t="s">
        <v>3874</v>
      </c>
      <c r="G1923" t="s">
        <v>6159</v>
      </c>
    </row>
    <row r="1924" spans="1:7" x14ac:dyDescent="0.25">
      <c r="A1924" t="s">
        <v>84</v>
      </c>
      <c r="B1924" s="5">
        <v>40668</v>
      </c>
      <c r="C1924" s="5" t="s">
        <v>3875</v>
      </c>
      <c r="D1924" t="s">
        <v>3875</v>
      </c>
      <c r="G1924" t="s">
        <v>6159</v>
      </c>
    </row>
    <row r="1925" spans="1:7" x14ac:dyDescent="0.25">
      <c r="A1925" t="s">
        <v>168</v>
      </c>
      <c r="B1925" s="5">
        <v>40645</v>
      </c>
      <c r="C1925" s="5" t="s">
        <v>3876</v>
      </c>
      <c r="D1925" t="s">
        <v>3876</v>
      </c>
      <c r="G1925" t="s">
        <v>6159</v>
      </c>
    </row>
    <row r="1926" spans="1:7" x14ac:dyDescent="0.25">
      <c r="A1926" t="s">
        <v>40</v>
      </c>
      <c r="B1926" s="5">
        <v>40645</v>
      </c>
      <c r="C1926" s="5" t="s">
        <v>3877</v>
      </c>
      <c r="D1926" t="s">
        <v>3877</v>
      </c>
      <c r="G1926" t="s">
        <v>6159</v>
      </c>
    </row>
    <row r="1927" spans="1:7" x14ac:dyDescent="0.25">
      <c r="A1927" t="s">
        <v>313</v>
      </c>
      <c r="B1927" s="5">
        <v>40644</v>
      </c>
      <c r="C1927" s="5" t="s">
        <v>3878</v>
      </c>
      <c r="D1927" t="s">
        <v>3878</v>
      </c>
      <c r="G1927" t="s">
        <v>6159</v>
      </c>
    </row>
    <row r="1928" spans="1:7" x14ac:dyDescent="0.25">
      <c r="A1928" t="s">
        <v>220</v>
      </c>
      <c r="B1928" s="5">
        <v>40639</v>
      </c>
      <c r="C1928" s="5" t="s">
        <v>3879</v>
      </c>
      <c r="D1928" t="s">
        <v>3879</v>
      </c>
      <c r="G1928" t="s">
        <v>6159</v>
      </c>
    </row>
    <row r="1929" spans="1:7" x14ac:dyDescent="0.25">
      <c r="A1929" t="s">
        <v>79</v>
      </c>
      <c r="B1929" s="5">
        <v>40856</v>
      </c>
      <c r="C1929" s="5" t="s">
        <v>3880</v>
      </c>
      <c r="D1929" t="s">
        <v>3880</v>
      </c>
      <c r="G1929" t="s">
        <v>6159</v>
      </c>
    </row>
    <row r="1930" spans="1:7" x14ac:dyDescent="0.25">
      <c r="A1930" t="s">
        <v>2845</v>
      </c>
      <c r="B1930" s="5">
        <v>40632</v>
      </c>
      <c r="C1930" s="5" t="s">
        <v>3881</v>
      </c>
      <c r="D1930" t="s">
        <v>3881</v>
      </c>
      <c r="G1930" t="s">
        <v>6159</v>
      </c>
    </row>
    <row r="1931" spans="1:7" x14ac:dyDescent="0.25">
      <c r="A1931" t="s">
        <v>299</v>
      </c>
      <c r="B1931" s="5">
        <v>40631</v>
      </c>
      <c r="C1931" s="5" t="s">
        <v>3882</v>
      </c>
      <c r="D1931" t="s">
        <v>3882</v>
      </c>
      <c r="G1931" t="s">
        <v>6159</v>
      </c>
    </row>
    <row r="1932" spans="1:7" x14ac:dyDescent="0.25">
      <c r="A1932" t="s">
        <v>2860</v>
      </c>
      <c r="B1932" s="5">
        <v>40631</v>
      </c>
      <c r="C1932" s="5" t="s">
        <v>3883</v>
      </c>
      <c r="D1932" t="s">
        <v>3883</v>
      </c>
      <c r="G1932" t="s">
        <v>6159</v>
      </c>
    </row>
    <row r="1933" spans="1:7" x14ac:dyDescent="0.25">
      <c r="A1933" t="s">
        <v>2827</v>
      </c>
      <c r="B1933" s="5">
        <v>40631</v>
      </c>
      <c r="C1933" s="5" t="s">
        <v>3884</v>
      </c>
      <c r="D1933" t="s">
        <v>3884</v>
      </c>
      <c r="G1933" t="s">
        <v>6159</v>
      </c>
    </row>
    <row r="1934" spans="1:7" x14ac:dyDescent="0.25">
      <c r="A1934" t="s">
        <v>151</v>
      </c>
      <c r="B1934" s="5">
        <v>41535</v>
      </c>
      <c r="C1934" s="5" t="s">
        <v>3885</v>
      </c>
      <c r="D1934" t="s">
        <v>3885</v>
      </c>
      <c r="G1934" t="s">
        <v>6159</v>
      </c>
    </row>
    <row r="1935" spans="1:7" x14ac:dyDescent="0.25">
      <c r="A1935" t="s">
        <v>332</v>
      </c>
      <c r="B1935" s="5">
        <v>40626</v>
      </c>
      <c r="C1935" s="5" t="s">
        <v>3886</v>
      </c>
      <c r="D1935" t="s">
        <v>3886</v>
      </c>
      <c r="G1935" t="s">
        <v>6159</v>
      </c>
    </row>
    <row r="1936" spans="1:7" x14ac:dyDescent="0.25">
      <c r="A1936" t="s">
        <v>329</v>
      </c>
      <c r="B1936" s="5">
        <v>40626</v>
      </c>
      <c r="C1936" s="5" t="s">
        <v>3887</v>
      </c>
      <c r="D1936" t="s">
        <v>3887</v>
      </c>
      <c r="G1936" t="s">
        <v>6159</v>
      </c>
    </row>
    <row r="1937" spans="1:7" x14ac:dyDescent="0.25">
      <c r="A1937" t="s">
        <v>45</v>
      </c>
      <c r="B1937" s="5">
        <v>40625</v>
      </c>
      <c r="C1937" s="5" t="s">
        <v>3888</v>
      </c>
      <c r="D1937" t="s">
        <v>3888</v>
      </c>
      <c r="G1937" t="s">
        <v>6159</v>
      </c>
    </row>
    <row r="1938" spans="1:7" x14ac:dyDescent="0.25">
      <c r="A1938" t="s">
        <v>250</v>
      </c>
      <c r="B1938" s="5">
        <v>40625</v>
      </c>
      <c r="C1938" s="5" t="s">
        <v>3889</v>
      </c>
      <c r="D1938" t="s">
        <v>3889</v>
      </c>
      <c r="G1938" t="s">
        <v>6159</v>
      </c>
    </row>
    <row r="1939" spans="1:7" x14ac:dyDescent="0.25">
      <c r="A1939" t="s">
        <v>178</v>
      </c>
      <c r="B1939" s="5">
        <v>40610</v>
      </c>
      <c r="C1939" s="5" t="s">
        <v>3890</v>
      </c>
      <c r="D1939" t="s">
        <v>3890</v>
      </c>
      <c r="G1939" t="s">
        <v>6159</v>
      </c>
    </row>
    <row r="1940" spans="1:7" x14ac:dyDescent="0.25">
      <c r="A1940" t="s">
        <v>124</v>
      </c>
      <c r="B1940" s="5">
        <v>40609</v>
      </c>
      <c r="C1940" s="5" t="s">
        <v>3891</v>
      </c>
      <c r="D1940" t="s">
        <v>3891</v>
      </c>
      <c r="G1940" t="s">
        <v>6159</v>
      </c>
    </row>
    <row r="1941" spans="1:7" x14ac:dyDescent="0.25">
      <c r="A1941" t="s">
        <v>2850</v>
      </c>
      <c r="B1941" s="5">
        <v>40609</v>
      </c>
      <c r="C1941" s="5" t="s">
        <v>3892</v>
      </c>
      <c r="D1941" t="s">
        <v>3892</v>
      </c>
      <c r="G1941" t="s">
        <v>6159</v>
      </c>
    </row>
    <row r="1942" spans="1:7" x14ac:dyDescent="0.25">
      <c r="A1942" t="s">
        <v>147</v>
      </c>
      <c r="B1942" s="5">
        <v>41534</v>
      </c>
      <c r="C1942" s="5" t="s">
        <v>3893</v>
      </c>
      <c r="D1942" t="s">
        <v>3893</v>
      </c>
      <c r="G1942" t="s">
        <v>6159</v>
      </c>
    </row>
    <row r="1943" spans="1:7" x14ac:dyDescent="0.25">
      <c r="A1943" t="s">
        <v>114</v>
      </c>
      <c r="B1943" s="5">
        <v>41534</v>
      </c>
      <c r="C1943" s="5" t="s">
        <v>3894</v>
      </c>
      <c r="D1943" t="s">
        <v>3894</v>
      </c>
      <c r="G1943" t="s">
        <v>6159</v>
      </c>
    </row>
    <row r="1944" spans="1:7" x14ac:dyDescent="0.25">
      <c r="A1944" t="s">
        <v>365</v>
      </c>
      <c r="B1944" s="5">
        <v>40597</v>
      </c>
      <c r="C1944" s="5" t="s">
        <v>3895</v>
      </c>
      <c r="D1944" t="s">
        <v>3895</v>
      </c>
      <c r="G1944" t="s">
        <v>6159</v>
      </c>
    </row>
    <row r="1945" spans="1:7" x14ac:dyDescent="0.25">
      <c r="A1945" t="s">
        <v>2775</v>
      </c>
      <c r="B1945" s="5">
        <v>40597</v>
      </c>
      <c r="C1945" s="5" t="s">
        <v>3896</v>
      </c>
      <c r="D1945" t="s">
        <v>3896</v>
      </c>
      <c r="G1945" t="s">
        <v>6159</v>
      </c>
    </row>
    <row r="1946" spans="1:7" x14ac:dyDescent="0.25">
      <c r="A1946" t="s">
        <v>274</v>
      </c>
      <c r="B1946" s="5">
        <v>40596</v>
      </c>
      <c r="C1946" s="5" t="s">
        <v>3897</v>
      </c>
      <c r="D1946" t="s">
        <v>3897</v>
      </c>
      <c r="G1946" t="s">
        <v>6159</v>
      </c>
    </row>
    <row r="1947" spans="1:7" x14ac:dyDescent="0.25">
      <c r="A1947" t="s">
        <v>86</v>
      </c>
      <c r="B1947" s="5">
        <v>41533</v>
      </c>
      <c r="C1947" s="5" t="s">
        <v>3898</v>
      </c>
      <c r="D1947" t="s">
        <v>3898</v>
      </c>
      <c r="G1947" t="s">
        <v>6159</v>
      </c>
    </row>
    <row r="1948" spans="1:7" x14ac:dyDescent="0.25">
      <c r="A1948" t="s">
        <v>2866</v>
      </c>
      <c r="B1948" s="5">
        <v>40583</v>
      </c>
      <c r="C1948" s="5" t="s">
        <v>3899</v>
      </c>
      <c r="D1948" t="s">
        <v>3899</v>
      </c>
      <c r="G1948" t="s">
        <v>6159</v>
      </c>
    </row>
    <row r="1949" spans="1:7" x14ac:dyDescent="0.25">
      <c r="A1949" t="s">
        <v>35</v>
      </c>
      <c r="B1949" s="5">
        <v>40798</v>
      </c>
      <c r="C1949" s="5" t="s">
        <v>3900</v>
      </c>
      <c r="D1949" t="s">
        <v>3900</v>
      </c>
      <c r="G1949" t="s">
        <v>6159</v>
      </c>
    </row>
    <row r="1950" spans="1:7" x14ac:dyDescent="0.25">
      <c r="A1950" t="s">
        <v>59</v>
      </c>
      <c r="B1950" s="5">
        <v>40582</v>
      </c>
      <c r="C1950" s="5" t="s">
        <v>3901</v>
      </c>
      <c r="D1950" t="s">
        <v>3901</v>
      </c>
      <c r="G1950" t="s">
        <v>6159</v>
      </c>
    </row>
    <row r="1951" spans="1:7" x14ac:dyDescent="0.25">
      <c r="A1951" t="s">
        <v>130</v>
      </c>
      <c r="B1951" s="5">
        <v>40521</v>
      </c>
      <c r="C1951" s="5" t="s">
        <v>3902</v>
      </c>
      <c r="D1951" t="s">
        <v>3902</v>
      </c>
      <c r="G1951" t="s">
        <v>6159</v>
      </c>
    </row>
    <row r="1952" spans="1:7" x14ac:dyDescent="0.25">
      <c r="A1952" t="s">
        <v>178</v>
      </c>
      <c r="B1952" s="5">
        <v>40512</v>
      </c>
      <c r="C1952" s="5" t="s">
        <v>3903</v>
      </c>
      <c r="D1952" t="s">
        <v>3903</v>
      </c>
      <c r="G1952" t="s">
        <v>6159</v>
      </c>
    </row>
    <row r="1953" spans="1:7" x14ac:dyDescent="0.25">
      <c r="A1953" t="s">
        <v>59</v>
      </c>
      <c r="B1953" s="5">
        <v>40499</v>
      </c>
      <c r="C1953" s="5" t="s">
        <v>3904</v>
      </c>
      <c r="D1953" t="s">
        <v>3904</v>
      </c>
      <c r="G1953" t="s">
        <v>6159</v>
      </c>
    </row>
    <row r="1954" spans="1:7" x14ac:dyDescent="0.25">
      <c r="A1954" t="s">
        <v>329</v>
      </c>
      <c r="B1954" s="5">
        <v>40499</v>
      </c>
      <c r="C1954" s="5" t="s">
        <v>3905</v>
      </c>
      <c r="D1954" t="s">
        <v>3905</v>
      </c>
      <c r="G1954" t="s">
        <v>6159</v>
      </c>
    </row>
    <row r="1955" spans="1:7" x14ac:dyDescent="0.25">
      <c r="A1955" t="s">
        <v>274</v>
      </c>
      <c r="B1955" s="5">
        <v>40498</v>
      </c>
      <c r="C1955" s="5" t="s">
        <v>3906</v>
      </c>
      <c r="D1955" t="s">
        <v>3906</v>
      </c>
      <c r="G1955" t="s">
        <v>6159</v>
      </c>
    </row>
    <row r="1956" spans="1:7" x14ac:dyDescent="0.25">
      <c r="A1956" t="s">
        <v>318</v>
      </c>
      <c r="B1956" s="5">
        <v>40498</v>
      </c>
      <c r="C1956" s="5" t="s">
        <v>3907</v>
      </c>
      <c r="D1956" t="s">
        <v>3907</v>
      </c>
      <c r="G1956" t="s">
        <v>6159</v>
      </c>
    </row>
    <row r="1957" spans="1:7" x14ac:dyDescent="0.25">
      <c r="A1957" t="s">
        <v>186</v>
      </c>
      <c r="B1957" s="5">
        <v>41481</v>
      </c>
      <c r="C1957" s="5" t="s">
        <v>3908</v>
      </c>
      <c r="D1957" t="s">
        <v>3908</v>
      </c>
      <c r="G1957" t="s">
        <v>6159</v>
      </c>
    </row>
    <row r="1958" spans="1:7" x14ac:dyDescent="0.25">
      <c r="A1958" t="s">
        <v>332</v>
      </c>
      <c r="B1958" s="5">
        <v>40498</v>
      </c>
      <c r="C1958" s="5" t="s">
        <v>3909</v>
      </c>
      <c r="D1958" t="s">
        <v>3909</v>
      </c>
      <c r="G1958" t="s">
        <v>6159</v>
      </c>
    </row>
    <row r="1959" spans="1:7" x14ac:dyDescent="0.25">
      <c r="A1959" t="s">
        <v>2849</v>
      </c>
      <c r="B1959" s="5">
        <v>40492</v>
      </c>
      <c r="C1959" s="5" t="s">
        <v>3910</v>
      </c>
      <c r="D1959" t="s">
        <v>3910</v>
      </c>
      <c r="G1959" t="s">
        <v>6159</v>
      </c>
    </row>
    <row r="1960" spans="1:7" x14ac:dyDescent="0.25">
      <c r="A1960" t="s">
        <v>213</v>
      </c>
      <c r="B1960" s="5">
        <v>40486</v>
      </c>
      <c r="C1960" s="5" t="s">
        <v>3911</v>
      </c>
      <c r="D1960" t="s">
        <v>3911</v>
      </c>
      <c r="G1960" t="s">
        <v>6159</v>
      </c>
    </row>
    <row r="1961" spans="1:7" x14ac:dyDescent="0.25">
      <c r="A1961" t="s">
        <v>124</v>
      </c>
      <c r="B1961" s="5">
        <v>40484</v>
      </c>
      <c r="C1961" s="5" t="s">
        <v>3912</v>
      </c>
      <c r="D1961" t="s">
        <v>3912</v>
      </c>
      <c r="G1961" t="s">
        <v>6159</v>
      </c>
    </row>
    <row r="1962" spans="1:7" x14ac:dyDescent="0.25">
      <c r="A1962" t="s">
        <v>26</v>
      </c>
      <c r="B1962" s="5">
        <v>40478</v>
      </c>
      <c r="C1962" s="5" t="s">
        <v>3913</v>
      </c>
      <c r="D1962" t="s">
        <v>3913</v>
      </c>
      <c r="G1962" t="s">
        <v>6159</v>
      </c>
    </row>
    <row r="1963" spans="1:7" x14ac:dyDescent="0.25">
      <c r="A1963" t="s">
        <v>2858</v>
      </c>
      <c r="B1963" s="5">
        <v>41474</v>
      </c>
      <c r="C1963" s="5" t="s">
        <v>3914</v>
      </c>
      <c r="D1963" t="s">
        <v>3914</v>
      </c>
      <c r="G1963" t="s">
        <v>6159</v>
      </c>
    </row>
    <row r="1964" spans="1:7" x14ac:dyDescent="0.25">
      <c r="A1964" t="s">
        <v>84</v>
      </c>
      <c r="B1964" s="5">
        <v>40463</v>
      </c>
      <c r="C1964" s="5" t="s">
        <v>3915</v>
      </c>
      <c r="D1964" t="s">
        <v>3915</v>
      </c>
      <c r="G1964" t="s">
        <v>6159</v>
      </c>
    </row>
    <row r="1965" spans="1:7" x14ac:dyDescent="0.25">
      <c r="A1965" t="s">
        <v>230</v>
      </c>
      <c r="B1965" s="5">
        <v>41163</v>
      </c>
      <c r="C1965" s="5" t="s">
        <v>3916</v>
      </c>
      <c r="D1965" t="s">
        <v>3916</v>
      </c>
      <c r="G1965" t="s">
        <v>6159</v>
      </c>
    </row>
    <row r="1966" spans="1:7" x14ac:dyDescent="0.25">
      <c r="A1966" t="s">
        <v>100</v>
      </c>
      <c r="B1966" s="5">
        <v>40462</v>
      </c>
      <c r="C1966" s="5" t="s">
        <v>3917</v>
      </c>
      <c r="D1966" t="s">
        <v>3917</v>
      </c>
      <c r="G1966" t="s">
        <v>6159</v>
      </c>
    </row>
    <row r="1967" spans="1:7" x14ac:dyDescent="0.25">
      <c r="A1967" t="s">
        <v>274</v>
      </c>
      <c r="B1967" s="5">
        <v>40450</v>
      </c>
      <c r="C1967" s="5" t="s">
        <v>3918</v>
      </c>
      <c r="D1967" t="s">
        <v>3918</v>
      </c>
      <c r="G1967" t="s">
        <v>6159</v>
      </c>
    </row>
    <row r="1968" spans="1:7" x14ac:dyDescent="0.25">
      <c r="A1968" t="s">
        <v>2867</v>
      </c>
      <c r="B1968" s="5">
        <v>40449</v>
      </c>
      <c r="C1968" s="5" t="s">
        <v>3919</v>
      </c>
      <c r="D1968" t="s">
        <v>3919</v>
      </c>
      <c r="G1968" t="s">
        <v>6159</v>
      </c>
    </row>
    <row r="1969" spans="1:7" x14ac:dyDescent="0.25">
      <c r="A1969" t="s">
        <v>2868</v>
      </c>
      <c r="B1969" s="5">
        <v>42165</v>
      </c>
      <c r="C1969" s="5" t="s">
        <v>3920</v>
      </c>
      <c r="D1969" t="s">
        <v>3920</v>
      </c>
      <c r="G1969" t="s">
        <v>6159</v>
      </c>
    </row>
    <row r="1970" spans="1:7" x14ac:dyDescent="0.25">
      <c r="A1970" t="s">
        <v>45</v>
      </c>
      <c r="B1970" s="5">
        <v>40443</v>
      </c>
      <c r="C1970" s="5" t="s">
        <v>3921</v>
      </c>
      <c r="D1970" t="s">
        <v>3921</v>
      </c>
      <c r="G1970" t="s">
        <v>6159</v>
      </c>
    </row>
    <row r="1971" spans="1:7" x14ac:dyDescent="0.25">
      <c r="A1971" t="s">
        <v>2869</v>
      </c>
      <c r="B1971" s="5">
        <v>42165</v>
      </c>
      <c r="C1971" s="5" t="s">
        <v>3922</v>
      </c>
      <c r="D1971" t="s">
        <v>3922</v>
      </c>
      <c r="G1971" t="s">
        <v>6159</v>
      </c>
    </row>
    <row r="1972" spans="1:7" x14ac:dyDescent="0.25">
      <c r="A1972" t="s">
        <v>250</v>
      </c>
      <c r="B1972" s="5">
        <v>40442</v>
      </c>
      <c r="C1972" s="5" t="s">
        <v>3923</v>
      </c>
      <c r="D1972" t="s">
        <v>3923</v>
      </c>
      <c r="G1972" t="s">
        <v>6159</v>
      </c>
    </row>
    <row r="1973" spans="1:7" x14ac:dyDescent="0.25">
      <c r="A1973" t="s">
        <v>2861</v>
      </c>
      <c r="B1973" s="5">
        <v>40430</v>
      </c>
      <c r="C1973" s="5" t="s">
        <v>3924</v>
      </c>
      <c r="D1973" t="s">
        <v>3924</v>
      </c>
      <c r="G1973" t="s">
        <v>6159</v>
      </c>
    </row>
    <row r="1974" spans="1:7" x14ac:dyDescent="0.25">
      <c r="A1974" t="s">
        <v>328</v>
      </c>
      <c r="B1974" s="5">
        <v>42144</v>
      </c>
      <c r="C1974" s="5" t="s">
        <v>3925</v>
      </c>
      <c r="D1974" t="s">
        <v>3925</v>
      </c>
      <c r="G1974" t="s">
        <v>6159</v>
      </c>
    </row>
    <row r="1975" spans="1:7" x14ac:dyDescent="0.25">
      <c r="A1975" t="s">
        <v>64</v>
      </c>
      <c r="B1975" s="5">
        <v>40423</v>
      </c>
      <c r="C1975" s="5" t="s">
        <v>3926</v>
      </c>
      <c r="D1975" t="s">
        <v>3926</v>
      </c>
      <c r="G1975" t="s">
        <v>6159</v>
      </c>
    </row>
    <row r="1976" spans="1:7" x14ac:dyDescent="0.25">
      <c r="A1976" t="s">
        <v>100</v>
      </c>
      <c r="B1976" s="5">
        <v>40422</v>
      </c>
      <c r="C1976" s="5" t="s">
        <v>3927</v>
      </c>
      <c r="D1976" t="s">
        <v>3927</v>
      </c>
      <c r="G1976" t="s">
        <v>6159</v>
      </c>
    </row>
    <row r="1977" spans="1:7" x14ac:dyDescent="0.25">
      <c r="A1977" t="s">
        <v>213</v>
      </c>
      <c r="B1977" s="5">
        <v>41165</v>
      </c>
      <c r="C1977" s="5" t="s">
        <v>3928</v>
      </c>
      <c r="D1977" t="s">
        <v>3928</v>
      </c>
      <c r="G1977" t="s">
        <v>6159</v>
      </c>
    </row>
    <row r="1978" spans="1:7" x14ac:dyDescent="0.25">
      <c r="A1978" t="s">
        <v>57</v>
      </c>
      <c r="B1978" s="5">
        <v>40421</v>
      </c>
      <c r="C1978" s="5" t="s">
        <v>3929</v>
      </c>
      <c r="D1978" t="s">
        <v>3929</v>
      </c>
      <c r="G1978" t="s">
        <v>6159</v>
      </c>
    </row>
    <row r="1979" spans="1:7" x14ac:dyDescent="0.25">
      <c r="A1979" t="s">
        <v>124</v>
      </c>
      <c r="B1979" s="5">
        <v>40416</v>
      </c>
      <c r="C1979" s="5" t="s">
        <v>3930</v>
      </c>
      <c r="D1979" t="s">
        <v>3930</v>
      </c>
      <c r="G1979" t="s">
        <v>6159</v>
      </c>
    </row>
    <row r="1980" spans="1:7" x14ac:dyDescent="0.25">
      <c r="A1980" t="s">
        <v>201</v>
      </c>
      <c r="B1980" s="5">
        <v>40386</v>
      </c>
      <c r="C1980" s="5" t="s">
        <v>3931</v>
      </c>
      <c r="D1980" t="s">
        <v>3931</v>
      </c>
      <c r="G1980" t="s">
        <v>6159</v>
      </c>
    </row>
    <row r="1981" spans="1:7" x14ac:dyDescent="0.25">
      <c r="A1981" t="s">
        <v>2851</v>
      </c>
      <c r="B1981" s="5">
        <v>40386</v>
      </c>
      <c r="C1981" s="5" t="s">
        <v>3932</v>
      </c>
      <c r="D1981" t="s">
        <v>3932</v>
      </c>
      <c r="G1981" t="s">
        <v>6159</v>
      </c>
    </row>
    <row r="1982" spans="1:7" x14ac:dyDescent="0.25">
      <c r="A1982" t="s">
        <v>32</v>
      </c>
      <c r="B1982" s="5">
        <v>40386</v>
      </c>
      <c r="C1982" s="5" t="s">
        <v>3933</v>
      </c>
      <c r="D1982" t="s">
        <v>3933</v>
      </c>
      <c r="G1982" t="s">
        <v>6159</v>
      </c>
    </row>
    <row r="1983" spans="1:7" x14ac:dyDescent="0.25">
      <c r="A1983" t="s">
        <v>201</v>
      </c>
      <c r="B1983" s="5">
        <v>40381</v>
      </c>
      <c r="C1983" s="5" t="s">
        <v>3934</v>
      </c>
      <c r="D1983" t="s">
        <v>3934</v>
      </c>
      <c r="G1983" t="s">
        <v>6159</v>
      </c>
    </row>
    <row r="1984" spans="1:7" x14ac:dyDescent="0.25">
      <c r="A1984" t="s">
        <v>332</v>
      </c>
      <c r="B1984" s="5">
        <v>40379</v>
      </c>
      <c r="C1984" s="5" t="s">
        <v>3935</v>
      </c>
      <c r="D1984" t="s">
        <v>3935</v>
      </c>
      <c r="G1984" t="s">
        <v>6159</v>
      </c>
    </row>
    <row r="1985" spans="1:7" x14ac:dyDescent="0.25">
      <c r="A1985" t="s">
        <v>59</v>
      </c>
      <c r="B1985" s="5">
        <v>40378</v>
      </c>
      <c r="C1985" s="5" t="s">
        <v>3936</v>
      </c>
      <c r="D1985" t="s">
        <v>3936</v>
      </c>
      <c r="G1985" t="s">
        <v>6159</v>
      </c>
    </row>
    <row r="1986" spans="1:7" x14ac:dyDescent="0.25">
      <c r="A1986" t="s">
        <v>318</v>
      </c>
      <c r="B1986" s="5">
        <v>40378</v>
      </c>
      <c r="C1986" s="5" t="s">
        <v>3937</v>
      </c>
      <c r="D1986" t="s">
        <v>3937</v>
      </c>
      <c r="G1986" t="s">
        <v>6159</v>
      </c>
    </row>
    <row r="1987" spans="1:7" x14ac:dyDescent="0.25">
      <c r="A1987" t="s">
        <v>35</v>
      </c>
      <c r="B1987" s="5">
        <v>41200</v>
      </c>
      <c r="C1987" s="5" t="s">
        <v>3938</v>
      </c>
      <c r="D1987" t="s">
        <v>3938</v>
      </c>
      <c r="G1987" t="s">
        <v>6159</v>
      </c>
    </row>
    <row r="1988" spans="1:7" x14ac:dyDescent="0.25">
      <c r="A1988" t="s">
        <v>102</v>
      </c>
      <c r="B1988" s="5">
        <v>42087</v>
      </c>
      <c r="C1988" s="5" t="s">
        <v>3939</v>
      </c>
      <c r="D1988" t="s">
        <v>3939</v>
      </c>
      <c r="G1988" t="s">
        <v>6159</v>
      </c>
    </row>
    <row r="1989" spans="1:7" x14ac:dyDescent="0.25">
      <c r="A1989" t="s">
        <v>2870</v>
      </c>
      <c r="B1989" s="5">
        <v>42066</v>
      </c>
      <c r="C1989" s="5" t="s">
        <v>3940</v>
      </c>
      <c r="D1989" t="s">
        <v>3940</v>
      </c>
      <c r="G1989" t="s">
        <v>6159</v>
      </c>
    </row>
    <row r="1990" spans="1:7" x14ac:dyDescent="0.25">
      <c r="A1990" t="s">
        <v>2870</v>
      </c>
      <c r="B1990" s="5">
        <v>42037</v>
      </c>
      <c r="C1990" s="5" t="s">
        <v>3941</v>
      </c>
      <c r="D1990" t="s">
        <v>3941</v>
      </c>
      <c r="G1990" t="s">
        <v>6159</v>
      </c>
    </row>
    <row r="1991" spans="1:7" x14ac:dyDescent="0.25">
      <c r="A1991" t="s">
        <v>2857</v>
      </c>
      <c r="B1991" s="5">
        <v>41046</v>
      </c>
      <c r="C1991" s="5" t="s">
        <v>3942</v>
      </c>
      <c r="D1991" t="s">
        <v>3942</v>
      </c>
      <c r="G1991" t="s">
        <v>6159</v>
      </c>
    </row>
    <row r="1992" spans="1:7" x14ac:dyDescent="0.25">
      <c r="A1992" t="s">
        <v>79</v>
      </c>
      <c r="B1992" s="5">
        <v>41044</v>
      </c>
      <c r="C1992" s="5" t="s">
        <v>3943</v>
      </c>
      <c r="D1992" t="s">
        <v>3943</v>
      </c>
      <c r="G1992" t="s">
        <v>6159</v>
      </c>
    </row>
    <row r="1993" spans="1:7" x14ac:dyDescent="0.25">
      <c r="A1993" t="s">
        <v>201</v>
      </c>
      <c r="B1993" s="5">
        <v>42030</v>
      </c>
      <c r="C1993" s="5" t="s">
        <v>3944</v>
      </c>
      <c r="D1993" t="s">
        <v>3944</v>
      </c>
      <c r="G1993" t="s">
        <v>6159</v>
      </c>
    </row>
    <row r="1994" spans="1:7" x14ac:dyDescent="0.25">
      <c r="A1994" t="s">
        <v>2871</v>
      </c>
      <c r="B1994" s="5">
        <v>42024</v>
      </c>
      <c r="C1994" s="5" t="s">
        <v>3945</v>
      </c>
      <c r="D1994" t="s">
        <v>3945</v>
      </c>
      <c r="G1994" t="s">
        <v>6159</v>
      </c>
    </row>
    <row r="1995" spans="1:7" x14ac:dyDescent="0.25">
      <c r="A1995" t="s">
        <v>2872</v>
      </c>
      <c r="B1995" s="5">
        <v>41043</v>
      </c>
      <c r="C1995" s="5" t="s">
        <v>3946</v>
      </c>
      <c r="D1995" t="s">
        <v>3946</v>
      </c>
      <c r="G1995" t="s">
        <v>6159</v>
      </c>
    </row>
    <row r="1996" spans="1:7" x14ac:dyDescent="0.25">
      <c r="A1996" t="s">
        <v>57</v>
      </c>
      <c r="B1996" s="5">
        <v>41043</v>
      </c>
      <c r="C1996" s="5" t="s">
        <v>3947</v>
      </c>
      <c r="D1996" t="s">
        <v>3947</v>
      </c>
      <c r="G1996" t="s">
        <v>6159</v>
      </c>
    </row>
    <row r="1997" spans="1:7" x14ac:dyDescent="0.25">
      <c r="A1997" t="s">
        <v>194</v>
      </c>
      <c r="B1997" s="5">
        <v>41256</v>
      </c>
      <c r="C1997" s="5" t="s">
        <v>3948</v>
      </c>
      <c r="D1997" t="s">
        <v>3948</v>
      </c>
      <c r="G1997" t="s">
        <v>6159</v>
      </c>
    </row>
    <row r="1998" spans="1:7" x14ac:dyDescent="0.25">
      <c r="A1998" t="s">
        <v>2856</v>
      </c>
      <c r="B1998" s="5">
        <v>41037</v>
      </c>
      <c r="C1998" s="5" t="s">
        <v>3949</v>
      </c>
      <c r="D1998" t="s">
        <v>3949</v>
      </c>
      <c r="G1998" t="s">
        <v>6159</v>
      </c>
    </row>
    <row r="1999" spans="1:7" x14ac:dyDescent="0.25">
      <c r="A1999" t="s">
        <v>240</v>
      </c>
      <c r="B1999" s="5">
        <v>41233</v>
      </c>
      <c r="C1999" s="5" t="s">
        <v>3950</v>
      </c>
      <c r="D1999" t="s">
        <v>3950</v>
      </c>
      <c r="G1999" t="s">
        <v>6159</v>
      </c>
    </row>
    <row r="2000" spans="1:7" x14ac:dyDescent="0.25">
      <c r="A2000" t="s">
        <v>285</v>
      </c>
      <c r="B2000" s="5">
        <v>41037</v>
      </c>
      <c r="C2000" s="5" t="s">
        <v>3951</v>
      </c>
      <c r="D2000" t="s">
        <v>3951</v>
      </c>
      <c r="G2000" t="s">
        <v>6159</v>
      </c>
    </row>
    <row r="2001" spans="1:7" x14ac:dyDescent="0.25">
      <c r="A2001" t="s">
        <v>26</v>
      </c>
      <c r="B2001" s="5">
        <v>41036</v>
      </c>
      <c r="C2001" s="5" t="s">
        <v>3952</v>
      </c>
      <c r="D2001" t="s">
        <v>3952</v>
      </c>
      <c r="G2001" t="s">
        <v>6159</v>
      </c>
    </row>
    <row r="2002" spans="1:7" x14ac:dyDescent="0.25">
      <c r="A2002" t="s">
        <v>64</v>
      </c>
      <c r="B2002" s="5">
        <v>41025</v>
      </c>
      <c r="C2002" s="5" t="s">
        <v>3953</v>
      </c>
      <c r="D2002" t="s">
        <v>3953</v>
      </c>
      <c r="G2002" t="s">
        <v>6159</v>
      </c>
    </row>
    <row r="2003" spans="1:7" x14ac:dyDescent="0.25">
      <c r="A2003" t="s">
        <v>104</v>
      </c>
      <c r="B2003" s="5">
        <v>41024</v>
      </c>
      <c r="C2003" s="5" t="s">
        <v>3954</v>
      </c>
      <c r="D2003" t="s">
        <v>3954</v>
      </c>
      <c r="G2003" t="s">
        <v>6159</v>
      </c>
    </row>
    <row r="2004" spans="1:7" x14ac:dyDescent="0.25">
      <c r="A2004" t="s">
        <v>216</v>
      </c>
      <c r="B2004" s="5">
        <v>41961</v>
      </c>
      <c r="C2004" s="5" t="s">
        <v>3955</v>
      </c>
      <c r="D2004" t="s">
        <v>3955</v>
      </c>
      <c r="G2004" t="s">
        <v>6159</v>
      </c>
    </row>
    <row r="2005" spans="1:7" x14ac:dyDescent="0.25">
      <c r="A2005" t="s">
        <v>228</v>
      </c>
      <c r="B2005" s="5">
        <v>41961</v>
      </c>
      <c r="C2005" s="5" t="s">
        <v>3956</v>
      </c>
      <c r="D2005" t="s">
        <v>3956</v>
      </c>
      <c r="G2005" t="s">
        <v>6159</v>
      </c>
    </row>
    <row r="2006" spans="1:7" x14ac:dyDescent="0.25">
      <c r="A2006" t="s">
        <v>145</v>
      </c>
      <c r="B2006" s="5">
        <v>41960</v>
      </c>
      <c r="C2006" s="5" t="s">
        <v>3957</v>
      </c>
      <c r="D2006" t="s">
        <v>3957</v>
      </c>
      <c r="G2006" t="s">
        <v>6159</v>
      </c>
    </row>
    <row r="2007" spans="1:7" x14ac:dyDescent="0.25">
      <c r="A2007" t="s">
        <v>52</v>
      </c>
      <c r="B2007" s="5">
        <v>41009</v>
      </c>
      <c r="C2007" s="5" t="s">
        <v>3958</v>
      </c>
      <c r="D2007" t="s">
        <v>3958</v>
      </c>
      <c r="G2007" t="s">
        <v>6159</v>
      </c>
    </row>
    <row r="2008" spans="1:7" x14ac:dyDescent="0.25">
      <c r="A2008" t="s">
        <v>79</v>
      </c>
      <c r="B2008" s="5">
        <v>41009</v>
      </c>
      <c r="C2008" s="5" t="s">
        <v>3959</v>
      </c>
      <c r="D2008" t="s">
        <v>3959</v>
      </c>
      <c r="G2008" t="s">
        <v>6159</v>
      </c>
    </row>
    <row r="2009" spans="1:7" x14ac:dyDescent="0.25">
      <c r="A2009" t="s">
        <v>158</v>
      </c>
      <c r="B2009" s="5">
        <v>41008</v>
      </c>
      <c r="C2009" s="5" t="s">
        <v>3960</v>
      </c>
      <c r="D2009" t="s">
        <v>3960</v>
      </c>
      <c r="G2009" t="s">
        <v>6159</v>
      </c>
    </row>
    <row r="2010" spans="1:7" x14ac:dyDescent="0.25">
      <c r="A2010" t="s">
        <v>295</v>
      </c>
      <c r="B2010" s="5">
        <v>41298</v>
      </c>
      <c r="C2010" s="5" t="s">
        <v>3961</v>
      </c>
      <c r="D2010" t="s">
        <v>3961</v>
      </c>
      <c r="G2010" t="s">
        <v>6159</v>
      </c>
    </row>
    <row r="2011" spans="1:7" x14ac:dyDescent="0.25">
      <c r="A2011" t="s">
        <v>217</v>
      </c>
      <c r="B2011" s="5">
        <v>41934</v>
      </c>
      <c r="C2011" s="5" t="s">
        <v>3962</v>
      </c>
      <c r="D2011" t="s">
        <v>3962</v>
      </c>
      <c r="G2011" t="s">
        <v>6159</v>
      </c>
    </row>
    <row r="2012" spans="1:7" x14ac:dyDescent="0.25">
      <c r="A2012" t="s">
        <v>126</v>
      </c>
      <c r="B2012" s="5">
        <v>40975</v>
      </c>
      <c r="C2012" s="5" t="s">
        <v>3963</v>
      </c>
      <c r="D2012" t="s">
        <v>3963</v>
      </c>
      <c r="G2012" t="s">
        <v>6159</v>
      </c>
    </row>
    <row r="2013" spans="1:7" x14ac:dyDescent="0.25">
      <c r="A2013" t="s">
        <v>146</v>
      </c>
      <c r="B2013" s="5">
        <v>40975</v>
      </c>
      <c r="C2013" s="5" t="s">
        <v>3964</v>
      </c>
      <c r="D2013" t="s">
        <v>3964</v>
      </c>
      <c r="G2013" t="s">
        <v>6159</v>
      </c>
    </row>
    <row r="2014" spans="1:7" x14ac:dyDescent="0.25">
      <c r="A2014" t="s">
        <v>60</v>
      </c>
      <c r="B2014" s="5">
        <v>40974</v>
      </c>
      <c r="C2014" s="5" t="s">
        <v>3965</v>
      </c>
      <c r="D2014" t="s">
        <v>3965</v>
      </c>
      <c r="G2014" t="s">
        <v>6159</v>
      </c>
    </row>
    <row r="2015" spans="1:7" x14ac:dyDescent="0.25">
      <c r="A2015" t="s">
        <v>186</v>
      </c>
      <c r="B2015" s="5">
        <v>40973</v>
      </c>
      <c r="C2015" s="5" t="s">
        <v>3966</v>
      </c>
      <c r="D2015" t="s">
        <v>3966</v>
      </c>
      <c r="G2015" t="s">
        <v>6159</v>
      </c>
    </row>
    <row r="2016" spans="1:7" x14ac:dyDescent="0.25">
      <c r="A2016" t="s">
        <v>299</v>
      </c>
      <c r="B2016" s="5">
        <v>40973</v>
      </c>
      <c r="C2016" s="5" t="s">
        <v>3967</v>
      </c>
      <c r="D2016" t="s">
        <v>3967</v>
      </c>
      <c r="G2016" t="s">
        <v>6159</v>
      </c>
    </row>
    <row r="2017" spans="1:7" x14ac:dyDescent="0.25">
      <c r="A2017" t="s">
        <v>2860</v>
      </c>
      <c r="B2017" s="5">
        <v>40973</v>
      </c>
      <c r="C2017" s="5" t="s">
        <v>3968</v>
      </c>
      <c r="D2017" t="s">
        <v>3968</v>
      </c>
      <c r="G2017" t="s">
        <v>6159</v>
      </c>
    </row>
    <row r="2018" spans="1:7" x14ac:dyDescent="0.25">
      <c r="A2018" t="s">
        <v>2857</v>
      </c>
      <c r="B2018" s="5">
        <v>41331</v>
      </c>
      <c r="C2018" s="5" t="s">
        <v>3969</v>
      </c>
      <c r="D2018" t="s">
        <v>3969</v>
      </c>
      <c r="G2018" t="s">
        <v>6159</v>
      </c>
    </row>
    <row r="2019" spans="1:7" x14ac:dyDescent="0.25">
      <c r="A2019" t="s">
        <v>2859</v>
      </c>
      <c r="B2019" s="5">
        <v>41303</v>
      </c>
      <c r="C2019" s="5" t="s">
        <v>3970</v>
      </c>
      <c r="D2019" t="s">
        <v>3970</v>
      </c>
      <c r="G2019" t="s">
        <v>6159</v>
      </c>
    </row>
    <row r="2020" spans="1:7" x14ac:dyDescent="0.25">
      <c r="A2020" t="s">
        <v>169</v>
      </c>
      <c r="B2020" s="5">
        <v>42249</v>
      </c>
      <c r="C2020" s="5" t="s">
        <v>3971</v>
      </c>
      <c r="D2020" t="s">
        <v>3971</v>
      </c>
      <c r="G2020" t="s">
        <v>6159</v>
      </c>
    </row>
    <row r="2021" spans="1:7" x14ac:dyDescent="0.25">
      <c r="A2021" t="s">
        <v>262</v>
      </c>
      <c r="B2021" s="5">
        <v>40968</v>
      </c>
      <c r="C2021" s="5" t="s">
        <v>3972</v>
      </c>
      <c r="D2021" t="s">
        <v>3972</v>
      </c>
      <c r="G2021" t="s">
        <v>6159</v>
      </c>
    </row>
    <row r="2022" spans="1:7" x14ac:dyDescent="0.25">
      <c r="A2022" t="s">
        <v>145</v>
      </c>
      <c r="B2022" s="5">
        <v>41904</v>
      </c>
      <c r="C2022" s="5" t="s">
        <v>3973</v>
      </c>
      <c r="D2022" t="s">
        <v>3973</v>
      </c>
      <c r="G2022" t="s">
        <v>6159</v>
      </c>
    </row>
    <row r="2023" spans="1:7" x14ac:dyDescent="0.25">
      <c r="A2023" t="s">
        <v>238</v>
      </c>
      <c r="B2023" s="5">
        <v>40968</v>
      </c>
      <c r="C2023" s="5" t="s">
        <v>3974</v>
      </c>
      <c r="D2023" t="s">
        <v>3974</v>
      </c>
      <c r="G2023" t="s">
        <v>6159</v>
      </c>
    </row>
    <row r="2024" spans="1:7" x14ac:dyDescent="0.25">
      <c r="A2024" t="s">
        <v>328</v>
      </c>
      <c r="B2024" s="5">
        <v>40967</v>
      </c>
      <c r="C2024" s="5" t="s">
        <v>3975</v>
      </c>
      <c r="D2024" t="s">
        <v>3975</v>
      </c>
      <c r="G2024" t="s">
        <v>6159</v>
      </c>
    </row>
    <row r="2025" spans="1:7" x14ac:dyDescent="0.25">
      <c r="A2025" t="s">
        <v>18</v>
      </c>
      <c r="B2025" s="5">
        <v>40967</v>
      </c>
      <c r="C2025" s="5" t="s">
        <v>3976</v>
      </c>
      <c r="D2025" t="s">
        <v>3976</v>
      </c>
      <c r="G2025" t="s">
        <v>6159</v>
      </c>
    </row>
    <row r="2026" spans="1:7" x14ac:dyDescent="0.25">
      <c r="A2026" t="s">
        <v>228</v>
      </c>
      <c r="B2026" s="5">
        <v>41898</v>
      </c>
      <c r="C2026" s="5" t="s">
        <v>3977</v>
      </c>
      <c r="D2026" t="s">
        <v>3977</v>
      </c>
      <c r="G2026" t="s">
        <v>6159</v>
      </c>
    </row>
    <row r="2027" spans="1:7" x14ac:dyDescent="0.25">
      <c r="A2027" t="s">
        <v>273</v>
      </c>
      <c r="B2027" s="5">
        <v>41898</v>
      </c>
      <c r="C2027" s="5" t="s">
        <v>3978</v>
      </c>
      <c r="D2027" t="s">
        <v>3978</v>
      </c>
      <c r="G2027" t="s">
        <v>6159</v>
      </c>
    </row>
    <row r="2028" spans="1:7" x14ac:dyDescent="0.25">
      <c r="A2028" t="s">
        <v>56</v>
      </c>
      <c r="B2028" s="5">
        <v>41576</v>
      </c>
      <c r="C2028" s="5" t="s">
        <v>3979</v>
      </c>
      <c r="D2028" t="s">
        <v>3979</v>
      </c>
      <c r="G2028" t="s">
        <v>6159</v>
      </c>
    </row>
    <row r="2029" spans="1:7" x14ac:dyDescent="0.25">
      <c r="A2029" t="s">
        <v>232</v>
      </c>
      <c r="B2029" s="5">
        <v>40962</v>
      </c>
      <c r="C2029" s="5" t="s">
        <v>3980</v>
      </c>
      <c r="D2029" t="s">
        <v>3980</v>
      </c>
      <c r="G2029" t="s">
        <v>6159</v>
      </c>
    </row>
    <row r="2030" spans="1:7" x14ac:dyDescent="0.25">
      <c r="A2030" t="s">
        <v>199</v>
      </c>
      <c r="B2030" s="5">
        <v>41332</v>
      </c>
      <c r="C2030" s="5" t="s">
        <v>3981</v>
      </c>
      <c r="D2030" t="s">
        <v>3981</v>
      </c>
      <c r="G2030" t="s">
        <v>6159</v>
      </c>
    </row>
    <row r="2031" spans="1:7" x14ac:dyDescent="0.25">
      <c r="A2031" t="s">
        <v>290</v>
      </c>
      <c r="B2031" s="5">
        <v>40946</v>
      </c>
      <c r="C2031" s="5" t="s">
        <v>3982</v>
      </c>
      <c r="D2031" t="s">
        <v>3982</v>
      </c>
      <c r="G2031" t="s">
        <v>6159</v>
      </c>
    </row>
    <row r="2032" spans="1:7" x14ac:dyDescent="0.25">
      <c r="A2032" t="s">
        <v>357</v>
      </c>
      <c r="B2032" s="5">
        <v>41333</v>
      </c>
      <c r="C2032" s="5" t="s">
        <v>3983</v>
      </c>
      <c r="D2032" t="s">
        <v>3983</v>
      </c>
      <c r="G2032" t="s">
        <v>6159</v>
      </c>
    </row>
    <row r="2033" spans="1:7" x14ac:dyDescent="0.25">
      <c r="A2033" t="s">
        <v>217</v>
      </c>
      <c r="B2033" s="5">
        <v>41892</v>
      </c>
      <c r="C2033" s="5" t="s">
        <v>3984</v>
      </c>
      <c r="D2033" t="s">
        <v>3984</v>
      </c>
      <c r="G2033" t="s">
        <v>6159</v>
      </c>
    </row>
    <row r="2034" spans="1:7" x14ac:dyDescent="0.25">
      <c r="A2034" t="s">
        <v>289</v>
      </c>
      <c r="B2034" s="5">
        <v>40945</v>
      </c>
      <c r="C2034" s="5" t="s">
        <v>3985</v>
      </c>
      <c r="D2034" t="s">
        <v>3985</v>
      </c>
      <c r="G2034" t="s">
        <v>6159</v>
      </c>
    </row>
    <row r="2035" spans="1:7" x14ac:dyDescent="0.25">
      <c r="A2035" t="s">
        <v>201</v>
      </c>
      <c r="B2035" s="5">
        <v>40945</v>
      </c>
      <c r="C2035" s="5" t="s">
        <v>3986</v>
      </c>
      <c r="D2035" t="s">
        <v>3986</v>
      </c>
      <c r="G2035" t="s">
        <v>6159</v>
      </c>
    </row>
    <row r="2036" spans="1:7" x14ac:dyDescent="0.25">
      <c r="A2036" t="s">
        <v>226</v>
      </c>
      <c r="B2036" s="5">
        <v>40928</v>
      </c>
      <c r="C2036" s="5" t="s">
        <v>3987</v>
      </c>
      <c r="D2036" t="s">
        <v>3987</v>
      </c>
      <c r="G2036" t="s">
        <v>6159</v>
      </c>
    </row>
    <row r="2037" spans="1:7" x14ac:dyDescent="0.25">
      <c r="A2037" t="s">
        <v>232</v>
      </c>
      <c r="B2037" s="5">
        <v>40926</v>
      </c>
      <c r="C2037" s="5" t="s">
        <v>3988</v>
      </c>
      <c r="D2037" t="s">
        <v>3988</v>
      </c>
      <c r="G2037" t="s">
        <v>6159</v>
      </c>
    </row>
    <row r="2038" spans="1:7" x14ac:dyDescent="0.25">
      <c r="A2038" t="s">
        <v>2042</v>
      </c>
      <c r="B2038" s="5">
        <v>41885</v>
      </c>
      <c r="C2038" s="5" t="s">
        <v>3989</v>
      </c>
      <c r="D2038" t="s">
        <v>3989</v>
      </c>
      <c r="G2038" t="s">
        <v>6159</v>
      </c>
    </row>
    <row r="2039" spans="1:7" x14ac:dyDescent="0.25">
      <c r="A2039" t="s">
        <v>52</v>
      </c>
      <c r="B2039" s="5">
        <v>40925</v>
      </c>
      <c r="C2039" s="5" t="s">
        <v>3990</v>
      </c>
      <c r="D2039" t="s">
        <v>3990</v>
      </c>
      <c r="G2039" t="s">
        <v>6159</v>
      </c>
    </row>
    <row r="2040" spans="1:7" x14ac:dyDescent="0.25">
      <c r="A2040" t="s">
        <v>158</v>
      </c>
      <c r="B2040" s="5">
        <v>40924</v>
      </c>
      <c r="C2040" s="5" t="s">
        <v>3991</v>
      </c>
      <c r="D2040" t="s">
        <v>3991</v>
      </c>
      <c r="G2040" t="s">
        <v>6159</v>
      </c>
    </row>
    <row r="2041" spans="1:7" x14ac:dyDescent="0.25">
      <c r="A2041" t="s">
        <v>305</v>
      </c>
      <c r="B2041" s="5">
        <v>40905</v>
      </c>
      <c r="C2041" s="5" t="s">
        <v>3992</v>
      </c>
      <c r="D2041" t="s">
        <v>3992</v>
      </c>
      <c r="G2041" t="s">
        <v>6159</v>
      </c>
    </row>
    <row r="2042" spans="1:7" x14ac:dyDescent="0.25">
      <c r="A2042" t="s">
        <v>190</v>
      </c>
      <c r="B2042" s="5">
        <v>40905</v>
      </c>
      <c r="C2042" s="5" t="s">
        <v>3993</v>
      </c>
      <c r="D2042" t="s">
        <v>3993</v>
      </c>
      <c r="G2042" t="s">
        <v>6159</v>
      </c>
    </row>
    <row r="2043" spans="1:7" x14ac:dyDescent="0.25">
      <c r="A2043" t="s">
        <v>204</v>
      </c>
      <c r="B2043" s="5">
        <v>40883</v>
      </c>
      <c r="C2043" s="5" t="s">
        <v>3994</v>
      </c>
      <c r="D2043" t="s">
        <v>3994</v>
      </c>
      <c r="G2043" t="s">
        <v>6159</v>
      </c>
    </row>
    <row r="2044" spans="1:7" x14ac:dyDescent="0.25">
      <c r="A2044" t="s">
        <v>2873</v>
      </c>
      <c r="B2044" s="5">
        <v>41871</v>
      </c>
      <c r="C2044" s="5" t="s">
        <v>3995</v>
      </c>
      <c r="D2044" t="s">
        <v>3995</v>
      </c>
      <c r="G2044" t="s">
        <v>6159</v>
      </c>
    </row>
    <row r="2045" spans="1:7" x14ac:dyDescent="0.25">
      <c r="A2045" t="s">
        <v>201</v>
      </c>
      <c r="B2045" s="5">
        <v>40882</v>
      </c>
      <c r="C2045" s="5" t="s">
        <v>3996</v>
      </c>
      <c r="D2045" t="s">
        <v>3996</v>
      </c>
      <c r="G2045" t="s">
        <v>6159</v>
      </c>
    </row>
    <row r="2046" spans="1:7" x14ac:dyDescent="0.25">
      <c r="A2046" t="s">
        <v>289</v>
      </c>
      <c r="B2046" s="5">
        <v>40882</v>
      </c>
      <c r="C2046" s="5" t="s">
        <v>3997</v>
      </c>
      <c r="D2046" t="s">
        <v>3997</v>
      </c>
      <c r="G2046" t="s">
        <v>6159</v>
      </c>
    </row>
    <row r="2047" spans="1:7" x14ac:dyDescent="0.25">
      <c r="A2047" t="s">
        <v>2870</v>
      </c>
      <c r="B2047" s="5">
        <v>41870</v>
      </c>
      <c r="C2047" s="5" t="s">
        <v>3998</v>
      </c>
      <c r="D2047" t="s">
        <v>3998</v>
      </c>
      <c r="G2047" t="s">
        <v>6159</v>
      </c>
    </row>
    <row r="2048" spans="1:7" x14ac:dyDescent="0.25">
      <c r="A2048" t="s">
        <v>2873</v>
      </c>
      <c r="B2048" s="5">
        <v>41870</v>
      </c>
      <c r="C2048" s="5" t="s">
        <v>3999</v>
      </c>
      <c r="D2048" t="s">
        <v>3999</v>
      </c>
      <c r="G2048" t="s">
        <v>6159</v>
      </c>
    </row>
    <row r="2049" spans="1:7" x14ac:dyDescent="0.25">
      <c r="A2049" t="s">
        <v>299</v>
      </c>
      <c r="B2049" s="5">
        <v>40863</v>
      </c>
      <c r="C2049" s="5" t="s">
        <v>4000</v>
      </c>
      <c r="D2049" t="s">
        <v>4000</v>
      </c>
      <c r="G2049" t="s">
        <v>6159</v>
      </c>
    </row>
    <row r="2050" spans="1:7" x14ac:dyDescent="0.25">
      <c r="A2050" t="s">
        <v>2827</v>
      </c>
      <c r="B2050" s="5">
        <v>40862</v>
      </c>
      <c r="C2050" s="5" t="s">
        <v>4001</v>
      </c>
      <c r="D2050" t="s">
        <v>4001</v>
      </c>
      <c r="G2050" t="s">
        <v>6159</v>
      </c>
    </row>
    <row r="2051" spans="1:7" x14ac:dyDescent="0.25">
      <c r="A2051" t="s">
        <v>2860</v>
      </c>
      <c r="B2051" s="5">
        <v>40862</v>
      </c>
      <c r="C2051" s="5" t="s">
        <v>4002</v>
      </c>
      <c r="D2051" t="s">
        <v>4002</v>
      </c>
      <c r="G2051" t="s">
        <v>6159</v>
      </c>
    </row>
    <row r="2052" spans="1:7" x14ac:dyDescent="0.25">
      <c r="A2052" t="s">
        <v>60</v>
      </c>
      <c r="B2052" s="5">
        <v>40861</v>
      </c>
      <c r="C2052" s="5" t="s">
        <v>4003</v>
      </c>
      <c r="D2052" t="s">
        <v>4003</v>
      </c>
      <c r="G2052" t="s">
        <v>6159</v>
      </c>
    </row>
    <row r="2053" spans="1:7" x14ac:dyDescent="0.25">
      <c r="A2053" t="s">
        <v>186</v>
      </c>
      <c r="B2053" s="5">
        <v>40861</v>
      </c>
      <c r="C2053" s="5" t="s">
        <v>4004</v>
      </c>
      <c r="D2053" t="s">
        <v>4004</v>
      </c>
      <c r="G2053" t="s">
        <v>6159</v>
      </c>
    </row>
    <row r="2054" spans="1:7" x14ac:dyDescent="0.25">
      <c r="A2054" t="s">
        <v>2853</v>
      </c>
      <c r="B2054" s="5">
        <v>40861</v>
      </c>
      <c r="C2054" s="5" t="s">
        <v>4005</v>
      </c>
      <c r="D2054" t="s">
        <v>4005</v>
      </c>
      <c r="G2054" t="s">
        <v>6159</v>
      </c>
    </row>
    <row r="2055" spans="1:7" x14ac:dyDescent="0.25">
      <c r="A2055" t="s">
        <v>146</v>
      </c>
      <c r="B2055" s="5">
        <v>40861</v>
      </c>
      <c r="C2055" s="5" t="s">
        <v>4006</v>
      </c>
      <c r="D2055" t="s">
        <v>4006</v>
      </c>
      <c r="G2055" t="s">
        <v>6159</v>
      </c>
    </row>
    <row r="2056" spans="1:7" x14ac:dyDescent="0.25">
      <c r="A2056" t="s">
        <v>183</v>
      </c>
      <c r="B2056" s="5">
        <v>40857</v>
      </c>
      <c r="C2056" s="5" t="s">
        <v>4007</v>
      </c>
      <c r="D2056" t="s">
        <v>4007</v>
      </c>
      <c r="G2056" t="s">
        <v>6159</v>
      </c>
    </row>
    <row r="2057" spans="1:7" x14ac:dyDescent="0.25">
      <c r="A2057" t="s">
        <v>18</v>
      </c>
      <c r="B2057" s="5">
        <v>40857</v>
      </c>
      <c r="C2057" s="5" t="s">
        <v>4008</v>
      </c>
      <c r="D2057" t="s">
        <v>4008</v>
      </c>
      <c r="G2057" t="s">
        <v>6159</v>
      </c>
    </row>
    <row r="2058" spans="1:7" x14ac:dyDescent="0.25">
      <c r="A2058" t="s">
        <v>328</v>
      </c>
      <c r="B2058" s="5">
        <v>40857</v>
      </c>
      <c r="C2058" s="5" t="s">
        <v>4009</v>
      </c>
      <c r="D2058" t="s">
        <v>4009</v>
      </c>
      <c r="G2058" t="s">
        <v>6159</v>
      </c>
    </row>
    <row r="2059" spans="1:7" x14ac:dyDescent="0.25">
      <c r="A2059" t="s">
        <v>262</v>
      </c>
      <c r="B2059" s="5">
        <v>40856</v>
      </c>
      <c r="C2059" s="5" t="s">
        <v>4010</v>
      </c>
      <c r="D2059" t="s">
        <v>4010</v>
      </c>
      <c r="G2059" t="s">
        <v>6159</v>
      </c>
    </row>
    <row r="2060" spans="1:7" x14ac:dyDescent="0.25">
      <c r="A2060" t="s">
        <v>35</v>
      </c>
      <c r="B2060" s="5">
        <v>40842</v>
      </c>
      <c r="C2060" s="5" t="s">
        <v>4011</v>
      </c>
      <c r="D2060" t="s">
        <v>4011</v>
      </c>
      <c r="G2060" t="s">
        <v>6159</v>
      </c>
    </row>
    <row r="2061" spans="1:7" x14ac:dyDescent="0.25">
      <c r="A2061" t="s">
        <v>64</v>
      </c>
      <c r="B2061" s="5">
        <v>40842</v>
      </c>
      <c r="C2061" s="5" t="s">
        <v>4012</v>
      </c>
      <c r="D2061" t="s">
        <v>4012</v>
      </c>
      <c r="G2061" t="s">
        <v>6159</v>
      </c>
    </row>
    <row r="2062" spans="1:7" x14ac:dyDescent="0.25">
      <c r="A2062" t="s">
        <v>204</v>
      </c>
      <c r="B2062" s="5">
        <v>40835</v>
      </c>
      <c r="C2062" s="5" t="s">
        <v>4013</v>
      </c>
      <c r="D2062" t="s">
        <v>4013</v>
      </c>
      <c r="G2062" t="s">
        <v>6159</v>
      </c>
    </row>
    <row r="2063" spans="1:7" x14ac:dyDescent="0.25">
      <c r="A2063" t="s">
        <v>290</v>
      </c>
      <c r="B2063" s="5">
        <v>40835</v>
      </c>
      <c r="C2063" s="5" t="s">
        <v>4014</v>
      </c>
      <c r="D2063" t="s">
        <v>4014</v>
      </c>
      <c r="G2063" t="s">
        <v>6159</v>
      </c>
    </row>
    <row r="2064" spans="1:7" x14ac:dyDescent="0.25">
      <c r="A2064" t="s">
        <v>328</v>
      </c>
      <c r="B2064" s="5">
        <v>40800</v>
      </c>
      <c r="C2064" s="5" t="s">
        <v>4015</v>
      </c>
      <c r="D2064" t="s">
        <v>4015</v>
      </c>
      <c r="G2064" t="s">
        <v>6159</v>
      </c>
    </row>
    <row r="2065" spans="1:7" x14ac:dyDescent="0.25">
      <c r="A2065" t="s">
        <v>18</v>
      </c>
      <c r="B2065" s="5">
        <v>40800</v>
      </c>
      <c r="C2065" s="5" t="s">
        <v>4016</v>
      </c>
      <c r="D2065" t="s">
        <v>4016</v>
      </c>
      <c r="G2065" t="s">
        <v>6159</v>
      </c>
    </row>
    <row r="2066" spans="1:7" x14ac:dyDescent="0.25">
      <c r="A2066" t="s">
        <v>238</v>
      </c>
      <c r="B2066" s="5">
        <v>40799</v>
      </c>
      <c r="C2066" s="5" t="s">
        <v>4017</v>
      </c>
      <c r="D2066" t="s">
        <v>4017</v>
      </c>
      <c r="G2066" t="s">
        <v>6159</v>
      </c>
    </row>
    <row r="2067" spans="1:7" x14ac:dyDescent="0.25">
      <c r="A2067" t="s">
        <v>275</v>
      </c>
      <c r="B2067" s="5">
        <v>40787</v>
      </c>
      <c r="C2067" s="5" t="s">
        <v>4018</v>
      </c>
      <c r="D2067" t="s">
        <v>4018</v>
      </c>
      <c r="G2067" t="s">
        <v>6159</v>
      </c>
    </row>
    <row r="2068" spans="1:7" x14ac:dyDescent="0.25">
      <c r="A2068" t="s">
        <v>269</v>
      </c>
      <c r="B2068" s="5">
        <v>41220</v>
      </c>
      <c r="C2068" s="5" t="s">
        <v>4019</v>
      </c>
      <c r="D2068" t="s">
        <v>4019</v>
      </c>
      <c r="G2068" t="s">
        <v>6159</v>
      </c>
    </row>
    <row r="2069" spans="1:7" x14ac:dyDescent="0.25">
      <c r="A2069" t="s">
        <v>150</v>
      </c>
      <c r="B2069" s="5">
        <v>42472</v>
      </c>
      <c r="C2069" s="5" t="s">
        <v>4020</v>
      </c>
      <c r="D2069" t="s">
        <v>4020</v>
      </c>
      <c r="G2069" t="s">
        <v>6159</v>
      </c>
    </row>
    <row r="2070" spans="1:7" x14ac:dyDescent="0.25">
      <c r="A2070" t="s">
        <v>2874</v>
      </c>
      <c r="B2070" s="5">
        <v>42466</v>
      </c>
      <c r="C2070" s="5" t="s">
        <v>4021</v>
      </c>
      <c r="D2070" t="s">
        <v>4021</v>
      </c>
      <c r="G2070" t="s">
        <v>6159</v>
      </c>
    </row>
    <row r="2071" spans="1:7" x14ac:dyDescent="0.25">
      <c r="A2071" t="s">
        <v>2861</v>
      </c>
      <c r="B2071" s="5">
        <v>42466</v>
      </c>
      <c r="C2071" s="5" t="s">
        <v>4022</v>
      </c>
      <c r="D2071" t="s">
        <v>4022</v>
      </c>
      <c r="G2071" t="s">
        <v>6159</v>
      </c>
    </row>
    <row r="2072" spans="1:7" x14ac:dyDescent="0.25">
      <c r="A2072" t="s">
        <v>2875</v>
      </c>
      <c r="B2072" s="5">
        <v>42466</v>
      </c>
      <c r="C2072" s="5" t="s">
        <v>4023</v>
      </c>
      <c r="D2072" t="s">
        <v>4023</v>
      </c>
      <c r="G2072" t="s">
        <v>6159</v>
      </c>
    </row>
    <row r="2073" spans="1:7" x14ac:dyDescent="0.25">
      <c r="A2073" t="s">
        <v>289</v>
      </c>
      <c r="B2073" s="5">
        <v>40764</v>
      </c>
      <c r="C2073" s="5" t="s">
        <v>4024</v>
      </c>
      <c r="D2073" t="s">
        <v>4024</v>
      </c>
      <c r="G2073" t="s">
        <v>6159</v>
      </c>
    </row>
    <row r="2074" spans="1:7" x14ac:dyDescent="0.25">
      <c r="A2074" t="s">
        <v>2876</v>
      </c>
      <c r="B2074" s="5">
        <v>42465</v>
      </c>
      <c r="C2074" s="5" t="s">
        <v>4025</v>
      </c>
      <c r="D2074" t="s">
        <v>4025</v>
      </c>
      <c r="G2074" t="s">
        <v>6159</v>
      </c>
    </row>
    <row r="2075" spans="1:7" x14ac:dyDescent="0.25">
      <c r="A2075" t="s">
        <v>245</v>
      </c>
      <c r="B2075" s="5">
        <v>41164</v>
      </c>
      <c r="C2075" s="5" t="s">
        <v>4026</v>
      </c>
      <c r="D2075" t="s">
        <v>4026</v>
      </c>
      <c r="G2075" t="s">
        <v>6159</v>
      </c>
    </row>
    <row r="2076" spans="1:7" x14ac:dyDescent="0.25">
      <c r="A2076" t="s">
        <v>231</v>
      </c>
      <c r="B2076" s="5">
        <v>41152</v>
      </c>
      <c r="C2076" s="5" t="s">
        <v>4027</v>
      </c>
      <c r="D2076" t="s">
        <v>4027</v>
      </c>
      <c r="G2076" t="s">
        <v>6159</v>
      </c>
    </row>
    <row r="2077" spans="1:7" x14ac:dyDescent="0.25">
      <c r="A2077" t="s">
        <v>182</v>
      </c>
      <c r="B2077" s="5">
        <v>42459</v>
      </c>
      <c r="C2077" s="5" t="s">
        <v>4028</v>
      </c>
      <c r="D2077" t="s">
        <v>4028</v>
      </c>
      <c r="G2077" t="s">
        <v>6159</v>
      </c>
    </row>
    <row r="2078" spans="1:7" x14ac:dyDescent="0.25">
      <c r="A2078" t="s">
        <v>181</v>
      </c>
      <c r="B2078" s="5">
        <v>42459</v>
      </c>
      <c r="C2078" s="5" t="s">
        <v>4029</v>
      </c>
      <c r="D2078" t="s">
        <v>4029</v>
      </c>
      <c r="G2078" t="s">
        <v>6159</v>
      </c>
    </row>
    <row r="2079" spans="1:7" x14ac:dyDescent="0.25">
      <c r="A2079" t="s">
        <v>2877</v>
      </c>
      <c r="B2079" s="5">
        <v>42459</v>
      </c>
      <c r="C2079" s="5" t="s">
        <v>4030</v>
      </c>
      <c r="D2079" t="s">
        <v>4030</v>
      </c>
      <c r="G2079" t="s">
        <v>6159</v>
      </c>
    </row>
    <row r="2080" spans="1:7" x14ac:dyDescent="0.25">
      <c r="A2080" t="s">
        <v>193</v>
      </c>
      <c r="B2080" s="5">
        <v>41148</v>
      </c>
      <c r="C2080" s="5" t="s">
        <v>4031</v>
      </c>
      <c r="D2080" t="s">
        <v>4031</v>
      </c>
      <c r="G2080" t="s">
        <v>6159</v>
      </c>
    </row>
    <row r="2081" spans="1:7" x14ac:dyDescent="0.25">
      <c r="A2081" t="s">
        <v>35</v>
      </c>
      <c r="B2081" s="5">
        <v>41120</v>
      </c>
      <c r="C2081" s="5" t="s">
        <v>4032</v>
      </c>
      <c r="D2081" t="s">
        <v>4032</v>
      </c>
      <c r="G2081" t="s">
        <v>6159</v>
      </c>
    </row>
    <row r="2082" spans="1:7" x14ac:dyDescent="0.25">
      <c r="A2082" t="s">
        <v>60</v>
      </c>
      <c r="B2082" s="5">
        <v>41162</v>
      </c>
      <c r="C2082" s="5" t="s">
        <v>4033</v>
      </c>
      <c r="D2082" t="s">
        <v>4033</v>
      </c>
      <c r="G2082" t="s">
        <v>6159</v>
      </c>
    </row>
    <row r="2083" spans="1:7" x14ac:dyDescent="0.25">
      <c r="A2083" t="s">
        <v>2860</v>
      </c>
      <c r="B2083" s="5">
        <v>41163</v>
      </c>
      <c r="C2083" s="5" t="s">
        <v>4034</v>
      </c>
      <c r="D2083" t="s">
        <v>4034</v>
      </c>
      <c r="G2083" t="s">
        <v>6159</v>
      </c>
    </row>
    <row r="2084" spans="1:7" x14ac:dyDescent="0.25">
      <c r="A2084" t="s">
        <v>222</v>
      </c>
      <c r="B2084" s="5">
        <v>41164</v>
      </c>
      <c r="C2084" s="5" t="s">
        <v>4035</v>
      </c>
      <c r="D2084" t="s">
        <v>4035</v>
      </c>
      <c r="G2084" t="s">
        <v>6159</v>
      </c>
    </row>
    <row r="2085" spans="1:7" x14ac:dyDescent="0.25">
      <c r="A2085" t="s">
        <v>57</v>
      </c>
      <c r="B2085" s="5">
        <v>41121</v>
      </c>
      <c r="C2085" s="5" t="s">
        <v>4036</v>
      </c>
      <c r="D2085" t="s">
        <v>4036</v>
      </c>
      <c r="G2085" t="s">
        <v>6159</v>
      </c>
    </row>
    <row r="2086" spans="1:7" x14ac:dyDescent="0.25">
      <c r="A2086" t="s">
        <v>66</v>
      </c>
      <c r="B2086" s="5">
        <v>41120</v>
      </c>
      <c r="C2086" s="5" t="s">
        <v>4037</v>
      </c>
      <c r="D2086" t="s">
        <v>4037</v>
      </c>
      <c r="G2086" t="s">
        <v>6159</v>
      </c>
    </row>
    <row r="2087" spans="1:7" x14ac:dyDescent="0.25">
      <c r="A2087" t="s">
        <v>240</v>
      </c>
      <c r="B2087" s="5">
        <v>41162</v>
      </c>
      <c r="C2087" s="5" t="s">
        <v>4038</v>
      </c>
      <c r="D2087" t="s">
        <v>4038</v>
      </c>
      <c r="G2087" t="s">
        <v>6159</v>
      </c>
    </row>
    <row r="2088" spans="1:7" x14ac:dyDescent="0.25">
      <c r="A2088" t="s">
        <v>250</v>
      </c>
      <c r="B2088" s="5">
        <v>41164</v>
      </c>
      <c r="C2088" s="5" t="s">
        <v>4039</v>
      </c>
      <c r="D2088" t="s">
        <v>4039</v>
      </c>
      <c r="G2088" t="s">
        <v>6159</v>
      </c>
    </row>
    <row r="2089" spans="1:7" x14ac:dyDescent="0.25">
      <c r="A2089" t="s">
        <v>93</v>
      </c>
      <c r="B2089" s="5">
        <v>42457</v>
      </c>
      <c r="C2089" s="5" t="s">
        <v>4040</v>
      </c>
      <c r="D2089" t="s">
        <v>4040</v>
      </c>
      <c r="G2089" t="s">
        <v>6159</v>
      </c>
    </row>
    <row r="2090" spans="1:7" x14ac:dyDescent="0.25">
      <c r="A2090" t="s">
        <v>31</v>
      </c>
      <c r="B2090" s="5">
        <v>42457</v>
      </c>
      <c r="C2090" s="5" t="s">
        <v>4041</v>
      </c>
      <c r="D2090" t="s">
        <v>4041</v>
      </c>
      <c r="G2090" t="s">
        <v>6159</v>
      </c>
    </row>
    <row r="2091" spans="1:7" x14ac:dyDescent="0.25">
      <c r="A2091" t="s">
        <v>284</v>
      </c>
      <c r="B2091" s="5">
        <v>42451</v>
      </c>
      <c r="C2091" s="5" t="s">
        <v>4042</v>
      </c>
      <c r="D2091" t="s">
        <v>4042</v>
      </c>
      <c r="G2091" t="s">
        <v>6159</v>
      </c>
    </row>
    <row r="2092" spans="1:7" x14ac:dyDescent="0.25">
      <c r="A2092" t="s">
        <v>295</v>
      </c>
      <c r="B2092" s="5">
        <v>41184</v>
      </c>
      <c r="C2092" s="5" t="s">
        <v>4043</v>
      </c>
      <c r="D2092" t="s">
        <v>4043</v>
      </c>
      <c r="G2092" t="s">
        <v>6159</v>
      </c>
    </row>
    <row r="2093" spans="1:7" x14ac:dyDescent="0.25">
      <c r="A2093" t="s">
        <v>157</v>
      </c>
      <c r="B2093" s="5">
        <v>42445</v>
      </c>
      <c r="C2093" s="5" t="s">
        <v>4044</v>
      </c>
      <c r="D2093" t="s">
        <v>4044</v>
      </c>
      <c r="G2093" t="s">
        <v>6159</v>
      </c>
    </row>
    <row r="2094" spans="1:7" x14ac:dyDescent="0.25">
      <c r="A2094" t="s">
        <v>2864</v>
      </c>
      <c r="B2094" s="5">
        <v>41290</v>
      </c>
      <c r="C2094" s="5" t="s">
        <v>4045</v>
      </c>
      <c r="D2094" t="s">
        <v>4045</v>
      </c>
      <c r="G2094" t="s">
        <v>6159</v>
      </c>
    </row>
    <row r="2095" spans="1:7" x14ac:dyDescent="0.25">
      <c r="A2095" t="s">
        <v>299</v>
      </c>
      <c r="B2095" s="5">
        <v>42444</v>
      </c>
      <c r="C2095" s="5" t="s">
        <v>4046</v>
      </c>
      <c r="D2095" t="s">
        <v>4046</v>
      </c>
      <c r="G2095" t="s">
        <v>6159</v>
      </c>
    </row>
    <row r="2096" spans="1:7" x14ac:dyDescent="0.25">
      <c r="A2096" t="s">
        <v>186</v>
      </c>
      <c r="B2096" s="5">
        <v>41163</v>
      </c>
      <c r="C2096" s="5" t="s">
        <v>4047</v>
      </c>
      <c r="D2096" t="s">
        <v>4047</v>
      </c>
      <c r="G2096" t="s">
        <v>6159</v>
      </c>
    </row>
    <row r="2097" spans="1:7" x14ac:dyDescent="0.25">
      <c r="A2097" t="s">
        <v>2878</v>
      </c>
      <c r="B2097" s="5">
        <v>42444</v>
      </c>
      <c r="C2097" s="5" t="s">
        <v>4048</v>
      </c>
      <c r="D2097" t="s">
        <v>4048</v>
      </c>
      <c r="G2097" t="s">
        <v>6159</v>
      </c>
    </row>
    <row r="2098" spans="1:7" x14ac:dyDescent="0.25">
      <c r="A2098" t="s">
        <v>146</v>
      </c>
      <c r="B2098" s="5">
        <v>41162</v>
      </c>
      <c r="C2098" s="5" t="s">
        <v>4049</v>
      </c>
      <c r="D2098" t="s">
        <v>4049</v>
      </c>
      <c r="G2098" t="s">
        <v>6159</v>
      </c>
    </row>
    <row r="2099" spans="1:7" x14ac:dyDescent="0.25">
      <c r="A2099" t="s">
        <v>2857</v>
      </c>
      <c r="B2099" s="5">
        <v>41207</v>
      </c>
      <c r="C2099" s="5" t="s">
        <v>4050</v>
      </c>
      <c r="D2099" t="s">
        <v>4050</v>
      </c>
      <c r="G2099" t="s">
        <v>6159</v>
      </c>
    </row>
    <row r="2100" spans="1:7" x14ac:dyDescent="0.25">
      <c r="A2100" t="s">
        <v>194</v>
      </c>
      <c r="B2100" s="5">
        <v>41179</v>
      </c>
      <c r="C2100" s="5" t="s">
        <v>4051</v>
      </c>
      <c r="D2100" t="s">
        <v>4051</v>
      </c>
      <c r="G2100" t="s">
        <v>6159</v>
      </c>
    </row>
    <row r="2101" spans="1:7" x14ac:dyDescent="0.25">
      <c r="A2101" t="s">
        <v>2879</v>
      </c>
      <c r="B2101" s="5">
        <v>42425</v>
      </c>
      <c r="C2101" s="5" t="s">
        <v>4052</v>
      </c>
      <c r="D2101" t="s">
        <v>4052</v>
      </c>
      <c r="G2101" t="s">
        <v>6159</v>
      </c>
    </row>
    <row r="2102" spans="1:7" x14ac:dyDescent="0.25">
      <c r="A2102" t="s">
        <v>135</v>
      </c>
      <c r="B2102" s="5">
        <v>42425</v>
      </c>
      <c r="C2102" s="5" t="s">
        <v>4053</v>
      </c>
      <c r="D2102" t="s">
        <v>4053</v>
      </c>
      <c r="G2102" t="s">
        <v>6159</v>
      </c>
    </row>
    <row r="2103" spans="1:7" x14ac:dyDescent="0.25">
      <c r="A2103" t="s">
        <v>2880</v>
      </c>
      <c r="B2103" s="5">
        <v>42423</v>
      </c>
      <c r="C2103" s="5" t="s">
        <v>4054</v>
      </c>
      <c r="D2103" t="s">
        <v>4054</v>
      </c>
      <c r="G2103" t="s">
        <v>6159</v>
      </c>
    </row>
    <row r="2104" spans="1:7" x14ac:dyDescent="0.25">
      <c r="A2104" t="s">
        <v>2872</v>
      </c>
      <c r="B2104" s="5">
        <v>41208</v>
      </c>
      <c r="C2104" s="5" t="s">
        <v>4055</v>
      </c>
      <c r="D2104" t="s">
        <v>4055</v>
      </c>
      <c r="G2104" t="s">
        <v>6159</v>
      </c>
    </row>
    <row r="2105" spans="1:7" x14ac:dyDescent="0.25">
      <c r="A2105" t="s">
        <v>313</v>
      </c>
      <c r="B2105" s="5">
        <v>41163</v>
      </c>
      <c r="C2105" s="5" t="s">
        <v>4056</v>
      </c>
      <c r="D2105" t="s">
        <v>4056</v>
      </c>
      <c r="G2105" t="s">
        <v>6159</v>
      </c>
    </row>
    <row r="2106" spans="1:7" x14ac:dyDescent="0.25">
      <c r="A2106" t="s">
        <v>247</v>
      </c>
      <c r="B2106" s="5">
        <v>41135</v>
      </c>
      <c r="C2106" s="5" t="s">
        <v>4057</v>
      </c>
      <c r="D2106" t="s">
        <v>4057</v>
      </c>
      <c r="G2106" t="s">
        <v>6159</v>
      </c>
    </row>
    <row r="2107" spans="1:7" x14ac:dyDescent="0.25">
      <c r="A2107" t="s">
        <v>250</v>
      </c>
      <c r="B2107" s="5">
        <v>42409</v>
      </c>
      <c r="C2107" s="5" t="s">
        <v>4058</v>
      </c>
      <c r="D2107" t="s">
        <v>4058</v>
      </c>
      <c r="G2107" t="s">
        <v>6159</v>
      </c>
    </row>
    <row r="2108" spans="1:7" x14ac:dyDescent="0.25">
      <c r="A2108" t="s">
        <v>253</v>
      </c>
      <c r="B2108" s="5">
        <v>41312</v>
      </c>
      <c r="C2108" s="5" t="s">
        <v>4059</v>
      </c>
      <c r="D2108" t="s">
        <v>4059</v>
      </c>
      <c r="G2108" t="s">
        <v>6159</v>
      </c>
    </row>
    <row r="2109" spans="1:7" x14ac:dyDescent="0.25">
      <c r="A2109" t="s">
        <v>57</v>
      </c>
      <c r="B2109" s="5">
        <v>41200</v>
      </c>
      <c r="C2109" s="5" t="s">
        <v>4060</v>
      </c>
      <c r="D2109" t="s">
        <v>4060</v>
      </c>
      <c r="G2109" t="s">
        <v>6159</v>
      </c>
    </row>
    <row r="2110" spans="1:7" x14ac:dyDescent="0.25">
      <c r="A2110" t="s">
        <v>182</v>
      </c>
      <c r="B2110" s="5">
        <v>42347</v>
      </c>
      <c r="C2110" s="5" t="s">
        <v>4061</v>
      </c>
      <c r="D2110" t="s">
        <v>4061</v>
      </c>
      <c r="G2110" t="s">
        <v>6159</v>
      </c>
    </row>
    <row r="2111" spans="1:7" x14ac:dyDescent="0.25">
      <c r="A2111" t="s">
        <v>147</v>
      </c>
      <c r="B2111" s="5">
        <v>41745</v>
      </c>
      <c r="C2111" s="5" t="s">
        <v>4062</v>
      </c>
      <c r="D2111" t="s">
        <v>4062</v>
      </c>
      <c r="G2111" t="s">
        <v>6159</v>
      </c>
    </row>
    <row r="2112" spans="1:7" x14ac:dyDescent="0.25">
      <c r="A2112" t="s">
        <v>357</v>
      </c>
      <c r="B2112" s="5">
        <v>41213</v>
      </c>
      <c r="C2112" s="5" t="s">
        <v>4063</v>
      </c>
      <c r="D2112" t="s">
        <v>4063</v>
      </c>
      <c r="G2112" t="s">
        <v>6159</v>
      </c>
    </row>
    <row r="2113" spans="1:7" x14ac:dyDescent="0.25">
      <c r="A2113" t="s">
        <v>333</v>
      </c>
      <c r="B2113" s="5">
        <v>41212</v>
      </c>
      <c r="C2113" s="5" t="s">
        <v>4064</v>
      </c>
      <c r="D2113" t="s">
        <v>4064</v>
      </c>
      <c r="G2113" t="s">
        <v>6159</v>
      </c>
    </row>
    <row r="2114" spans="1:7" x14ac:dyDescent="0.25">
      <c r="A2114" t="s">
        <v>199</v>
      </c>
      <c r="B2114" s="5">
        <v>41212</v>
      </c>
      <c r="C2114" s="5" t="s">
        <v>4065</v>
      </c>
      <c r="D2114" t="s">
        <v>4065</v>
      </c>
      <c r="G2114" t="s">
        <v>6159</v>
      </c>
    </row>
    <row r="2115" spans="1:7" x14ac:dyDescent="0.25">
      <c r="A2115" t="s">
        <v>326</v>
      </c>
      <c r="B2115" s="5">
        <v>41213</v>
      </c>
      <c r="C2115" s="5" t="s">
        <v>4066</v>
      </c>
      <c r="D2115" t="s">
        <v>4066</v>
      </c>
      <c r="G2115" t="s">
        <v>6159</v>
      </c>
    </row>
    <row r="2116" spans="1:7" x14ac:dyDescent="0.25">
      <c r="A2116" t="s">
        <v>250</v>
      </c>
      <c r="B2116" s="5">
        <v>41220</v>
      </c>
      <c r="C2116" s="5" t="s">
        <v>4067</v>
      </c>
      <c r="D2116" t="s">
        <v>4067</v>
      </c>
      <c r="G2116" t="s">
        <v>6159</v>
      </c>
    </row>
    <row r="2117" spans="1:7" x14ac:dyDescent="0.25">
      <c r="A2117" t="s">
        <v>2839</v>
      </c>
      <c r="B2117" s="5">
        <v>41233</v>
      </c>
      <c r="C2117" s="5" t="s">
        <v>4068</v>
      </c>
      <c r="D2117" t="s">
        <v>4068</v>
      </c>
      <c r="G2117" t="s">
        <v>6159</v>
      </c>
    </row>
    <row r="2118" spans="1:7" x14ac:dyDescent="0.25">
      <c r="A2118" t="s">
        <v>2876</v>
      </c>
      <c r="B2118" s="5">
        <v>42325</v>
      </c>
      <c r="C2118" s="5" t="s">
        <v>4069</v>
      </c>
      <c r="D2118" t="s">
        <v>4069</v>
      </c>
      <c r="G2118" t="s">
        <v>6159</v>
      </c>
    </row>
    <row r="2119" spans="1:7" x14ac:dyDescent="0.25">
      <c r="A2119" t="s">
        <v>315</v>
      </c>
      <c r="B2119" s="5">
        <v>41249</v>
      </c>
      <c r="C2119" s="5" t="s">
        <v>4070</v>
      </c>
      <c r="D2119" t="s">
        <v>4070</v>
      </c>
      <c r="G2119" t="s">
        <v>6159</v>
      </c>
    </row>
    <row r="2120" spans="1:7" x14ac:dyDescent="0.25">
      <c r="A2120" t="s">
        <v>19</v>
      </c>
      <c r="B2120" s="5">
        <v>41743</v>
      </c>
      <c r="C2120" s="5" t="s">
        <v>4071</v>
      </c>
      <c r="D2120" t="s">
        <v>4071</v>
      </c>
      <c r="G2120" t="s">
        <v>6159</v>
      </c>
    </row>
    <row r="2121" spans="1:7" x14ac:dyDescent="0.25">
      <c r="A2121" t="s">
        <v>2827</v>
      </c>
      <c r="B2121" s="5">
        <v>41240</v>
      </c>
      <c r="C2121" s="5" t="s">
        <v>4072</v>
      </c>
      <c r="D2121" t="s">
        <v>4072</v>
      </c>
      <c r="G2121" t="s">
        <v>6159</v>
      </c>
    </row>
    <row r="2122" spans="1:7" x14ac:dyDescent="0.25">
      <c r="A2122" t="s">
        <v>203</v>
      </c>
      <c r="B2122" s="5">
        <v>41240</v>
      </c>
      <c r="C2122" s="5" t="s">
        <v>4073</v>
      </c>
      <c r="D2122" t="s">
        <v>4073</v>
      </c>
      <c r="G2122" t="s">
        <v>6159</v>
      </c>
    </row>
    <row r="2123" spans="1:7" x14ac:dyDescent="0.25">
      <c r="A2123" t="s">
        <v>187</v>
      </c>
      <c r="B2123" s="5">
        <v>41240</v>
      </c>
      <c r="C2123" s="5" t="s">
        <v>4074</v>
      </c>
      <c r="D2123" t="s">
        <v>4074</v>
      </c>
      <c r="G2123" t="s">
        <v>6159</v>
      </c>
    </row>
    <row r="2124" spans="1:7" x14ac:dyDescent="0.25">
      <c r="A2124" t="s">
        <v>245</v>
      </c>
      <c r="B2124" s="5">
        <v>41247</v>
      </c>
      <c r="C2124" s="5" t="s">
        <v>4075</v>
      </c>
      <c r="D2124" t="s">
        <v>4075</v>
      </c>
      <c r="G2124" t="s">
        <v>6159</v>
      </c>
    </row>
    <row r="2125" spans="1:7" x14ac:dyDescent="0.25">
      <c r="A2125" t="s">
        <v>45</v>
      </c>
      <c r="B2125" s="5">
        <v>42325</v>
      </c>
      <c r="C2125" s="5" t="s">
        <v>4076</v>
      </c>
      <c r="D2125" t="s">
        <v>4076</v>
      </c>
      <c r="G2125" t="s">
        <v>6159</v>
      </c>
    </row>
    <row r="2126" spans="1:7" x14ac:dyDescent="0.25">
      <c r="A2126" t="s">
        <v>313</v>
      </c>
      <c r="B2126" s="5">
        <v>41249</v>
      </c>
      <c r="C2126" s="5" t="s">
        <v>4077</v>
      </c>
      <c r="D2126" t="s">
        <v>4077</v>
      </c>
      <c r="G2126" t="s">
        <v>6159</v>
      </c>
    </row>
    <row r="2127" spans="1:7" x14ac:dyDescent="0.25">
      <c r="A2127" t="s">
        <v>163</v>
      </c>
      <c r="B2127" s="5">
        <v>42318</v>
      </c>
      <c r="C2127" s="5" t="s">
        <v>4078</v>
      </c>
      <c r="D2127" t="s">
        <v>4078</v>
      </c>
      <c r="G2127" t="s">
        <v>6159</v>
      </c>
    </row>
    <row r="2128" spans="1:7" x14ac:dyDescent="0.25">
      <c r="A2128" t="s">
        <v>49</v>
      </c>
      <c r="B2128" s="5">
        <v>42318</v>
      </c>
      <c r="C2128" s="5" t="s">
        <v>4079</v>
      </c>
      <c r="D2128" t="s">
        <v>4079</v>
      </c>
      <c r="G2128" t="s">
        <v>6159</v>
      </c>
    </row>
    <row r="2129" spans="1:7" x14ac:dyDescent="0.25">
      <c r="A2129" t="s">
        <v>179</v>
      </c>
      <c r="B2129" s="5">
        <v>42459</v>
      </c>
      <c r="C2129" s="5" t="s">
        <v>4080</v>
      </c>
      <c r="D2129" t="s">
        <v>4080</v>
      </c>
      <c r="G2129" t="s">
        <v>6159</v>
      </c>
    </row>
    <row r="2130" spans="1:7" x14ac:dyDescent="0.25">
      <c r="A2130" t="s">
        <v>2879</v>
      </c>
      <c r="B2130" s="5">
        <v>42311</v>
      </c>
      <c r="C2130" s="5" t="s">
        <v>4081</v>
      </c>
      <c r="D2130" t="s">
        <v>4081</v>
      </c>
      <c r="G2130" t="s">
        <v>6159</v>
      </c>
    </row>
    <row r="2131" spans="1:7" x14ac:dyDescent="0.25">
      <c r="A2131" t="s">
        <v>31</v>
      </c>
      <c r="B2131" s="5">
        <v>42310</v>
      </c>
      <c r="C2131" s="5" t="s">
        <v>4082</v>
      </c>
      <c r="D2131" t="s">
        <v>4082</v>
      </c>
      <c r="G2131" t="s">
        <v>6159</v>
      </c>
    </row>
    <row r="2132" spans="1:7" x14ac:dyDescent="0.25">
      <c r="A2132" t="s">
        <v>50</v>
      </c>
      <c r="B2132" s="5">
        <v>42310</v>
      </c>
      <c r="C2132" s="5" t="s">
        <v>4083</v>
      </c>
      <c r="D2132" t="s">
        <v>4083</v>
      </c>
      <c r="G2132" t="s">
        <v>6159</v>
      </c>
    </row>
    <row r="2133" spans="1:7" x14ac:dyDescent="0.25">
      <c r="A2133" t="s">
        <v>250</v>
      </c>
      <c r="B2133" s="5">
        <v>42304</v>
      </c>
      <c r="C2133" s="5" t="s">
        <v>4084</v>
      </c>
      <c r="D2133" t="s">
        <v>4084</v>
      </c>
      <c r="G2133" t="s">
        <v>6159</v>
      </c>
    </row>
    <row r="2134" spans="1:7" x14ac:dyDescent="0.25">
      <c r="A2134" t="s">
        <v>2881</v>
      </c>
      <c r="B2134" s="5">
        <v>42303</v>
      </c>
      <c r="C2134" s="5" t="s">
        <v>4085</v>
      </c>
      <c r="D2134" t="s">
        <v>4085</v>
      </c>
      <c r="G2134" t="s">
        <v>6159</v>
      </c>
    </row>
    <row r="2135" spans="1:7" x14ac:dyDescent="0.25">
      <c r="A2135" t="s">
        <v>2816</v>
      </c>
      <c r="B2135" s="5">
        <v>42303</v>
      </c>
      <c r="C2135" s="5" t="s">
        <v>4086</v>
      </c>
      <c r="D2135" t="s">
        <v>4086</v>
      </c>
      <c r="G2135" t="s">
        <v>6159</v>
      </c>
    </row>
    <row r="2136" spans="1:7" x14ac:dyDescent="0.25">
      <c r="A2136" t="s">
        <v>2882</v>
      </c>
      <c r="B2136" s="5">
        <v>42303</v>
      </c>
      <c r="C2136" s="5" t="s">
        <v>4087</v>
      </c>
      <c r="D2136" t="s">
        <v>4087</v>
      </c>
      <c r="G2136" t="s">
        <v>6159</v>
      </c>
    </row>
    <row r="2137" spans="1:7" x14ac:dyDescent="0.25">
      <c r="A2137" t="s">
        <v>2883</v>
      </c>
      <c r="B2137" s="5">
        <v>41254</v>
      </c>
      <c r="C2137" s="5" t="s">
        <v>4088</v>
      </c>
      <c r="D2137" t="s">
        <v>4088</v>
      </c>
      <c r="G2137" t="s">
        <v>6159</v>
      </c>
    </row>
    <row r="2138" spans="1:7" x14ac:dyDescent="0.25">
      <c r="A2138" t="s">
        <v>2864</v>
      </c>
      <c r="B2138" s="5">
        <v>41367</v>
      </c>
      <c r="C2138" s="5" t="s">
        <v>4089</v>
      </c>
      <c r="D2138" t="s">
        <v>4089</v>
      </c>
      <c r="G2138" t="s">
        <v>6159</v>
      </c>
    </row>
    <row r="2139" spans="1:7" x14ac:dyDescent="0.25">
      <c r="A2139" t="s">
        <v>173</v>
      </c>
      <c r="B2139" s="5">
        <v>41715</v>
      </c>
      <c r="C2139" s="5" t="s">
        <v>4090</v>
      </c>
      <c r="D2139" t="s">
        <v>4090</v>
      </c>
      <c r="G2139" t="s">
        <v>6159</v>
      </c>
    </row>
    <row r="2140" spans="1:7" x14ac:dyDescent="0.25">
      <c r="A2140" t="s">
        <v>274</v>
      </c>
      <c r="B2140" s="5">
        <v>41254</v>
      </c>
      <c r="C2140" s="5" t="s">
        <v>4091</v>
      </c>
      <c r="D2140" t="s">
        <v>4091</v>
      </c>
      <c r="G2140" t="s">
        <v>6159</v>
      </c>
    </row>
    <row r="2141" spans="1:7" x14ac:dyDescent="0.25">
      <c r="A2141" t="s">
        <v>36</v>
      </c>
      <c r="B2141" s="5">
        <v>42298</v>
      </c>
      <c r="C2141" s="5" t="s">
        <v>4092</v>
      </c>
      <c r="D2141" t="s">
        <v>4092</v>
      </c>
      <c r="G2141" t="s">
        <v>6159</v>
      </c>
    </row>
    <row r="2142" spans="1:7" x14ac:dyDescent="0.25">
      <c r="A2142" t="s">
        <v>2884</v>
      </c>
      <c r="B2142" s="5">
        <v>42297</v>
      </c>
      <c r="C2142" s="5" t="s">
        <v>4093</v>
      </c>
      <c r="D2142" t="s">
        <v>4093</v>
      </c>
      <c r="G2142" t="s">
        <v>6159</v>
      </c>
    </row>
    <row r="2143" spans="1:7" x14ac:dyDescent="0.25">
      <c r="A2143" t="s">
        <v>43</v>
      </c>
      <c r="B2143" s="5">
        <v>41696</v>
      </c>
      <c r="C2143" s="5" t="s">
        <v>4094</v>
      </c>
      <c r="D2143" t="s">
        <v>4094</v>
      </c>
      <c r="G2143" t="s">
        <v>6159</v>
      </c>
    </row>
    <row r="2144" spans="1:7" x14ac:dyDescent="0.25">
      <c r="A2144" t="s">
        <v>2852</v>
      </c>
      <c r="B2144" s="5">
        <v>42297</v>
      </c>
      <c r="C2144" s="5" t="s">
        <v>4095</v>
      </c>
      <c r="D2144" t="s">
        <v>4095</v>
      </c>
      <c r="G2144" t="s">
        <v>6159</v>
      </c>
    </row>
    <row r="2145" spans="1:7" x14ac:dyDescent="0.25">
      <c r="A2145" t="s">
        <v>72</v>
      </c>
      <c r="B2145" s="5">
        <v>42297</v>
      </c>
      <c r="C2145" s="5" t="s">
        <v>4096</v>
      </c>
      <c r="D2145" t="s">
        <v>4096</v>
      </c>
      <c r="G2145" t="s">
        <v>6159</v>
      </c>
    </row>
    <row r="2146" spans="1:7" x14ac:dyDescent="0.25">
      <c r="A2146" t="s">
        <v>2839</v>
      </c>
      <c r="B2146" s="5">
        <v>41289</v>
      </c>
      <c r="C2146" s="5" t="s">
        <v>4097</v>
      </c>
      <c r="D2146" t="s">
        <v>4097</v>
      </c>
      <c r="G2146" t="s">
        <v>6159</v>
      </c>
    </row>
    <row r="2147" spans="1:7" x14ac:dyDescent="0.25">
      <c r="A2147" t="s">
        <v>151</v>
      </c>
      <c r="B2147" s="5">
        <v>41696</v>
      </c>
      <c r="C2147" s="5" t="s">
        <v>4098</v>
      </c>
      <c r="D2147" t="s">
        <v>4098</v>
      </c>
      <c r="G2147" t="s">
        <v>6159</v>
      </c>
    </row>
    <row r="2148" spans="1:7" x14ac:dyDescent="0.25">
      <c r="A2148" t="s">
        <v>231</v>
      </c>
      <c r="B2148" s="5">
        <v>41260</v>
      </c>
      <c r="C2148" s="5" t="s">
        <v>4099</v>
      </c>
      <c r="D2148" t="s">
        <v>4099</v>
      </c>
      <c r="G2148" t="s">
        <v>6159</v>
      </c>
    </row>
    <row r="2149" spans="1:7" x14ac:dyDescent="0.25">
      <c r="A2149" t="s">
        <v>244</v>
      </c>
      <c r="B2149" s="5">
        <v>41248</v>
      </c>
      <c r="C2149" s="5" t="s">
        <v>4100</v>
      </c>
      <c r="D2149" t="s">
        <v>4100</v>
      </c>
      <c r="G2149" t="s">
        <v>6159</v>
      </c>
    </row>
    <row r="2150" spans="1:7" x14ac:dyDescent="0.25">
      <c r="A2150" t="s">
        <v>2878</v>
      </c>
      <c r="B2150" s="5">
        <v>42290</v>
      </c>
      <c r="C2150" s="5" t="s">
        <v>4101</v>
      </c>
      <c r="D2150" t="s">
        <v>4101</v>
      </c>
      <c r="G2150" t="s">
        <v>6159</v>
      </c>
    </row>
    <row r="2151" spans="1:7" x14ac:dyDescent="0.25">
      <c r="A2151" t="s">
        <v>2885</v>
      </c>
      <c r="B2151" s="5">
        <v>41248</v>
      </c>
      <c r="C2151" s="5" t="s">
        <v>4102</v>
      </c>
      <c r="D2151" t="s">
        <v>4102</v>
      </c>
      <c r="G2151" t="s">
        <v>6159</v>
      </c>
    </row>
    <row r="2152" spans="1:7" x14ac:dyDescent="0.25">
      <c r="A2152" t="s">
        <v>2886</v>
      </c>
      <c r="B2152" s="5">
        <v>42264</v>
      </c>
      <c r="C2152" s="5" t="s">
        <v>4103</v>
      </c>
      <c r="D2152" t="s">
        <v>4103</v>
      </c>
      <c r="G2152" t="s">
        <v>6159</v>
      </c>
    </row>
    <row r="2153" spans="1:7" x14ac:dyDescent="0.25">
      <c r="A2153" t="s">
        <v>2887</v>
      </c>
      <c r="B2153" s="5">
        <v>42263</v>
      </c>
      <c r="C2153" s="5" t="s">
        <v>4104</v>
      </c>
      <c r="D2153" t="s">
        <v>4104</v>
      </c>
      <c r="G2153" t="s">
        <v>6159</v>
      </c>
    </row>
    <row r="2154" spans="1:7" x14ac:dyDescent="0.25">
      <c r="A2154" t="s">
        <v>2888</v>
      </c>
      <c r="B2154" s="5">
        <v>42263</v>
      </c>
      <c r="C2154" s="5" t="s">
        <v>4105</v>
      </c>
      <c r="D2154" t="s">
        <v>4105</v>
      </c>
      <c r="G2154" t="s">
        <v>6159</v>
      </c>
    </row>
    <row r="2155" spans="1:7" x14ac:dyDescent="0.25">
      <c r="A2155" t="s">
        <v>2816</v>
      </c>
      <c r="B2155" s="5">
        <v>42263</v>
      </c>
      <c r="C2155" s="5" t="s">
        <v>4106</v>
      </c>
      <c r="D2155" t="s">
        <v>4106</v>
      </c>
      <c r="G2155" t="s">
        <v>6159</v>
      </c>
    </row>
    <row r="2156" spans="1:7" x14ac:dyDescent="0.25">
      <c r="A2156" t="s">
        <v>346</v>
      </c>
      <c r="B2156" s="5">
        <v>41283</v>
      </c>
      <c r="C2156" s="5" t="s">
        <v>4107</v>
      </c>
      <c r="D2156" t="s">
        <v>4107</v>
      </c>
      <c r="G2156" t="s">
        <v>6159</v>
      </c>
    </row>
    <row r="2157" spans="1:7" x14ac:dyDescent="0.25">
      <c r="A2157" t="s">
        <v>199</v>
      </c>
      <c r="B2157" s="5">
        <v>41281</v>
      </c>
      <c r="C2157" s="5" t="s">
        <v>4108</v>
      </c>
      <c r="D2157" t="s">
        <v>4108</v>
      </c>
      <c r="G2157" t="s">
        <v>6159</v>
      </c>
    </row>
    <row r="2158" spans="1:7" x14ac:dyDescent="0.25">
      <c r="A2158" t="s">
        <v>357</v>
      </c>
      <c r="B2158" s="5">
        <v>41282</v>
      </c>
      <c r="C2158" s="5" t="s">
        <v>4109</v>
      </c>
      <c r="D2158" t="s">
        <v>4109</v>
      </c>
      <c r="G2158" t="s">
        <v>6159</v>
      </c>
    </row>
    <row r="2159" spans="1:7" x14ac:dyDescent="0.25">
      <c r="A2159" t="s">
        <v>333</v>
      </c>
      <c r="B2159" s="5">
        <v>41281</v>
      </c>
      <c r="C2159" s="5" t="s">
        <v>4110</v>
      </c>
      <c r="D2159" t="s">
        <v>4110</v>
      </c>
      <c r="G2159" t="s">
        <v>6159</v>
      </c>
    </row>
    <row r="2160" spans="1:7" x14ac:dyDescent="0.25">
      <c r="A2160" t="s">
        <v>329</v>
      </c>
      <c r="B2160" s="5">
        <v>41604</v>
      </c>
      <c r="C2160" s="5" t="s">
        <v>4111</v>
      </c>
      <c r="D2160" t="s">
        <v>4111</v>
      </c>
      <c r="G2160" t="s">
        <v>6159</v>
      </c>
    </row>
    <row r="2161" spans="1:7" x14ac:dyDescent="0.25">
      <c r="A2161" t="s">
        <v>112</v>
      </c>
      <c r="B2161" s="5">
        <v>41534</v>
      </c>
      <c r="C2161" s="5" t="s">
        <v>4112</v>
      </c>
      <c r="D2161" t="s">
        <v>4112</v>
      </c>
      <c r="G2161" t="s">
        <v>6159</v>
      </c>
    </row>
    <row r="2162" spans="1:7" x14ac:dyDescent="0.25">
      <c r="A2162" t="s">
        <v>216</v>
      </c>
      <c r="B2162" s="5">
        <v>41298</v>
      </c>
      <c r="C2162" s="5" t="s">
        <v>4113</v>
      </c>
      <c r="D2162" t="s">
        <v>4113</v>
      </c>
      <c r="G2162" t="s">
        <v>6159</v>
      </c>
    </row>
    <row r="2163" spans="1:7" x14ac:dyDescent="0.25">
      <c r="A2163" t="s">
        <v>2853</v>
      </c>
      <c r="B2163" s="5">
        <v>41304</v>
      </c>
      <c r="C2163" s="5" t="s">
        <v>4114</v>
      </c>
      <c r="D2163" t="s">
        <v>4114</v>
      </c>
      <c r="G2163" t="s">
        <v>6159</v>
      </c>
    </row>
    <row r="2164" spans="1:7" x14ac:dyDescent="0.25">
      <c r="A2164" t="s">
        <v>244</v>
      </c>
      <c r="B2164" s="5">
        <v>41318</v>
      </c>
      <c r="C2164" s="5" t="s">
        <v>4115</v>
      </c>
      <c r="D2164" t="s">
        <v>4115</v>
      </c>
      <c r="G2164" t="s">
        <v>6159</v>
      </c>
    </row>
    <row r="2165" spans="1:7" x14ac:dyDescent="0.25">
      <c r="A2165" t="s">
        <v>186</v>
      </c>
      <c r="B2165" s="5">
        <v>41303</v>
      </c>
      <c r="C2165" s="5" t="s">
        <v>4116</v>
      </c>
      <c r="D2165" t="s">
        <v>4116</v>
      </c>
      <c r="G2165" t="s">
        <v>6159</v>
      </c>
    </row>
    <row r="2166" spans="1:7" x14ac:dyDescent="0.25">
      <c r="A2166" t="s">
        <v>2860</v>
      </c>
      <c r="B2166" s="5">
        <v>41303</v>
      </c>
      <c r="C2166" s="5" t="s">
        <v>4117</v>
      </c>
      <c r="D2166" t="s">
        <v>4117</v>
      </c>
      <c r="G2166" t="s">
        <v>6159</v>
      </c>
    </row>
    <row r="2167" spans="1:7" x14ac:dyDescent="0.25">
      <c r="A2167" t="s">
        <v>2872</v>
      </c>
      <c r="B2167" s="5">
        <v>41332</v>
      </c>
      <c r="C2167" s="5" t="s">
        <v>4118</v>
      </c>
      <c r="D2167" t="s">
        <v>4118</v>
      </c>
      <c r="G2167" t="s">
        <v>6159</v>
      </c>
    </row>
    <row r="2168" spans="1:7" x14ac:dyDescent="0.25">
      <c r="A2168" t="s">
        <v>126</v>
      </c>
      <c r="B2168" s="5">
        <v>41304</v>
      </c>
      <c r="C2168" s="5" t="s">
        <v>4119</v>
      </c>
      <c r="D2168" t="s">
        <v>4119</v>
      </c>
      <c r="G2168" t="s">
        <v>6159</v>
      </c>
    </row>
    <row r="2169" spans="1:7" x14ac:dyDescent="0.25">
      <c r="A2169" t="s">
        <v>187</v>
      </c>
      <c r="B2169" s="5">
        <v>41312</v>
      </c>
      <c r="C2169" s="5" t="s">
        <v>4120</v>
      </c>
      <c r="D2169" t="s">
        <v>4120</v>
      </c>
      <c r="G2169" t="s">
        <v>6159</v>
      </c>
    </row>
    <row r="2170" spans="1:7" x14ac:dyDescent="0.25">
      <c r="A2170" t="s">
        <v>181</v>
      </c>
      <c r="B2170" s="5">
        <v>42249</v>
      </c>
      <c r="C2170" s="5" t="s">
        <v>4121</v>
      </c>
      <c r="D2170" t="s">
        <v>4121</v>
      </c>
      <c r="G2170" t="s">
        <v>6159</v>
      </c>
    </row>
    <row r="2171" spans="1:7" x14ac:dyDescent="0.25">
      <c r="A2171" t="s">
        <v>129</v>
      </c>
      <c r="B2171" s="5">
        <v>41590</v>
      </c>
      <c r="C2171" s="5" t="s">
        <v>4122</v>
      </c>
      <c r="D2171" t="s">
        <v>4122</v>
      </c>
      <c r="G2171" t="s">
        <v>6159</v>
      </c>
    </row>
    <row r="2172" spans="1:7" x14ac:dyDescent="0.25">
      <c r="A2172" t="s">
        <v>200</v>
      </c>
      <c r="B2172" s="5">
        <v>41327</v>
      </c>
      <c r="C2172" s="5" t="s">
        <v>4123</v>
      </c>
      <c r="D2172" t="s">
        <v>4123</v>
      </c>
      <c r="G2172" t="s">
        <v>6159</v>
      </c>
    </row>
    <row r="2173" spans="1:7" x14ac:dyDescent="0.25">
      <c r="A2173" t="s">
        <v>240</v>
      </c>
      <c r="B2173" s="5">
        <v>41332</v>
      </c>
      <c r="C2173" s="5" t="s">
        <v>4124</v>
      </c>
      <c r="D2173" t="s">
        <v>4124</v>
      </c>
      <c r="G2173" t="s">
        <v>6159</v>
      </c>
    </row>
    <row r="2174" spans="1:7" x14ac:dyDescent="0.25">
      <c r="A2174" t="s">
        <v>247</v>
      </c>
      <c r="B2174" s="5">
        <v>41339</v>
      </c>
      <c r="C2174" s="5" t="s">
        <v>4125</v>
      </c>
      <c r="D2174" t="s">
        <v>4125</v>
      </c>
      <c r="G2174" t="s">
        <v>6159</v>
      </c>
    </row>
    <row r="2175" spans="1:7" x14ac:dyDescent="0.25">
      <c r="A2175" t="s">
        <v>326</v>
      </c>
      <c r="B2175" s="5">
        <v>41333</v>
      </c>
      <c r="C2175" s="5" t="s">
        <v>4126</v>
      </c>
      <c r="D2175" t="s">
        <v>4126</v>
      </c>
      <c r="G2175" t="s">
        <v>6159</v>
      </c>
    </row>
    <row r="2176" spans="1:7" x14ac:dyDescent="0.25">
      <c r="A2176" t="s">
        <v>346</v>
      </c>
      <c r="B2176" s="5">
        <v>41333</v>
      </c>
      <c r="C2176" s="5" t="s">
        <v>4127</v>
      </c>
      <c r="D2176" t="s">
        <v>4127</v>
      </c>
      <c r="G2176" t="s">
        <v>6159</v>
      </c>
    </row>
    <row r="2177" spans="1:7" x14ac:dyDescent="0.25">
      <c r="A2177" t="s">
        <v>315</v>
      </c>
      <c r="B2177" s="5">
        <v>41346</v>
      </c>
      <c r="C2177" s="5" t="s">
        <v>4128</v>
      </c>
      <c r="D2177" t="s">
        <v>4128</v>
      </c>
      <c r="G2177" t="s">
        <v>6159</v>
      </c>
    </row>
    <row r="2178" spans="1:7" x14ac:dyDescent="0.25">
      <c r="A2178" t="s">
        <v>104</v>
      </c>
      <c r="B2178" s="5">
        <v>42233</v>
      </c>
      <c r="C2178" s="5" t="s">
        <v>4129</v>
      </c>
      <c r="D2178" t="s">
        <v>4129</v>
      </c>
      <c r="G2178" t="s">
        <v>6159</v>
      </c>
    </row>
    <row r="2179" spans="1:7" x14ac:dyDescent="0.25">
      <c r="A2179" t="s">
        <v>333</v>
      </c>
      <c r="B2179" s="5">
        <v>41332</v>
      </c>
      <c r="C2179" s="5" t="s">
        <v>4130</v>
      </c>
      <c r="D2179" t="s">
        <v>4130</v>
      </c>
      <c r="G2179" t="s">
        <v>6159</v>
      </c>
    </row>
    <row r="2180" spans="1:7" x14ac:dyDescent="0.25">
      <c r="A2180" t="s">
        <v>2858</v>
      </c>
      <c r="B2180" s="5">
        <v>41347</v>
      </c>
      <c r="C2180" s="5" t="s">
        <v>4131</v>
      </c>
      <c r="D2180" t="s">
        <v>4131</v>
      </c>
      <c r="G2180" t="s">
        <v>6159</v>
      </c>
    </row>
    <row r="2181" spans="1:7" x14ac:dyDescent="0.25">
      <c r="A2181" t="s">
        <v>355</v>
      </c>
      <c r="B2181" s="5">
        <v>42229</v>
      </c>
      <c r="C2181" s="5" t="s">
        <v>4132</v>
      </c>
      <c r="D2181" t="s">
        <v>4132</v>
      </c>
      <c r="G2181" t="s">
        <v>6159</v>
      </c>
    </row>
    <row r="2182" spans="1:7" x14ac:dyDescent="0.25">
      <c r="A2182" t="s">
        <v>274</v>
      </c>
      <c r="B2182" s="5">
        <v>41330</v>
      </c>
      <c r="C2182" s="5" t="s">
        <v>4133</v>
      </c>
      <c r="D2182" t="s">
        <v>4133</v>
      </c>
      <c r="G2182" t="s">
        <v>6159</v>
      </c>
    </row>
    <row r="2183" spans="1:7" x14ac:dyDescent="0.25">
      <c r="A2183" t="s">
        <v>193</v>
      </c>
      <c r="B2183" s="5">
        <v>41330</v>
      </c>
      <c r="C2183" s="5" t="s">
        <v>4134</v>
      </c>
      <c r="D2183" t="s">
        <v>4134</v>
      </c>
      <c r="G2183" t="s">
        <v>6159</v>
      </c>
    </row>
    <row r="2184" spans="1:7" x14ac:dyDescent="0.25">
      <c r="A2184" t="s">
        <v>266</v>
      </c>
      <c r="B2184" s="5">
        <v>41330</v>
      </c>
      <c r="C2184" s="5" t="s">
        <v>4135</v>
      </c>
      <c r="D2184" t="s">
        <v>4135</v>
      </c>
      <c r="G2184" t="s">
        <v>6159</v>
      </c>
    </row>
    <row r="2185" spans="1:7" x14ac:dyDescent="0.25">
      <c r="A2185" t="s">
        <v>2883</v>
      </c>
      <c r="B2185" s="5">
        <v>41330</v>
      </c>
      <c r="C2185" s="5" t="s">
        <v>4136</v>
      </c>
      <c r="D2185" t="s">
        <v>4136</v>
      </c>
      <c r="G2185" t="s">
        <v>6159</v>
      </c>
    </row>
    <row r="2186" spans="1:7" x14ac:dyDescent="0.25">
      <c r="A2186" t="s">
        <v>230</v>
      </c>
      <c r="B2186" s="5">
        <v>41352</v>
      </c>
      <c r="C2186" s="5" t="s">
        <v>4137</v>
      </c>
      <c r="D2186" t="s">
        <v>4137</v>
      </c>
      <c r="G2186" t="s">
        <v>6159</v>
      </c>
    </row>
    <row r="2187" spans="1:7" x14ac:dyDescent="0.25">
      <c r="A2187" t="s">
        <v>313</v>
      </c>
      <c r="B2187" s="5">
        <v>41351</v>
      </c>
      <c r="C2187" s="5" t="s">
        <v>4138</v>
      </c>
      <c r="D2187" t="s">
        <v>4138</v>
      </c>
      <c r="G2187" t="s">
        <v>6159</v>
      </c>
    </row>
    <row r="2188" spans="1:7" x14ac:dyDescent="0.25">
      <c r="A2188" t="s">
        <v>213</v>
      </c>
      <c r="B2188" s="5">
        <v>41351</v>
      </c>
      <c r="C2188" s="5" t="s">
        <v>4139</v>
      </c>
      <c r="D2188" t="s">
        <v>4139</v>
      </c>
      <c r="G2188" t="s">
        <v>6159</v>
      </c>
    </row>
    <row r="2189" spans="1:7" x14ac:dyDescent="0.25">
      <c r="A2189" t="s">
        <v>194</v>
      </c>
      <c r="B2189" s="5">
        <v>41331</v>
      </c>
      <c r="C2189" s="5" t="s">
        <v>4140</v>
      </c>
      <c r="D2189" t="s">
        <v>4140</v>
      </c>
      <c r="G2189" t="s">
        <v>6159</v>
      </c>
    </row>
    <row r="2190" spans="1:7" x14ac:dyDescent="0.25">
      <c r="A2190" t="s">
        <v>269</v>
      </c>
      <c r="B2190" s="5">
        <v>41353</v>
      </c>
      <c r="C2190" s="5" t="s">
        <v>4141</v>
      </c>
      <c r="D2190" t="s">
        <v>4141</v>
      </c>
      <c r="G2190" t="s">
        <v>6159</v>
      </c>
    </row>
    <row r="2191" spans="1:7" x14ac:dyDescent="0.25">
      <c r="A2191" t="s">
        <v>2878</v>
      </c>
      <c r="B2191" s="5">
        <v>42193</v>
      </c>
      <c r="C2191" s="5" t="s">
        <v>4142</v>
      </c>
      <c r="D2191" t="s">
        <v>4142</v>
      </c>
      <c r="G2191" t="s">
        <v>6159</v>
      </c>
    </row>
    <row r="2192" spans="1:7" x14ac:dyDescent="0.25">
      <c r="A2192" t="s">
        <v>212</v>
      </c>
      <c r="B2192" s="5">
        <v>41353</v>
      </c>
      <c r="C2192" s="5" t="s">
        <v>4143</v>
      </c>
      <c r="D2192" t="s">
        <v>4143</v>
      </c>
      <c r="G2192" t="s">
        <v>6159</v>
      </c>
    </row>
    <row r="2193" spans="1:7" x14ac:dyDescent="0.25">
      <c r="A2193" t="s">
        <v>250</v>
      </c>
      <c r="B2193" s="5">
        <v>41353</v>
      </c>
      <c r="C2193" s="5" t="s">
        <v>4144</v>
      </c>
      <c r="D2193" t="s">
        <v>4144</v>
      </c>
      <c r="G2193" t="s">
        <v>6159</v>
      </c>
    </row>
    <row r="2194" spans="1:7" x14ac:dyDescent="0.25">
      <c r="A2194" t="s">
        <v>216</v>
      </c>
      <c r="B2194" s="5">
        <v>42031</v>
      </c>
      <c r="C2194" s="5" t="s">
        <v>4145</v>
      </c>
      <c r="D2194" t="s">
        <v>4145</v>
      </c>
      <c r="G2194" t="s">
        <v>6159</v>
      </c>
    </row>
    <row r="2195" spans="1:7" x14ac:dyDescent="0.25">
      <c r="A2195" t="s">
        <v>56</v>
      </c>
      <c r="B2195" s="5">
        <v>41543</v>
      </c>
      <c r="C2195" s="5" t="s">
        <v>4146</v>
      </c>
      <c r="D2195" t="s">
        <v>4146</v>
      </c>
      <c r="G2195" t="s">
        <v>6159</v>
      </c>
    </row>
    <row r="2196" spans="1:7" x14ac:dyDescent="0.25">
      <c r="A2196" t="s">
        <v>83</v>
      </c>
      <c r="B2196" s="5">
        <v>41542</v>
      </c>
      <c r="C2196" s="5" t="s">
        <v>4147</v>
      </c>
      <c r="D2196" t="s">
        <v>4147</v>
      </c>
      <c r="G2196" t="s">
        <v>6159</v>
      </c>
    </row>
    <row r="2197" spans="1:7" x14ac:dyDescent="0.25">
      <c r="A2197" t="s">
        <v>87</v>
      </c>
      <c r="B2197" s="5">
        <v>41542</v>
      </c>
      <c r="C2197" s="5" t="s">
        <v>4148</v>
      </c>
      <c r="D2197" t="s">
        <v>4148</v>
      </c>
      <c r="G2197" t="s">
        <v>6159</v>
      </c>
    </row>
    <row r="2198" spans="1:7" x14ac:dyDescent="0.25">
      <c r="A2198" t="s">
        <v>68</v>
      </c>
      <c r="B2198" s="5">
        <v>41541</v>
      </c>
      <c r="C2198" s="5" t="s">
        <v>4149</v>
      </c>
      <c r="D2198" t="s">
        <v>4149</v>
      </c>
      <c r="G2198" t="s">
        <v>6159</v>
      </c>
    </row>
    <row r="2199" spans="1:7" x14ac:dyDescent="0.25">
      <c r="A2199" t="s">
        <v>60</v>
      </c>
      <c r="B2199" s="5">
        <v>41535</v>
      </c>
      <c r="C2199" s="5" t="s">
        <v>4150</v>
      </c>
      <c r="D2199" t="s">
        <v>4150</v>
      </c>
      <c r="G2199" t="s">
        <v>6159</v>
      </c>
    </row>
    <row r="2200" spans="1:7" x14ac:dyDescent="0.25">
      <c r="A2200" t="s">
        <v>2883</v>
      </c>
      <c r="B2200" s="5">
        <v>41386</v>
      </c>
      <c r="C2200" s="5" t="s">
        <v>4151</v>
      </c>
      <c r="D2200" t="s">
        <v>4151</v>
      </c>
      <c r="G2200" t="s">
        <v>6159</v>
      </c>
    </row>
    <row r="2201" spans="1:7" x14ac:dyDescent="0.25">
      <c r="A2201" t="s">
        <v>173</v>
      </c>
      <c r="B2201" s="5">
        <v>41534</v>
      </c>
      <c r="C2201" s="5" t="s">
        <v>4152</v>
      </c>
      <c r="D2201" t="s">
        <v>4152</v>
      </c>
      <c r="G2201" t="s">
        <v>6159</v>
      </c>
    </row>
    <row r="2202" spans="1:7" x14ac:dyDescent="0.25">
      <c r="A2202" t="s">
        <v>16</v>
      </c>
      <c r="B2202" s="5">
        <v>41534</v>
      </c>
      <c r="C2202" s="5" t="s">
        <v>4153</v>
      </c>
      <c r="D2202" t="s">
        <v>4153</v>
      </c>
      <c r="G2202" t="s">
        <v>6159</v>
      </c>
    </row>
    <row r="2203" spans="1:7" x14ac:dyDescent="0.25">
      <c r="A2203" t="s">
        <v>53</v>
      </c>
      <c r="B2203" s="5">
        <v>41534</v>
      </c>
      <c r="C2203" s="5" t="s">
        <v>4154</v>
      </c>
      <c r="D2203" t="s">
        <v>4154</v>
      </c>
      <c r="G2203" t="s">
        <v>6159</v>
      </c>
    </row>
    <row r="2204" spans="1:7" x14ac:dyDescent="0.25">
      <c r="A2204" t="s">
        <v>343</v>
      </c>
      <c r="B2204" s="5">
        <v>42094</v>
      </c>
      <c r="C2204" s="5" t="s">
        <v>4155</v>
      </c>
      <c r="D2204" t="s">
        <v>4155</v>
      </c>
      <c r="G2204" t="s">
        <v>6159</v>
      </c>
    </row>
    <row r="2205" spans="1:7" x14ac:dyDescent="0.25">
      <c r="A2205" t="s">
        <v>2852</v>
      </c>
      <c r="B2205" s="5">
        <v>42234</v>
      </c>
      <c r="C2205" s="5" t="s">
        <v>4156</v>
      </c>
      <c r="D2205" t="s">
        <v>4156</v>
      </c>
      <c r="G2205" t="s">
        <v>6159</v>
      </c>
    </row>
    <row r="2206" spans="1:7" x14ac:dyDescent="0.25">
      <c r="A2206" t="s">
        <v>39</v>
      </c>
      <c r="B2206" s="5">
        <v>42058</v>
      </c>
      <c r="C2206" s="5" t="s">
        <v>4157</v>
      </c>
      <c r="D2206" t="s">
        <v>4157</v>
      </c>
      <c r="G2206" t="s">
        <v>6159</v>
      </c>
    </row>
    <row r="2207" spans="1:7" x14ac:dyDescent="0.25">
      <c r="A2207" t="s">
        <v>38</v>
      </c>
      <c r="B2207" s="5">
        <v>41575</v>
      </c>
      <c r="C2207" s="5" t="s">
        <v>4158</v>
      </c>
      <c r="D2207" t="s">
        <v>4158</v>
      </c>
      <c r="G2207" t="s">
        <v>6159</v>
      </c>
    </row>
    <row r="2208" spans="1:7" x14ac:dyDescent="0.25">
      <c r="A2208" t="s">
        <v>2860</v>
      </c>
      <c r="B2208" s="5">
        <v>41481</v>
      </c>
      <c r="C2208" s="5" t="s">
        <v>4159</v>
      </c>
      <c r="D2208" t="s">
        <v>4159</v>
      </c>
      <c r="G2208" t="s">
        <v>6159</v>
      </c>
    </row>
    <row r="2209" spans="1:7" x14ac:dyDescent="0.25">
      <c r="A2209" t="s">
        <v>2858</v>
      </c>
      <c r="B2209" s="5">
        <v>41481</v>
      </c>
      <c r="C2209" s="5" t="s">
        <v>4160</v>
      </c>
      <c r="D2209" t="s">
        <v>4160</v>
      </c>
      <c r="G2209" t="s">
        <v>6159</v>
      </c>
    </row>
    <row r="2210" spans="1:7" x14ac:dyDescent="0.25">
      <c r="A2210" t="s">
        <v>66</v>
      </c>
      <c r="B2210" s="5">
        <v>41415</v>
      </c>
      <c r="C2210" s="5" t="s">
        <v>4161</v>
      </c>
      <c r="D2210" t="s">
        <v>4161</v>
      </c>
      <c r="G2210" t="s">
        <v>6159</v>
      </c>
    </row>
    <row r="2211" spans="1:7" x14ac:dyDescent="0.25">
      <c r="A2211" t="s">
        <v>35</v>
      </c>
      <c r="B2211" s="5">
        <v>41415</v>
      </c>
      <c r="C2211" s="5" t="s">
        <v>4162</v>
      </c>
      <c r="D2211" t="s">
        <v>4162</v>
      </c>
      <c r="G2211" t="s">
        <v>6159</v>
      </c>
    </row>
    <row r="2212" spans="1:7" x14ac:dyDescent="0.25">
      <c r="A2212" t="s">
        <v>2889</v>
      </c>
      <c r="B2212" s="5">
        <v>42459</v>
      </c>
      <c r="C2212" s="5" t="s">
        <v>4163</v>
      </c>
      <c r="D2212" t="s">
        <v>4163</v>
      </c>
      <c r="G2212" t="s">
        <v>6159</v>
      </c>
    </row>
    <row r="2213" spans="1:7" x14ac:dyDescent="0.25">
      <c r="A2213" t="s">
        <v>2852</v>
      </c>
      <c r="B2213" s="5">
        <v>42458</v>
      </c>
      <c r="C2213" s="5" t="s">
        <v>4164</v>
      </c>
      <c r="D2213" t="s">
        <v>4164</v>
      </c>
      <c r="G2213" t="s">
        <v>6159</v>
      </c>
    </row>
    <row r="2214" spans="1:7" x14ac:dyDescent="0.25">
      <c r="A2214" t="s">
        <v>2890</v>
      </c>
      <c r="B2214" s="5">
        <v>42165</v>
      </c>
      <c r="C2214" s="5" t="s">
        <v>4165</v>
      </c>
      <c r="D2214" t="s">
        <v>4165</v>
      </c>
      <c r="G2214" t="s">
        <v>6159</v>
      </c>
    </row>
    <row r="2215" spans="1:7" x14ac:dyDescent="0.25">
      <c r="A2215" t="s">
        <v>2887</v>
      </c>
      <c r="B2215" s="5">
        <v>42164</v>
      </c>
      <c r="C2215" s="5" t="s">
        <v>4166</v>
      </c>
      <c r="D2215" t="s">
        <v>4166</v>
      </c>
      <c r="G2215" t="s">
        <v>6159</v>
      </c>
    </row>
    <row r="2216" spans="1:7" x14ac:dyDescent="0.25">
      <c r="A2216" t="s">
        <v>128</v>
      </c>
      <c r="B2216" s="5">
        <v>42164</v>
      </c>
      <c r="C2216" s="5" t="s">
        <v>4167</v>
      </c>
      <c r="D2216" t="s">
        <v>4167</v>
      </c>
      <c r="G2216" t="s">
        <v>6159</v>
      </c>
    </row>
    <row r="2217" spans="1:7" x14ac:dyDescent="0.25">
      <c r="A2217" t="s">
        <v>56</v>
      </c>
      <c r="B2217" s="5">
        <v>41715</v>
      </c>
      <c r="C2217" s="5" t="s">
        <v>4168</v>
      </c>
      <c r="D2217" t="s">
        <v>4168</v>
      </c>
      <c r="G2217" t="s">
        <v>6159</v>
      </c>
    </row>
    <row r="2218" spans="1:7" x14ac:dyDescent="0.25">
      <c r="A2218" t="s">
        <v>2891</v>
      </c>
      <c r="B2218" s="5">
        <v>42144</v>
      </c>
      <c r="C2218" s="5" t="s">
        <v>4169</v>
      </c>
      <c r="D2218" t="s">
        <v>4169</v>
      </c>
      <c r="G2218" t="s">
        <v>6159</v>
      </c>
    </row>
    <row r="2219" spans="1:7" x14ac:dyDescent="0.25">
      <c r="A2219" t="s">
        <v>275</v>
      </c>
      <c r="B2219" s="5">
        <v>42431</v>
      </c>
      <c r="C2219" s="5" t="s">
        <v>4170</v>
      </c>
      <c r="D2219" t="s">
        <v>4170</v>
      </c>
      <c r="G2219" t="s">
        <v>6159</v>
      </c>
    </row>
    <row r="2220" spans="1:7" x14ac:dyDescent="0.25">
      <c r="A2220" t="s">
        <v>1634</v>
      </c>
      <c r="B2220" s="5">
        <v>41535</v>
      </c>
      <c r="C2220" s="5" t="s">
        <v>4171</v>
      </c>
      <c r="D2220" t="s">
        <v>4171</v>
      </c>
      <c r="G2220" t="s">
        <v>6159</v>
      </c>
    </row>
    <row r="2221" spans="1:7" x14ac:dyDescent="0.25">
      <c r="A2221" t="s">
        <v>2892</v>
      </c>
      <c r="B2221" s="5">
        <v>42423</v>
      </c>
      <c r="C2221" s="5" t="s">
        <v>4172</v>
      </c>
      <c r="D2221" t="s">
        <v>4172</v>
      </c>
      <c r="G2221" t="s">
        <v>6159</v>
      </c>
    </row>
    <row r="2222" spans="1:7" x14ac:dyDescent="0.25">
      <c r="A2222" t="s">
        <v>2893</v>
      </c>
      <c r="B2222" s="5">
        <v>41744</v>
      </c>
      <c r="C2222" s="5" t="s">
        <v>4173</v>
      </c>
      <c r="D2222" t="s">
        <v>4173</v>
      </c>
      <c r="G2222" t="s">
        <v>6159</v>
      </c>
    </row>
    <row r="2223" spans="1:7" x14ac:dyDescent="0.25">
      <c r="A2223" t="s">
        <v>2839</v>
      </c>
      <c r="B2223" s="5">
        <v>41773</v>
      </c>
      <c r="C2223" s="5" t="s">
        <v>4174</v>
      </c>
      <c r="D2223" t="s">
        <v>4174</v>
      </c>
      <c r="G2223" t="s">
        <v>6159</v>
      </c>
    </row>
    <row r="2224" spans="1:7" x14ac:dyDescent="0.25">
      <c r="A2224" t="s">
        <v>343</v>
      </c>
      <c r="B2224" s="5">
        <v>41912</v>
      </c>
      <c r="C2224" s="5" t="s">
        <v>4175</v>
      </c>
      <c r="D2224" t="s">
        <v>4175</v>
      </c>
      <c r="G2224" t="s">
        <v>6159</v>
      </c>
    </row>
    <row r="2225" spans="1:7" x14ac:dyDescent="0.25">
      <c r="A2225" t="s">
        <v>118</v>
      </c>
      <c r="B2225" s="5">
        <v>41591</v>
      </c>
      <c r="C2225" s="5" t="s">
        <v>4176</v>
      </c>
      <c r="D2225" t="s">
        <v>4176</v>
      </c>
      <c r="G2225" t="s">
        <v>6159</v>
      </c>
    </row>
    <row r="2226" spans="1:7" x14ac:dyDescent="0.25">
      <c r="A2226" t="s">
        <v>112</v>
      </c>
      <c r="B2226" s="5">
        <v>41591</v>
      </c>
      <c r="C2226" s="5" t="s">
        <v>4177</v>
      </c>
      <c r="D2226" t="s">
        <v>4177</v>
      </c>
      <c r="G2226" t="s">
        <v>6159</v>
      </c>
    </row>
    <row r="2227" spans="1:7" x14ac:dyDescent="0.25">
      <c r="A2227" t="s">
        <v>130</v>
      </c>
      <c r="B2227" s="5">
        <v>41591</v>
      </c>
      <c r="C2227" s="5" t="s">
        <v>4178</v>
      </c>
      <c r="D2227" t="s">
        <v>4178</v>
      </c>
      <c r="G2227" t="s">
        <v>6159</v>
      </c>
    </row>
    <row r="2228" spans="1:7" x14ac:dyDescent="0.25">
      <c r="A2228" t="s">
        <v>2879</v>
      </c>
      <c r="B2228" s="5">
        <v>42249</v>
      </c>
      <c r="C2228" s="5" t="s">
        <v>4179</v>
      </c>
      <c r="D2228" t="s">
        <v>4179</v>
      </c>
      <c r="G2228" t="s">
        <v>6159</v>
      </c>
    </row>
    <row r="2229" spans="1:7" x14ac:dyDescent="0.25">
      <c r="A2229" t="s">
        <v>2042</v>
      </c>
      <c r="B2229" s="5">
        <v>42087</v>
      </c>
      <c r="C2229" s="5" t="s">
        <v>4180</v>
      </c>
      <c r="D2229" t="s">
        <v>4180</v>
      </c>
      <c r="G2229" t="s">
        <v>6159</v>
      </c>
    </row>
    <row r="2230" spans="1:7" x14ac:dyDescent="0.25">
      <c r="A2230" t="s">
        <v>134</v>
      </c>
      <c r="B2230" s="5">
        <v>41689</v>
      </c>
      <c r="C2230" s="5" t="s">
        <v>4181</v>
      </c>
      <c r="D2230" t="s">
        <v>4181</v>
      </c>
      <c r="G2230" t="s">
        <v>6159</v>
      </c>
    </row>
    <row r="2231" spans="1:7" x14ac:dyDescent="0.25">
      <c r="A2231" t="s">
        <v>284</v>
      </c>
      <c r="B2231" s="5">
        <v>42353</v>
      </c>
      <c r="C2231" s="5" t="s">
        <v>4182</v>
      </c>
      <c r="D2231" t="s">
        <v>4182</v>
      </c>
      <c r="G2231" t="s">
        <v>6159</v>
      </c>
    </row>
    <row r="2232" spans="1:7" x14ac:dyDescent="0.25">
      <c r="A2232" t="s">
        <v>275</v>
      </c>
      <c r="B2232" s="5">
        <v>42081</v>
      </c>
      <c r="C2232" s="5" t="s">
        <v>4183</v>
      </c>
      <c r="D2232" t="s">
        <v>4183</v>
      </c>
      <c r="G2232" t="s">
        <v>6159</v>
      </c>
    </row>
    <row r="2233" spans="1:7" x14ac:dyDescent="0.25">
      <c r="A2233" t="s">
        <v>2894</v>
      </c>
      <c r="B2233" s="5">
        <v>42025</v>
      </c>
      <c r="C2233" s="5" t="s">
        <v>4184</v>
      </c>
      <c r="D2233" t="s">
        <v>4184</v>
      </c>
      <c r="G2233" t="s">
        <v>6159</v>
      </c>
    </row>
    <row r="2234" spans="1:7" x14ac:dyDescent="0.25">
      <c r="A2234" t="s">
        <v>74</v>
      </c>
      <c r="B2234" s="5">
        <v>41744</v>
      </c>
      <c r="C2234" s="5" t="s">
        <v>4185</v>
      </c>
      <c r="D2234" t="s">
        <v>4185</v>
      </c>
      <c r="G2234" t="s">
        <v>6159</v>
      </c>
    </row>
    <row r="2235" spans="1:7" x14ac:dyDescent="0.25">
      <c r="A2235" t="s">
        <v>2108</v>
      </c>
      <c r="B2235" s="5">
        <v>42053</v>
      </c>
      <c r="C2235" s="5" t="s">
        <v>4186</v>
      </c>
      <c r="D2235" t="s">
        <v>4186</v>
      </c>
      <c r="G2235" t="s">
        <v>6159</v>
      </c>
    </row>
    <row r="2236" spans="1:7" x14ac:dyDescent="0.25">
      <c r="A2236" t="s">
        <v>57</v>
      </c>
      <c r="B2236" s="5">
        <v>41743</v>
      </c>
      <c r="C2236" s="5" t="s">
        <v>4187</v>
      </c>
      <c r="D2236" t="s">
        <v>4187</v>
      </c>
      <c r="G2236" t="s">
        <v>6159</v>
      </c>
    </row>
    <row r="2237" spans="1:7" x14ac:dyDescent="0.25">
      <c r="A2237" t="s">
        <v>54</v>
      </c>
      <c r="B2237" s="5">
        <v>42052</v>
      </c>
      <c r="C2237" s="5" t="s">
        <v>4188</v>
      </c>
      <c r="D2237" t="s">
        <v>4188</v>
      </c>
      <c r="G2237" t="s">
        <v>6159</v>
      </c>
    </row>
    <row r="2238" spans="1:7" x14ac:dyDescent="0.25">
      <c r="A2238" t="s">
        <v>130</v>
      </c>
      <c r="B2238" s="5">
        <v>41541</v>
      </c>
      <c r="C2238" s="5" t="s">
        <v>4189</v>
      </c>
      <c r="D2238" t="s">
        <v>4189</v>
      </c>
      <c r="G2238" t="s">
        <v>6159</v>
      </c>
    </row>
    <row r="2239" spans="1:7" x14ac:dyDescent="0.25">
      <c r="A2239" t="s">
        <v>140</v>
      </c>
      <c r="B2239" s="5">
        <v>41725</v>
      </c>
      <c r="C2239" s="5" t="s">
        <v>4190</v>
      </c>
      <c r="D2239" t="s">
        <v>4190</v>
      </c>
      <c r="G2239" t="s">
        <v>6159</v>
      </c>
    </row>
    <row r="2240" spans="1:7" x14ac:dyDescent="0.25">
      <c r="A2240" t="s">
        <v>2839</v>
      </c>
      <c r="B2240" s="5">
        <v>41724</v>
      </c>
      <c r="C2240" s="5" t="s">
        <v>4191</v>
      </c>
      <c r="D2240" t="s">
        <v>4191</v>
      </c>
      <c r="G2240" t="s">
        <v>6159</v>
      </c>
    </row>
    <row r="2241" spans="1:7" x14ac:dyDescent="0.25">
      <c r="A2241" t="s">
        <v>129</v>
      </c>
      <c r="B2241" s="5">
        <v>41724</v>
      </c>
      <c r="C2241" s="5" t="s">
        <v>4192</v>
      </c>
      <c r="D2241" t="s">
        <v>4192</v>
      </c>
      <c r="G2241" t="s">
        <v>6159</v>
      </c>
    </row>
    <row r="2242" spans="1:7" x14ac:dyDescent="0.25">
      <c r="A2242" t="s">
        <v>2882</v>
      </c>
      <c r="B2242" s="5">
        <v>42459</v>
      </c>
      <c r="C2242" s="5" t="s">
        <v>4193</v>
      </c>
      <c r="D2242" t="s">
        <v>4193</v>
      </c>
      <c r="G2242" t="s">
        <v>6159</v>
      </c>
    </row>
    <row r="2243" spans="1:7" x14ac:dyDescent="0.25">
      <c r="A2243" t="s">
        <v>102</v>
      </c>
      <c r="B2243" s="5">
        <v>41957</v>
      </c>
      <c r="C2243" s="5" t="s">
        <v>4194</v>
      </c>
      <c r="D2243" t="s">
        <v>4194</v>
      </c>
      <c r="G2243" t="s">
        <v>6159</v>
      </c>
    </row>
    <row r="2244" spans="1:7" x14ac:dyDescent="0.25">
      <c r="A2244" t="s">
        <v>114</v>
      </c>
      <c r="B2244" s="5">
        <v>41722</v>
      </c>
      <c r="C2244" s="5" t="s">
        <v>4195</v>
      </c>
      <c r="D2244" t="s">
        <v>4195</v>
      </c>
      <c r="G2244" t="s">
        <v>6159</v>
      </c>
    </row>
    <row r="2245" spans="1:7" x14ac:dyDescent="0.25">
      <c r="A2245" t="s">
        <v>112</v>
      </c>
      <c r="B2245" s="5">
        <v>41722</v>
      </c>
      <c r="C2245" s="5" t="s">
        <v>4196</v>
      </c>
      <c r="D2245" t="s">
        <v>4196</v>
      </c>
      <c r="G2245" t="s">
        <v>6159</v>
      </c>
    </row>
    <row r="2246" spans="1:7" x14ac:dyDescent="0.25">
      <c r="A2246" t="s">
        <v>2881</v>
      </c>
      <c r="B2246" s="5">
        <v>42458</v>
      </c>
      <c r="C2246" s="5" t="s">
        <v>4197</v>
      </c>
      <c r="D2246" t="s">
        <v>4197</v>
      </c>
      <c r="G2246" t="s">
        <v>6159</v>
      </c>
    </row>
    <row r="2247" spans="1:7" x14ac:dyDescent="0.25">
      <c r="A2247" t="s">
        <v>28</v>
      </c>
      <c r="B2247" s="5">
        <v>41716</v>
      </c>
      <c r="C2247" s="5" t="s">
        <v>4198</v>
      </c>
      <c r="D2247" t="s">
        <v>4198</v>
      </c>
      <c r="G2247" t="s">
        <v>6159</v>
      </c>
    </row>
    <row r="2248" spans="1:7" x14ac:dyDescent="0.25">
      <c r="A2248" t="s">
        <v>2895</v>
      </c>
      <c r="B2248" s="5">
        <v>42025</v>
      </c>
      <c r="C2248" s="5" t="s">
        <v>4199</v>
      </c>
      <c r="D2248" t="s">
        <v>4199</v>
      </c>
      <c r="G2248" t="s">
        <v>6159</v>
      </c>
    </row>
    <row r="2249" spans="1:7" x14ac:dyDescent="0.25">
      <c r="A2249" t="s">
        <v>2896</v>
      </c>
      <c r="B2249" s="5">
        <v>42024</v>
      </c>
      <c r="C2249" s="5" t="s">
        <v>4200</v>
      </c>
      <c r="D2249" t="s">
        <v>4200</v>
      </c>
      <c r="G2249" t="s">
        <v>6159</v>
      </c>
    </row>
    <row r="2250" spans="1:7" x14ac:dyDescent="0.25">
      <c r="A2250" t="s">
        <v>128</v>
      </c>
      <c r="B2250" s="5">
        <v>42024</v>
      </c>
      <c r="C2250" s="5" t="s">
        <v>4201</v>
      </c>
      <c r="D2250" t="s">
        <v>4201</v>
      </c>
      <c r="G2250" t="s">
        <v>6159</v>
      </c>
    </row>
    <row r="2251" spans="1:7" x14ac:dyDescent="0.25">
      <c r="A2251" t="s">
        <v>16</v>
      </c>
      <c r="B2251" s="5">
        <v>41715</v>
      </c>
      <c r="C2251" s="5" t="s">
        <v>4202</v>
      </c>
      <c r="D2251" t="s">
        <v>4202</v>
      </c>
      <c r="G2251" t="s">
        <v>6159</v>
      </c>
    </row>
    <row r="2252" spans="1:7" x14ac:dyDescent="0.25">
      <c r="A2252" t="s">
        <v>68</v>
      </c>
      <c r="B2252" s="5">
        <v>41715</v>
      </c>
      <c r="C2252" s="5" t="s">
        <v>4203</v>
      </c>
      <c r="D2252" t="s">
        <v>4203</v>
      </c>
      <c r="G2252" t="s">
        <v>6159</v>
      </c>
    </row>
    <row r="2253" spans="1:7" x14ac:dyDescent="0.25">
      <c r="A2253" t="s">
        <v>163</v>
      </c>
      <c r="B2253" s="5">
        <v>42452</v>
      </c>
      <c r="C2253" s="5" t="s">
        <v>4204</v>
      </c>
      <c r="D2253" t="s">
        <v>4204</v>
      </c>
      <c r="G2253" t="s">
        <v>6159</v>
      </c>
    </row>
    <row r="2254" spans="1:7" x14ac:dyDescent="0.25">
      <c r="A2254" t="s">
        <v>170</v>
      </c>
      <c r="B2254" s="5">
        <v>41696</v>
      </c>
      <c r="C2254" s="5" t="s">
        <v>4205</v>
      </c>
      <c r="D2254" t="s">
        <v>4205</v>
      </c>
      <c r="G2254" t="s">
        <v>6159</v>
      </c>
    </row>
    <row r="2255" spans="1:7" x14ac:dyDescent="0.25">
      <c r="A2255" t="s">
        <v>53</v>
      </c>
      <c r="B2255" s="5">
        <v>41696</v>
      </c>
      <c r="C2255" s="5" t="s">
        <v>4206</v>
      </c>
      <c r="D2255" t="s">
        <v>4206</v>
      </c>
      <c r="G2255" t="s">
        <v>6159</v>
      </c>
    </row>
    <row r="2256" spans="1:7" x14ac:dyDescent="0.25">
      <c r="A2256" t="s">
        <v>60</v>
      </c>
      <c r="B2256" s="5">
        <v>41696</v>
      </c>
      <c r="C2256" s="5" t="s">
        <v>4207</v>
      </c>
      <c r="D2256" t="s">
        <v>4207</v>
      </c>
      <c r="G2256" t="s">
        <v>6159</v>
      </c>
    </row>
    <row r="2257" spans="1:7" x14ac:dyDescent="0.25">
      <c r="A2257" t="s">
        <v>164</v>
      </c>
      <c r="B2257" s="5">
        <v>42437</v>
      </c>
      <c r="C2257" s="5" t="s">
        <v>4208</v>
      </c>
      <c r="D2257" t="s">
        <v>4208</v>
      </c>
      <c r="G2257" t="s">
        <v>6159</v>
      </c>
    </row>
    <row r="2258" spans="1:7" x14ac:dyDescent="0.25">
      <c r="A2258" t="s">
        <v>140</v>
      </c>
      <c r="B2258" s="5">
        <v>41535</v>
      </c>
      <c r="C2258" s="5" t="s">
        <v>4209</v>
      </c>
      <c r="D2258" t="s">
        <v>4209</v>
      </c>
      <c r="G2258" t="s">
        <v>6159</v>
      </c>
    </row>
    <row r="2259" spans="1:7" x14ac:dyDescent="0.25">
      <c r="A2259" t="s">
        <v>329</v>
      </c>
      <c r="B2259" s="5">
        <v>41695</v>
      </c>
      <c r="C2259" s="5" t="s">
        <v>4210</v>
      </c>
      <c r="D2259" t="s">
        <v>4210</v>
      </c>
      <c r="G2259" t="s">
        <v>6159</v>
      </c>
    </row>
    <row r="2260" spans="1:7" x14ac:dyDescent="0.25">
      <c r="A2260" t="s">
        <v>142</v>
      </c>
      <c r="B2260" s="5">
        <v>41689</v>
      </c>
      <c r="C2260" s="5" t="s">
        <v>4211</v>
      </c>
      <c r="D2260" t="s">
        <v>4211</v>
      </c>
      <c r="G2260" t="s">
        <v>6159</v>
      </c>
    </row>
    <row r="2261" spans="1:7" x14ac:dyDescent="0.25">
      <c r="A2261" t="s">
        <v>2897</v>
      </c>
      <c r="B2261" s="5">
        <v>41653</v>
      </c>
      <c r="C2261" s="5" t="s">
        <v>4212</v>
      </c>
      <c r="D2261" t="s">
        <v>4212</v>
      </c>
      <c r="G2261" t="s">
        <v>6159</v>
      </c>
    </row>
    <row r="2262" spans="1:7" x14ac:dyDescent="0.25">
      <c r="A2262" t="s">
        <v>353</v>
      </c>
      <c r="B2262" s="5">
        <v>41956</v>
      </c>
      <c r="C2262" s="5" t="s">
        <v>4213</v>
      </c>
      <c r="D2262" t="s">
        <v>4213</v>
      </c>
      <c r="G2262" t="s">
        <v>6159</v>
      </c>
    </row>
    <row r="2263" spans="1:7" x14ac:dyDescent="0.25">
      <c r="A2263" t="s">
        <v>2881</v>
      </c>
      <c r="B2263" s="5">
        <v>42263</v>
      </c>
      <c r="C2263" s="5" t="s">
        <v>4214</v>
      </c>
      <c r="D2263" t="s">
        <v>4214</v>
      </c>
      <c r="G2263" t="s">
        <v>6159</v>
      </c>
    </row>
    <row r="2264" spans="1:7" x14ac:dyDescent="0.25">
      <c r="A2264" t="s">
        <v>2108</v>
      </c>
      <c r="B2264" s="5">
        <v>41948</v>
      </c>
      <c r="C2264" s="5" t="s">
        <v>4215</v>
      </c>
      <c r="D2264" t="s">
        <v>4215</v>
      </c>
      <c r="G2264" t="s">
        <v>6159</v>
      </c>
    </row>
    <row r="2265" spans="1:7" x14ac:dyDescent="0.25">
      <c r="A2265" t="s">
        <v>43</v>
      </c>
      <c r="B2265" s="5">
        <v>41534</v>
      </c>
      <c r="C2265" s="5" t="s">
        <v>4216</v>
      </c>
      <c r="D2265" t="s">
        <v>4216</v>
      </c>
      <c r="G2265" t="s">
        <v>6159</v>
      </c>
    </row>
    <row r="2266" spans="1:7" x14ac:dyDescent="0.25">
      <c r="A2266" t="s">
        <v>201</v>
      </c>
      <c r="B2266" s="5">
        <v>41934</v>
      </c>
      <c r="C2266" s="5" t="s">
        <v>4217</v>
      </c>
      <c r="D2266" t="s">
        <v>4217</v>
      </c>
      <c r="G2266" t="s">
        <v>6159</v>
      </c>
    </row>
    <row r="2267" spans="1:7" x14ac:dyDescent="0.25">
      <c r="A2267" t="s">
        <v>151</v>
      </c>
      <c r="B2267" s="5">
        <v>41570</v>
      </c>
      <c r="C2267" s="5" t="s">
        <v>4218</v>
      </c>
      <c r="D2267" t="s">
        <v>4218</v>
      </c>
      <c r="G2267" t="s">
        <v>6159</v>
      </c>
    </row>
    <row r="2268" spans="1:7" x14ac:dyDescent="0.25">
      <c r="A2268" t="s">
        <v>1634</v>
      </c>
      <c r="B2268" s="5">
        <v>41598</v>
      </c>
      <c r="C2268" s="5" t="s">
        <v>4219</v>
      </c>
      <c r="D2268" t="s">
        <v>4219</v>
      </c>
      <c r="G2268" t="s">
        <v>6159</v>
      </c>
    </row>
    <row r="2269" spans="1:7" x14ac:dyDescent="0.25">
      <c r="A2269" t="s">
        <v>140</v>
      </c>
      <c r="B2269" s="5">
        <v>41598</v>
      </c>
      <c r="C2269" s="5" t="s">
        <v>4220</v>
      </c>
      <c r="D2269" t="s">
        <v>4220</v>
      </c>
      <c r="G2269" t="s">
        <v>6159</v>
      </c>
    </row>
    <row r="2270" spans="1:7" x14ac:dyDescent="0.25">
      <c r="A2270" t="s">
        <v>2864</v>
      </c>
      <c r="B2270" s="5">
        <v>41596</v>
      </c>
      <c r="C2270" s="5" t="s">
        <v>4221</v>
      </c>
      <c r="D2270" t="s">
        <v>4221</v>
      </c>
      <c r="G2270" t="s">
        <v>6159</v>
      </c>
    </row>
    <row r="2271" spans="1:7" x14ac:dyDescent="0.25">
      <c r="A2271" t="s">
        <v>114</v>
      </c>
      <c r="B2271" s="5">
        <v>41591</v>
      </c>
      <c r="C2271" s="5" t="s">
        <v>4222</v>
      </c>
      <c r="D2271" t="s">
        <v>4222</v>
      </c>
      <c r="G2271" t="s">
        <v>6159</v>
      </c>
    </row>
    <row r="2272" spans="1:7" x14ac:dyDescent="0.25">
      <c r="A2272" t="s">
        <v>147</v>
      </c>
      <c r="B2272" s="5">
        <v>41568</v>
      </c>
      <c r="C2272" s="5" t="s">
        <v>4223</v>
      </c>
      <c r="D2272" t="s">
        <v>4223</v>
      </c>
      <c r="G2272" t="s">
        <v>6159</v>
      </c>
    </row>
    <row r="2273" spans="1:7" x14ac:dyDescent="0.25">
      <c r="A2273" t="s">
        <v>353</v>
      </c>
      <c r="B2273" s="5">
        <v>42087</v>
      </c>
      <c r="C2273" s="5" t="s">
        <v>4224</v>
      </c>
      <c r="D2273" t="s">
        <v>4224</v>
      </c>
      <c r="G2273" t="s">
        <v>6159</v>
      </c>
    </row>
    <row r="2274" spans="1:7" x14ac:dyDescent="0.25">
      <c r="A2274" t="s">
        <v>100</v>
      </c>
      <c r="B2274" s="5">
        <v>42235</v>
      </c>
      <c r="C2274" s="5" t="s">
        <v>4225</v>
      </c>
      <c r="D2274" t="s">
        <v>4225</v>
      </c>
      <c r="G2274" t="s">
        <v>6159</v>
      </c>
    </row>
    <row r="2275" spans="1:7" x14ac:dyDescent="0.25">
      <c r="A2275" t="s">
        <v>326</v>
      </c>
      <c r="B2275" s="5">
        <v>42086</v>
      </c>
      <c r="C2275" s="5" t="s">
        <v>4226</v>
      </c>
      <c r="D2275" t="s">
        <v>4226</v>
      </c>
      <c r="G2275" t="s">
        <v>6159</v>
      </c>
    </row>
    <row r="2276" spans="1:7" x14ac:dyDescent="0.25">
      <c r="A2276" t="s">
        <v>87</v>
      </c>
      <c r="B2276" s="5">
        <v>41576</v>
      </c>
      <c r="C2276" s="5" t="s">
        <v>4227</v>
      </c>
      <c r="D2276" t="s">
        <v>4227</v>
      </c>
      <c r="G2276" t="s">
        <v>6159</v>
      </c>
    </row>
    <row r="2277" spans="1:7" x14ac:dyDescent="0.25">
      <c r="A2277" t="s">
        <v>93</v>
      </c>
      <c r="B2277" s="5">
        <v>42234</v>
      </c>
      <c r="C2277" s="5" t="s">
        <v>4228</v>
      </c>
      <c r="D2277" t="s">
        <v>4228</v>
      </c>
      <c r="G2277" t="s">
        <v>6159</v>
      </c>
    </row>
    <row r="2278" spans="1:7" x14ac:dyDescent="0.25">
      <c r="A2278" t="s">
        <v>217</v>
      </c>
      <c r="B2278" s="5">
        <v>42030</v>
      </c>
      <c r="C2278" s="5" t="s">
        <v>4229</v>
      </c>
      <c r="D2278" t="s">
        <v>4229</v>
      </c>
      <c r="G2278" t="s">
        <v>6159</v>
      </c>
    </row>
    <row r="2279" spans="1:7" x14ac:dyDescent="0.25">
      <c r="A2279" t="s">
        <v>16</v>
      </c>
      <c r="B2279" s="5">
        <v>41575</v>
      </c>
      <c r="C2279" s="5" t="s">
        <v>4230</v>
      </c>
      <c r="D2279" t="s">
        <v>4230</v>
      </c>
      <c r="G2279" t="s">
        <v>6159</v>
      </c>
    </row>
    <row r="2280" spans="1:7" x14ac:dyDescent="0.25">
      <c r="A2280" t="s">
        <v>28</v>
      </c>
      <c r="B2280" s="5">
        <v>41575</v>
      </c>
      <c r="C2280" s="5" t="s">
        <v>4231</v>
      </c>
      <c r="D2280" t="s">
        <v>4231</v>
      </c>
      <c r="G2280" t="s">
        <v>6159</v>
      </c>
    </row>
    <row r="2281" spans="1:7" x14ac:dyDescent="0.25">
      <c r="A2281" t="s">
        <v>2884</v>
      </c>
      <c r="B2281" s="5">
        <v>42325</v>
      </c>
      <c r="C2281" s="5" t="s">
        <v>4232</v>
      </c>
      <c r="D2281" t="s">
        <v>4232</v>
      </c>
      <c r="G2281" t="s">
        <v>6159</v>
      </c>
    </row>
    <row r="2282" spans="1:7" x14ac:dyDescent="0.25">
      <c r="A2282" t="s">
        <v>54</v>
      </c>
      <c r="B2282" s="5">
        <v>41886</v>
      </c>
      <c r="C2282" s="5" t="s">
        <v>4233</v>
      </c>
      <c r="D2282" t="s">
        <v>4233</v>
      </c>
      <c r="G2282" t="s">
        <v>6159</v>
      </c>
    </row>
    <row r="2283" spans="1:7" x14ac:dyDescent="0.25">
      <c r="A2283" t="s">
        <v>43</v>
      </c>
      <c r="B2283" s="5">
        <v>41569</v>
      </c>
      <c r="C2283" s="5" t="s">
        <v>4234</v>
      </c>
      <c r="D2283" t="s">
        <v>4234</v>
      </c>
      <c r="G2283" t="s">
        <v>6159</v>
      </c>
    </row>
    <row r="2284" spans="1:7" x14ac:dyDescent="0.25">
      <c r="A2284" t="s">
        <v>53</v>
      </c>
      <c r="B2284" s="5">
        <v>41569</v>
      </c>
      <c r="C2284" s="5" t="s">
        <v>4235</v>
      </c>
      <c r="D2284" t="s">
        <v>4235</v>
      </c>
      <c r="G2284" t="s">
        <v>6159</v>
      </c>
    </row>
    <row r="2285" spans="1:7" x14ac:dyDescent="0.25">
      <c r="A2285" t="s">
        <v>2893</v>
      </c>
      <c r="B2285" s="5">
        <v>41569</v>
      </c>
      <c r="C2285" s="5" t="s">
        <v>4236</v>
      </c>
      <c r="D2285" t="s">
        <v>4236</v>
      </c>
      <c r="G2285" t="s">
        <v>6159</v>
      </c>
    </row>
    <row r="2286" spans="1:7" x14ac:dyDescent="0.25">
      <c r="A2286" t="s">
        <v>57</v>
      </c>
      <c r="B2286" s="5">
        <v>41569</v>
      </c>
      <c r="C2286" s="5" t="s">
        <v>4237</v>
      </c>
      <c r="D2286" t="s">
        <v>4237</v>
      </c>
      <c r="G2286" t="s">
        <v>6159</v>
      </c>
    </row>
    <row r="2287" spans="1:7" x14ac:dyDescent="0.25">
      <c r="A2287" t="s">
        <v>74</v>
      </c>
      <c r="B2287" s="5">
        <v>41569</v>
      </c>
      <c r="C2287" s="5" t="s">
        <v>4238</v>
      </c>
      <c r="D2287" t="s">
        <v>4238</v>
      </c>
      <c r="G2287" t="s">
        <v>6159</v>
      </c>
    </row>
    <row r="2288" spans="1:7" x14ac:dyDescent="0.25">
      <c r="A2288" t="s">
        <v>169</v>
      </c>
      <c r="B2288" s="5">
        <v>42296</v>
      </c>
      <c r="C2288" s="5" t="s">
        <v>4239</v>
      </c>
      <c r="D2288" t="s">
        <v>4239</v>
      </c>
      <c r="G2288" t="s">
        <v>6159</v>
      </c>
    </row>
    <row r="2289" spans="1:7" x14ac:dyDescent="0.25">
      <c r="A2289" t="s">
        <v>169</v>
      </c>
      <c r="B2289" s="5">
        <v>42459</v>
      </c>
      <c r="C2289" s="5" t="s">
        <v>4240</v>
      </c>
      <c r="D2289" t="s">
        <v>4240</v>
      </c>
      <c r="G2289" t="s">
        <v>6159</v>
      </c>
    </row>
    <row r="2290" spans="1:7" x14ac:dyDescent="0.25">
      <c r="A2290" t="s">
        <v>334</v>
      </c>
      <c r="B2290" s="5">
        <v>42278</v>
      </c>
      <c r="C2290" s="5" t="s">
        <v>4241</v>
      </c>
      <c r="D2290" t="s">
        <v>4241</v>
      </c>
      <c r="G2290" t="s">
        <v>6159</v>
      </c>
    </row>
    <row r="2291" spans="1:7" x14ac:dyDescent="0.25">
      <c r="A2291" t="s">
        <v>34</v>
      </c>
      <c r="B2291" s="5">
        <v>41543</v>
      </c>
      <c r="C2291" s="5" t="s">
        <v>4242</v>
      </c>
      <c r="D2291" t="s">
        <v>4242</v>
      </c>
      <c r="G2291" t="s">
        <v>6159</v>
      </c>
    </row>
    <row r="2292" spans="1:7" x14ac:dyDescent="0.25">
      <c r="A2292" t="s">
        <v>329</v>
      </c>
      <c r="B2292" s="5">
        <v>41543</v>
      </c>
      <c r="C2292" s="5" t="s">
        <v>4243</v>
      </c>
      <c r="D2292" t="s">
        <v>4243</v>
      </c>
      <c r="G2292" t="s">
        <v>6159</v>
      </c>
    </row>
    <row r="2293" spans="1:7" x14ac:dyDescent="0.25">
      <c r="A2293" t="s">
        <v>2870</v>
      </c>
      <c r="B2293" s="5">
        <v>41871</v>
      </c>
      <c r="C2293" s="5" t="s">
        <v>4244</v>
      </c>
      <c r="D2293" t="s">
        <v>4244</v>
      </c>
      <c r="G2293" t="s">
        <v>6159</v>
      </c>
    </row>
    <row r="2294" spans="1:7" x14ac:dyDescent="0.25">
      <c r="A2294" t="s">
        <v>2877</v>
      </c>
      <c r="B2294" s="5">
        <v>42303</v>
      </c>
      <c r="C2294" s="5" t="s">
        <v>4245</v>
      </c>
      <c r="D2294" t="s">
        <v>4245</v>
      </c>
      <c r="G2294" t="s">
        <v>6159</v>
      </c>
    </row>
    <row r="2295" spans="1:7" x14ac:dyDescent="0.25">
      <c r="A2295" t="s">
        <v>129</v>
      </c>
      <c r="B2295" s="5">
        <v>41540</v>
      </c>
      <c r="C2295" s="5" t="s">
        <v>4246</v>
      </c>
      <c r="D2295" t="s">
        <v>4246</v>
      </c>
      <c r="G2295" t="s">
        <v>6159</v>
      </c>
    </row>
    <row r="2296" spans="1:7" x14ac:dyDescent="0.25">
      <c r="A2296" t="s">
        <v>2898</v>
      </c>
      <c r="B2296" s="5">
        <v>42144</v>
      </c>
      <c r="C2296" s="5" t="s">
        <v>4247</v>
      </c>
      <c r="D2296" t="s">
        <v>4247</v>
      </c>
      <c r="G2296" t="s">
        <v>6159</v>
      </c>
    </row>
    <row r="2297" spans="1:7" x14ac:dyDescent="0.25">
      <c r="A2297" t="s">
        <v>2899</v>
      </c>
      <c r="B2297" s="5">
        <v>42144</v>
      </c>
      <c r="C2297" s="5" t="s">
        <v>4248</v>
      </c>
      <c r="D2297" t="s">
        <v>4248</v>
      </c>
      <c r="G2297" t="s">
        <v>6159</v>
      </c>
    </row>
    <row r="2298" spans="1:7" x14ac:dyDescent="0.25">
      <c r="A2298" t="s">
        <v>52</v>
      </c>
      <c r="B2298" s="5">
        <v>41967</v>
      </c>
      <c r="C2298" s="5" t="s">
        <v>4249</v>
      </c>
      <c r="D2298" t="s">
        <v>4249</v>
      </c>
      <c r="G2298" t="s">
        <v>6159</v>
      </c>
    </row>
    <row r="2299" spans="1:7" x14ac:dyDescent="0.25">
      <c r="A2299" t="s">
        <v>142</v>
      </c>
      <c r="B2299" s="5">
        <v>41535</v>
      </c>
      <c r="C2299" s="5" t="s">
        <v>4250</v>
      </c>
      <c r="D2299" t="s">
        <v>4250</v>
      </c>
      <c r="G2299" t="s">
        <v>6159</v>
      </c>
    </row>
    <row r="2300" spans="1:7" x14ac:dyDescent="0.25">
      <c r="A2300" t="s">
        <v>179</v>
      </c>
      <c r="B2300" s="5">
        <v>42296</v>
      </c>
      <c r="C2300" s="5" t="s">
        <v>4251</v>
      </c>
      <c r="D2300" t="s">
        <v>4251</v>
      </c>
      <c r="G2300" t="s">
        <v>6159</v>
      </c>
    </row>
    <row r="2301" spans="1:7" x14ac:dyDescent="0.25">
      <c r="A2301" t="s">
        <v>2877</v>
      </c>
      <c r="B2301" s="5">
        <v>42039</v>
      </c>
      <c r="C2301" s="5" t="s">
        <v>4252</v>
      </c>
      <c r="D2301" t="s">
        <v>4252</v>
      </c>
      <c r="G2301" t="s">
        <v>6159</v>
      </c>
    </row>
    <row r="2302" spans="1:7" x14ac:dyDescent="0.25">
      <c r="A2302" t="s">
        <v>162</v>
      </c>
      <c r="B2302" s="5">
        <v>41905</v>
      </c>
      <c r="C2302" s="5" t="s">
        <v>4253</v>
      </c>
      <c r="D2302" t="s">
        <v>4253</v>
      </c>
      <c r="G2302" t="s">
        <v>6159</v>
      </c>
    </row>
    <row r="2303" spans="1:7" x14ac:dyDescent="0.25">
      <c r="A2303" t="s">
        <v>36</v>
      </c>
      <c r="B2303" s="5">
        <v>42234</v>
      </c>
      <c r="C2303" s="5" t="s">
        <v>4254</v>
      </c>
      <c r="D2303" t="s">
        <v>4254</v>
      </c>
      <c r="G2303" t="s">
        <v>6159</v>
      </c>
    </row>
    <row r="2304" spans="1:7" x14ac:dyDescent="0.25">
      <c r="A2304" t="s">
        <v>37</v>
      </c>
      <c r="B2304" s="5">
        <v>42332</v>
      </c>
      <c r="C2304" s="5" t="s">
        <v>4255</v>
      </c>
      <c r="D2304" t="s">
        <v>4255</v>
      </c>
      <c r="G2304" t="s">
        <v>6159</v>
      </c>
    </row>
    <row r="2305" spans="1:7" x14ac:dyDescent="0.25">
      <c r="A2305" t="s">
        <v>74</v>
      </c>
      <c r="B2305" s="5">
        <v>41534</v>
      </c>
      <c r="C2305" s="5" t="s">
        <v>4256</v>
      </c>
      <c r="D2305" t="s">
        <v>4256</v>
      </c>
      <c r="G2305" t="s">
        <v>6159</v>
      </c>
    </row>
    <row r="2306" spans="1:7" x14ac:dyDescent="0.25">
      <c r="A2306" t="s">
        <v>2893</v>
      </c>
      <c r="B2306" s="5">
        <v>41534</v>
      </c>
      <c r="C2306" s="5" t="s">
        <v>4257</v>
      </c>
      <c r="D2306" t="s">
        <v>4257</v>
      </c>
      <c r="G2306" t="s">
        <v>6159</v>
      </c>
    </row>
    <row r="2307" spans="1:7" x14ac:dyDescent="0.25">
      <c r="A2307" t="s">
        <v>2857</v>
      </c>
      <c r="B2307" s="5">
        <v>41533</v>
      </c>
      <c r="C2307" s="5" t="s">
        <v>4258</v>
      </c>
      <c r="D2307" t="s">
        <v>4258</v>
      </c>
      <c r="G2307" t="s">
        <v>6159</v>
      </c>
    </row>
    <row r="2308" spans="1:7" x14ac:dyDescent="0.25">
      <c r="A2308" t="s">
        <v>87</v>
      </c>
      <c r="B2308" s="5">
        <v>42250</v>
      </c>
      <c r="C2308" s="5" t="s">
        <v>4259</v>
      </c>
      <c r="D2308" t="s">
        <v>4259</v>
      </c>
      <c r="G2308" t="s">
        <v>6159</v>
      </c>
    </row>
    <row r="2309" spans="1:7" x14ac:dyDescent="0.25">
      <c r="A2309" t="s">
        <v>118</v>
      </c>
      <c r="B2309" s="5">
        <v>41533</v>
      </c>
      <c r="C2309" s="5" t="s">
        <v>4260</v>
      </c>
      <c r="D2309" t="s">
        <v>4260</v>
      </c>
      <c r="G2309" t="s">
        <v>6159</v>
      </c>
    </row>
    <row r="2310" spans="1:7" x14ac:dyDescent="0.25">
      <c r="A2310" t="s">
        <v>2900</v>
      </c>
      <c r="B2310" s="5">
        <v>42325</v>
      </c>
      <c r="C2310" s="5" t="s">
        <v>4261</v>
      </c>
      <c r="D2310" t="s">
        <v>4261</v>
      </c>
      <c r="G2310" t="s">
        <v>6159</v>
      </c>
    </row>
    <row r="2311" spans="1:7" x14ac:dyDescent="0.25">
      <c r="A2311" t="s">
        <v>2873</v>
      </c>
      <c r="B2311" s="5">
        <v>42037</v>
      </c>
      <c r="C2311" s="5" t="s">
        <v>4262</v>
      </c>
      <c r="D2311" t="s">
        <v>4262</v>
      </c>
      <c r="G2311" t="s">
        <v>6159</v>
      </c>
    </row>
    <row r="2312" spans="1:7" x14ac:dyDescent="0.25">
      <c r="A2312" t="s">
        <v>145</v>
      </c>
      <c r="B2312" s="5">
        <v>42052</v>
      </c>
      <c r="C2312" s="5" t="s">
        <v>4263</v>
      </c>
      <c r="D2312" t="s">
        <v>4263</v>
      </c>
      <c r="G2312" t="s">
        <v>6159</v>
      </c>
    </row>
    <row r="2313" spans="1:7" x14ac:dyDescent="0.25">
      <c r="A2313" t="s">
        <v>157</v>
      </c>
      <c r="B2313" s="5">
        <v>42299</v>
      </c>
      <c r="C2313" s="5" t="s">
        <v>4264</v>
      </c>
      <c r="D2313" t="s">
        <v>4264</v>
      </c>
      <c r="G2313" t="s">
        <v>6159</v>
      </c>
    </row>
    <row r="2314" spans="1:7" x14ac:dyDescent="0.25">
      <c r="A2314" t="s">
        <v>2886</v>
      </c>
      <c r="B2314" s="5">
        <v>42164</v>
      </c>
      <c r="C2314" s="5" t="s">
        <v>4265</v>
      </c>
      <c r="D2314" t="s">
        <v>4265</v>
      </c>
      <c r="G2314" t="s">
        <v>6159</v>
      </c>
    </row>
    <row r="2315" spans="1:7" x14ac:dyDescent="0.25">
      <c r="A2315" t="s">
        <v>52</v>
      </c>
      <c r="B2315" s="5">
        <v>41892</v>
      </c>
      <c r="C2315" s="5" t="s">
        <v>4266</v>
      </c>
      <c r="D2315" t="s">
        <v>4266</v>
      </c>
      <c r="G2315" t="s">
        <v>6159</v>
      </c>
    </row>
    <row r="2316" spans="1:7" x14ac:dyDescent="0.25">
      <c r="A2316" t="s">
        <v>162</v>
      </c>
      <c r="B2316" s="5">
        <v>42053</v>
      </c>
      <c r="C2316" s="5" t="s">
        <v>4267</v>
      </c>
      <c r="D2316" t="s">
        <v>4267</v>
      </c>
      <c r="G2316" t="s">
        <v>6159</v>
      </c>
    </row>
    <row r="2317" spans="1:7" x14ac:dyDescent="0.25">
      <c r="A2317" t="s">
        <v>2900</v>
      </c>
      <c r="B2317" s="5">
        <v>42466</v>
      </c>
      <c r="C2317" s="5" t="s">
        <v>4268</v>
      </c>
      <c r="D2317" t="s">
        <v>4268</v>
      </c>
      <c r="G2317" t="s">
        <v>6159</v>
      </c>
    </row>
    <row r="2318" spans="1:7" x14ac:dyDescent="0.25">
      <c r="A2318" t="s">
        <v>2865</v>
      </c>
      <c r="B2318" s="5">
        <v>42044</v>
      </c>
      <c r="C2318" s="5" t="s">
        <v>4269</v>
      </c>
      <c r="D2318" t="s">
        <v>4269</v>
      </c>
      <c r="G2318" t="s">
        <v>6159</v>
      </c>
    </row>
    <row r="2319" spans="1:7" x14ac:dyDescent="0.25">
      <c r="A2319" t="s">
        <v>182</v>
      </c>
      <c r="B2319" s="5">
        <v>42227</v>
      </c>
      <c r="C2319" s="5" t="s">
        <v>4270</v>
      </c>
      <c r="D2319" t="s">
        <v>4270</v>
      </c>
      <c r="G2319" t="s">
        <v>6159</v>
      </c>
    </row>
    <row r="2320" spans="1:7" x14ac:dyDescent="0.25">
      <c r="A2320" t="s">
        <v>135</v>
      </c>
      <c r="B2320" s="5">
        <v>42249</v>
      </c>
      <c r="C2320" s="5" t="s">
        <v>4271</v>
      </c>
      <c r="D2320" t="s">
        <v>4271</v>
      </c>
      <c r="G2320" t="s">
        <v>6159</v>
      </c>
    </row>
    <row r="2321" spans="1:7" x14ac:dyDescent="0.25">
      <c r="A2321" t="s">
        <v>2882</v>
      </c>
      <c r="B2321" s="5">
        <v>42039</v>
      </c>
      <c r="C2321" s="5" t="s">
        <v>4272</v>
      </c>
      <c r="D2321" t="s">
        <v>4272</v>
      </c>
      <c r="G2321" t="s">
        <v>6159</v>
      </c>
    </row>
    <row r="2322" spans="1:7" x14ac:dyDescent="0.25">
      <c r="A2322" t="s">
        <v>36</v>
      </c>
      <c r="B2322" s="5">
        <v>42457</v>
      </c>
      <c r="C2322" s="5" t="s">
        <v>4273</v>
      </c>
      <c r="D2322" t="s">
        <v>4273</v>
      </c>
      <c r="G2322" t="s">
        <v>6159</v>
      </c>
    </row>
    <row r="2323" spans="1:7" x14ac:dyDescent="0.25">
      <c r="A2323" t="s">
        <v>2816</v>
      </c>
      <c r="B2323" s="5">
        <v>42458</v>
      </c>
      <c r="C2323" s="5" t="s">
        <v>4274</v>
      </c>
      <c r="D2323" t="s">
        <v>4274</v>
      </c>
      <c r="G2323" t="s">
        <v>6159</v>
      </c>
    </row>
    <row r="2324" spans="1:7" x14ac:dyDescent="0.25">
      <c r="A2324" t="s">
        <v>355</v>
      </c>
      <c r="B2324" s="5">
        <v>42410</v>
      </c>
      <c r="C2324" s="5" t="s">
        <v>4275</v>
      </c>
      <c r="D2324" t="s">
        <v>4275</v>
      </c>
      <c r="G2324" t="s">
        <v>6159</v>
      </c>
    </row>
    <row r="2325" spans="1:7" x14ac:dyDescent="0.25">
      <c r="A2325" t="s">
        <v>2901</v>
      </c>
      <c r="B2325" s="5">
        <v>42164</v>
      </c>
      <c r="C2325" s="5" t="s">
        <v>4276</v>
      </c>
      <c r="D2325" t="s">
        <v>4276</v>
      </c>
      <c r="G2325" t="s">
        <v>6159</v>
      </c>
    </row>
    <row r="2326" spans="1:7" x14ac:dyDescent="0.25">
      <c r="A2326" t="s">
        <v>2816</v>
      </c>
      <c r="B2326" s="5">
        <v>42164</v>
      </c>
      <c r="C2326" s="5" t="s">
        <v>4277</v>
      </c>
      <c r="D2326" t="s">
        <v>4277</v>
      </c>
      <c r="G2326" t="s">
        <v>6159</v>
      </c>
    </row>
    <row r="2327" spans="1:7" x14ac:dyDescent="0.25">
      <c r="A2327" t="s">
        <v>343</v>
      </c>
      <c r="B2327" s="5">
        <v>41989</v>
      </c>
      <c r="C2327" s="5" t="s">
        <v>4278</v>
      </c>
      <c r="D2327" t="s">
        <v>4278</v>
      </c>
      <c r="G2327" t="s">
        <v>6159</v>
      </c>
    </row>
    <row r="2328" spans="1:7" x14ac:dyDescent="0.25">
      <c r="A2328" t="s">
        <v>45</v>
      </c>
      <c r="B2328" s="5">
        <v>42437</v>
      </c>
      <c r="C2328" s="5" t="s">
        <v>4279</v>
      </c>
      <c r="D2328" t="s">
        <v>4279</v>
      </c>
      <c r="G2328" t="s">
        <v>6159</v>
      </c>
    </row>
    <row r="2329" spans="1:7" x14ac:dyDescent="0.25">
      <c r="A2329" t="s">
        <v>318</v>
      </c>
      <c r="B2329" s="5">
        <v>42229</v>
      </c>
      <c r="C2329" s="5" t="s">
        <v>4280</v>
      </c>
      <c r="D2329" t="s">
        <v>4280</v>
      </c>
      <c r="G2329" t="s">
        <v>6159</v>
      </c>
    </row>
    <row r="2330" spans="1:7" x14ac:dyDescent="0.25">
      <c r="A2330" t="s">
        <v>2865</v>
      </c>
      <c r="B2330" s="5">
        <v>41967</v>
      </c>
      <c r="C2330" s="5" t="s">
        <v>4281</v>
      </c>
      <c r="D2330" t="s">
        <v>4281</v>
      </c>
      <c r="G2330" t="s">
        <v>6159</v>
      </c>
    </row>
    <row r="2331" spans="1:7" x14ac:dyDescent="0.25">
      <c r="A2331" t="s">
        <v>162</v>
      </c>
      <c r="B2331" s="5">
        <v>41961</v>
      </c>
      <c r="C2331" s="5" t="s">
        <v>4282</v>
      </c>
      <c r="D2331" t="s">
        <v>4282</v>
      </c>
      <c r="G2331" t="s">
        <v>6159</v>
      </c>
    </row>
    <row r="2332" spans="1:7" x14ac:dyDescent="0.25">
      <c r="A2332" t="s">
        <v>299</v>
      </c>
      <c r="B2332" s="5">
        <v>42240</v>
      </c>
      <c r="C2332" s="5" t="s">
        <v>4283</v>
      </c>
      <c r="D2332" t="s">
        <v>4283</v>
      </c>
      <c r="G2332" t="s">
        <v>6159</v>
      </c>
    </row>
    <row r="2333" spans="1:7" x14ac:dyDescent="0.25">
      <c r="A2333" t="s">
        <v>73</v>
      </c>
      <c r="B2333" s="5">
        <v>42233</v>
      </c>
      <c r="C2333" s="5" t="s">
        <v>4284</v>
      </c>
      <c r="D2333" t="s">
        <v>4284</v>
      </c>
      <c r="G2333" t="s">
        <v>6159</v>
      </c>
    </row>
    <row r="2334" spans="1:7" x14ac:dyDescent="0.25">
      <c r="A2334" t="s">
        <v>2870</v>
      </c>
      <c r="B2334" s="5">
        <v>42377</v>
      </c>
      <c r="C2334" s="5" t="s">
        <v>4285</v>
      </c>
      <c r="D2334" t="s">
        <v>4285</v>
      </c>
      <c r="G2334" t="s">
        <v>6159</v>
      </c>
    </row>
    <row r="2335" spans="1:7" x14ac:dyDescent="0.25">
      <c r="A2335" t="s">
        <v>2896</v>
      </c>
      <c r="B2335" s="5">
        <v>42264</v>
      </c>
      <c r="C2335" s="5" t="s">
        <v>4286</v>
      </c>
      <c r="D2335" t="s">
        <v>4286</v>
      </c>
      <c r="G2335" t="s">
        <v>6159</v>
      </c>
    </row>
    <row r="2336" spans="1:7" x14ac:dyDescent="0.25">
      <c r="A2336" t="s">
        <v>37</v>
      </c>
      <c r="B2336" s="5">
        <v>42229</v>
      </c>
      <c r="C2336" s="5" t="s">
        <v>4287</v>
      </c>
      <c r="D2336" t="s">
        <v>4287</v>
      </c>
      <c r="G2336" t="s">
        <v>6159</v>
      </c>
    </row>
    <row r="2337" spans="1:7" x14ac:dyDescent="0.25">
      <c r="A2337" t="s">
        <v>31</v>
      </c>
      <c r="B2337" s="5">
        <v>42234</v>
      </c>
      <c r="C2337" s="5" t="s">
        <v>4288</v>
      </c>
      <c r="D2337" t="s">
        <v>4288</v>
      </c>
      <c r="G2337" t="s">
        <v>6159</v>
      </c>
    </row>
    <row r="2338" spans="1:7" x14ac:dyDescent="0.25">
      <c r="A2338" t="s">
        <v>37</v>
      </c>
      <c r="B2338" s="5">
        <v>42410</v>
      </c>
      <c r="C2338" s="5" t="s">
        <v>4289</v>
      </c>
      <c r="D2338" t="s">
        <v>4289</v>
      </c>
      <c r="G2338" t="s">
        <v>6159</v>
      </c>
    </row>
    <row r="2339" spans="1:7" x14ac:dyDescent="0.25">
      <c r="A2339" t="s">
        <v>163</v>
      </c>
      <c r="B2339" s="5">
        <v>42227</v>
      </c>
      <c r="C2339" s="5" t="s">
        <v>4290</v>
      </c>
      <c r="D2339" t="s">
        <v>4290</v>
      </c>
      <c r="G2339" t="s">
        <v>6159</v>
      </c>
    </row>
    <row r="2340" spans="1:7" x14ac:dyDescent="0.25">
      <c r="A2340" t="s">
        <v>49</v>
      </c>
      <c r="B2340" s="5">
        <v>42256</v>
      </c>
      <c r="C2340" s="5" t="s">
        <v>4291</v>
      </c>
      <c r="D2340" t="s">
        <v>4291</v>
      </c>
      <c r="G2340" t="s">
        <v>6159</v>
      </c>
    </row>
    <row r="2341" spans="1:7" x14ac:dyDescent="0.25">
      <c r="A2341" t="s">
        <v>342</v>
      </c>
      <c r="B2341" s="5">
        <v>42086</v>
      </c>
      <c r="C2341" s="5" t="s">
        <v>4292</v>
      </c>
      <c r="D2341" t="s">
        <v>4292</v>
      </c>
      <c r="G2341" t="s">
        <v>6159</v>
      </c>
    </row>
    <row r="2342" spans="1:7" x14ac:dyDescent="0.25">
      <c r="A2342" t="s">
        <v>353</v>
      </c>
      <c r="B2342" s="5">
        <v>41884</v>
      </c>
      <c r="C2342" s="5" t="s">
        <v>4293</v>
      </c>
      <c r="D2342" t="s">
        <v>4293</v>
      </c>
      <c r="G2342" t="s">
        <v>6159</v>
      </c>
    </row>
    <row r="2343" spans="1:7" x14ac:dyDescent="0.25">
      <c r="A2343" t="s">
        <v>250</v>
      </c>
      <c r="B2343" s="5">
        <v>42256</v>
      </c>
      <c r="C2343" s="5" t="s">
        <v>4294</v>
      </c>
      <c r="D2343" t="s">
        <v>4294</v>
      </c>
      <c r="G2343" t="s">
        <v>6159</v>
      </c>
    </row>
    <row r="2344" spans="1:7" x14ac:dyDescent="0.25">
      <c r="A2344" t="s">
        <v>75</v>
      </c>
      <c r="B2344" s="5">
        <v>42425</v>
      </c>
      <c r="C2344" s="5" t="s">
        <v>4295</v>
      </c>
      <c r="D2344" t="s">
        <v>4295</v>
      </c>
      <c r="G2344" t="s">
        <v>6159</v>
      </c>
    </row>
    <row r="2345" spans="1:7" x14ac:dyDescent="0.25">
      <c r="A2345" t="s">
        <v>2902</v>
      </c>
      <c r="B2345" s="5">
        <v>42040</v>
      </c>
      <c r="C2345" s="5" t="s">
        <v>4296</v>
      </c>
      <c r="D2345" t="s">
        <v>4296</v>
      </c>
      <c r="G2345" t="s">
        <v>6159</v>
      </c>
    </row>
    <row r="2346" spans="1:7" x14ac:dyDescent="0.25">
      <c r="A2346" t="s">
        <v>179</v>
      </c>
      <c r="B2346" s="5">
        <v>42249</v>
      </c>
      <c r="C2346" s="5" t="s">
        <v>4297</v>
      </c>
      <c r="D2346" t="s">
        <v>4297</v>
      </c>
      <c r="G2346" t="s">
        <v>6159</v>
      </c>
    </row>
    <row r="2347" spans="1:7" x14ac:dyDescent="0.25">
      <c r="A2347" t="s">
        <v>52</v>
      </c>
      <c r="B2347" s="5">
        <v>42044</v>
      </c>
      <c r="C2347" s="5" t="s">
        <v>4298</v>
      </c>
      <c r="D2347" t="s">
        <v>4298</v>
      </c>
      <c r="G2347" t="s">
        <v>6159</v>
      </c>
    </row>
    <row r="2348" spans="1:7" x14ac:dyDescent="0.25">
      <c r="A2348" t="s">
        <v>2903</v>
      </c>
      <c r="B2348" s="5">
        <v>41892</v>
      </c>
      <c r="C2348" s="5" t="s">
        <v>4299</v>
      </c>
      <c r="D2348" t="s">
        <v>4299</v>
      </c>
      <c r="G2348" t="s">
        <v>6159</v>
      </c>
    </row>
    <row r="2349" spans="1:7" x14ac:dyDescent="0.25">
      <c r="A2349" t="s">
        <v>133</v>
      </c>
      <c r="B2349" s="5">
        <v>42250</v>
      </c>
      <c r="C2349" s="5" t="s">
        <v>4300</v>
      </c>
      <c r="D2349" t="s">
        <v>4300</v>
      </c>
      <c r="G2349" t="s">
        <v>6159</v>
      </c>
    </row>
    <row r="2350" spans="1:7" x14ac:dyDescent="0.25">
      <c r="A2350" t="s">
        <v>284</v>
      </c>
      <c r="B2350" s="5">
        <v>42249</v>
      </c>
      <c r="C2350" s="5" t="s">
        <v>4301</v>
      </c>
      <c r="D2350" t="s">
        <v>4301</v>
      </c>
      <c r="G2350" t="s">
        <v>6159</v>
      </c>
    </row>
    <row r="2351" spans="1:7" x14ac:dyDescent="0.25">
      <c r="A2351" t="s">
        <v>355</v>
      </c>
      <c r="B2351" s="5">
        <v>42332</v>
      </c>
      <c r="C2351" s="5" t="s">
        <v>4302</v>
      </c>
      <c r="D2351" t="s">
        <v>4302</v>
      </c>
      <c r="G2351" t="s">
        <v>6159</v>
      </c>
    </row>
    <row r="2352" spans="1:7" x14ac:dyDescent="0.25">
      <c r="A2352" t="s">
        <v>54</v>
      </c>
      <c r="B2352" s="5">
        <v>41960</v>
      </c>
      <c r="C2352" s="5" t="s">
        <v>4303</v>
      </c>
      <c r="D2352" t="s">
        <v>4303</v>
      </c>
      <c r="G2352" t="s">
        <v>6159</v>
      </c>
    </row>
    <row r="2353" spans="1:7" x14ac:dyDescent="0.25">
      <c r="A2353" t="s">
        <v>93</v>
      </c>
      <c r="B2353" s="5">
        <v>42298</v>
      </c>
      <c r="C2353" s="5" t="s">
        <v>4304</v>
      </c>
      <c r="D2353" t="s">
        <v>4304</v>
      </c>
      <c r="G2353" t="s">
        <v>6159</v>
      </c>
    </row>
    <row r="2354" spans="1:7" x14ac:dyDescent="0.25">
      <c r="A2354" t="s">
        <v>326</v>
      </c>
      <c r="B2354" s="5">
        <v>41955</v>
      </c>
      <c r="C2354" s="5" t="s">
        <v>4305</v>
      </c>
      <c r="D2354" t="s">
        <v>4305</v>
      </c>
      <c r="G2354" t="s">
        <v>6159</v>
      </c>
    </row>
    <row r="2355" spans="1:7" x14ac:dyDescent="0.25">
      <c r="A2355" t="s">
        <v>50</v>
      </c>
      <c r="B2355" s="5">
        <v>42234</v>
      </c>
      <c r="C2355" s="5" t="s">
        <v>4306</v>
      </c>
      <c r="D2355" t="s">
        <v>4306</v>
      </c>
      <c r="G2355" t="s">
        <v>6159</v>
      </c>
    </row>
    <row r="2356" spans="1:7" x14ac:dyDescent="0.25">
      <c r="A2356" t="s">
        <v>2900</v>
      </c>
      <c r="B2356" s="5">
        <v>42297</v>
      </c>
      <c r="C2356" s="5" t="s">
        <v>4307</v>
      </c>
      <c r="D2356" t="s">
        <v>4307</v>
      </c>
      <c r="G2356" t="s">
        <v>6159</v>
      </c>
    </row>
    <row r="2357" spans="1:7" x14ac:dyDescent="0.25">
      <c r="A2357" t="s">
        <v>228</v>
      </c>
      <c r="B2357" s="5">
        <v>42039</v>
      </c>
      <c r="C2357" s="5" t="s">
        <v>4308</v>
      </c>
      <c r="D2357" t="s">
        <v>4308</v>
      </c>
      <c r="G2357" t="s">
        <v>6159</v>
      </c>
    </row>
    <row r="2358" spans="1:7" x14ac:dyDescent="0.25">
      <c r="A2358" t="s">
        <v>2876</v>
      </c>
      <c r="B2358" s="5">
        <v>42296</v>
      </c>
      <c r="C2358" s="5" t="s">
        <v>4309</v>
      </c>
      <c r="D2358" t="s">
        <v>4309</v>
      </c>
      <c r="G2358" t="s">
        <v>6159</v>
      </c>
    </row>
    <row r="2359" spans="1:7" x14ac:dyDescent="0.25">
      <c r="A2359" t="s">
        <v>157</v>
      </c>
      <c r="B2359" s="5">
        <v>42256</v>
      </c>
      <c r="C2359" s="5" t="s">
        <v>4310</v>
      </c>
      <c r="D2359" t="s">
        <v>4310</v>
      </c>
      <c r="G2359" t="s">
        <v>6159</v>
      </c>
    </row>
    <row r="2360" spans="1:7" x14ac:dyDescent="0.25">
      <c r="A2360" t="s">
        <v>133</v>
      </c>
      <c r="B2360" s="5">
        <v>42458</v>
      </c>
      <c r="C2360" s="5" t="s">
        <v>4311</v>
      </c>
      <c r="D2360" t="s">
        <v>4311</v>
      </c>
      <c r="G2360" t="s">
        <v>6159</v>
      </c>
    </row>
    <row r="2361" spans="1:7" x14ac:dyDescent="0.25">
      <c r="A2361" t="s">
        <v>164</v>
      </c>
      <c r="B2361" s="5">
        <v>42325</v>
      </c>
      <c r="C2361" s="5" t="s">
        <v>4312</v>
      </c>
      <c r="D2361" t="s">
        <v>4312</v>
      </c>
      <c r="G2361" t="s">
        <v>6159</v>
      </c>
    </row>
    <row r="2362" spans="1:7" x14ac:dyDescent="0.25">
      <c r="A2362" t="s">
        <v>2878</v>
      </c>
      <c r="B2362" s="5">
        <v>42493</v>
      </c>
      <c r="C2362" s="5" t="s">
        <v>4313</v>
      </c>
      <c r="D2362" t="s">
        <v>4313</v>
      </c>
      <c r="G2362" t="s">
        <v>6159</v>
      </c>
    </row>
    <row r="2363" spans="1:7" x14ac:dyDescent="0.25">
      <c r="A2363" t="s">
        <v>150</v>
      </c>
      <c r="B2363" s="5">
        <v>42528</v>
      </c>
      <c r="C2363" s="5" t="s">
        <v>4314</v>
      </c>
      <c r="D2363" t="s">
        <v>4314</v>
      </c>
      <c r="G2363" t="s">
        <v>6159</v>
      </c>
    </row>
    <row r="2364" spans="1:7" x14ac:dyDescent="0.25">
      <c r="A2364" t="s">
        <v>2108</v>
      </c>
      <c r="B2364" s="5">
        <v>41886</v>
      </c>
      <c r="C2364" s="5" t="s">
        <v>4315</v>
      </c>
      <c r="D2364" t="s">
        <v>4315</v>
      </c>
      <c r="G2364" t="s">
        <v>6159</v>
      </c>
    </row>
    <row r="2365" spans="1:7" x14ac:dyDescent="0.25">
      <c r="A2365" t="s">
        <v>181</v>
      </c>
      <c r="B2365" s="5">
        <v>42296</v>
      </c>
      <c r="C2365" s="5" t="s">
        <v>4316</v>
      </c>
      <c r="D2365" t="s">
        <v>4316</v>
      </c>
      <c r="G2365" t="s">
        <v>6159</v>
      </c>
    </row>
    <row r="2366" spans="1:7" x14ac:dyDescent="0.25">
      <c r="A2366" t="s">
        <v>318</v>
      </c>
      <c r="B2366" s="5">
        <v>42410</v>
      </c>
      <c r="C2366" s="5" t="s">
        <v>4317</v>
      </c>
      <c r="D2366" t="s">
        <v>4317</v>
      </c>
      <c r="G2366" t="s">
        <v>6159</v>
      </c>
    </row>
    <row r="2367" spans="1:7" x14ac:dyDescent="0.25">
      <c r="A2367" t="s">
        <v>72</v>
      </c>
      <c r="B2367" s="5">
        <v>42458</v>
      </c>
      <c r="C2367" s="5" t="s">
        <v>4318</v>
      </c>
      <c r="D2367" t="s">
        <v>4318</v>
      </c>
      <c r="G2367" t="s">
        <v>6159</v>
      </c>
    </row>
    <row r="2368" spans="1:7" x14ac:dyDescent="0.25">
      <c r="A2368" t="s">
        <v>2873</v>
      </c>
      <c r="B2368" s="5">
        <v>42377</v>
      </c>
      <c r="C2368" s="5" t="s">
        <v>4319</v>
      </c>
      <c r="D2368" t="s">
        <v>4319</v>
      </c>
      <c r="G2368" t="s">
        <v>6159</v>
      </c>
    </row>
    <row r="2369" spans="1:7" x14ac:dyDescent="0.25">
      <c r="A2369" t="s">
        <v>318</v>
      </c>
      <c r="B2369" s="5">
        <v>42332</v>
      </c>
      <c r="C2369" s="5" t="s">
        <v>4320</v>
      </c>
      <c r="D2369" t="s">
        <v>4320</v>
      </c>
      <c r="G2369" t="s">
        <v>6159</v>
      </c>
    </row>
    <row r="2370" spans="1:7" x14ac:dyDescent="0.25">
      <c r="A2370" t="s">
        <v>180</v>
      </c>
      <c r="B2370" s="5">
        <v>39169</v>
      </c>
      <c r="C2370" s="5" t="s">
        <v>4321</v>
      </c>
      <c r="D2370" t="s">
        <v>4321</v>
      </c>
      <c r="G2370" t="s">
        <v>6159</v>
      </c>
    </row>
    <row r="2371" spans="1:7" x14ac:dyDescent="0.25">
      <c r="A2371" t="s">
        <v>357</v>
      </c>
      <c r="B2371" s="5">
        <v>38572</v>
      </c>
      <c r="C2371" s="5" t="s">
        <v>4322</v>
      </c>
      <c r="D2371" t="s">
        <v>4322</v>
      </c>
      <c r="G2371" t="s">
        <v>6159</v>
      </c>
    </row>
    <row r="2372" spans="1:7" x14ac:dyDescent="0.25">
      <c r="A2372" t="s">
        <v>2870</v>
      </c>
      <c r="B2372" s="5">
        <v>39301</v>
      </c>
      <c r="C2372" s="5" t="s">
        <v>4323</v>
      </c>
      <c r="D2372" t="s">
        <v>4323</v>
      </c>
      <c r="G2372" t="s">
        <v>6159</v>
      </c>
    </row>
    <row r="2373" spans="1:7" x14ac:dyDescent="0.25">
      <c r="A2373" t="s">
        <v>2840</v>
      </c>
      <c r="B2373" s="5">
        <v>39301</v>
      </c>
      <c r="C2373" s="5" t="s">
        <v>4324</v>
      </c>
      <c r="D2373" t="s">
        <v>4324</v>
      </c>
      <c r="G2373" t="s">
        <v>6159</v>
      </c>
    </row>
    <row r="2374" spans="1:7" x14ac:dyDescent="0.25">
      <c r="A2374" t="s">
        <v>54</v>
      </c>
      <c r="B2374" s="5">
        <v>38580</v>
      </c>
      <c r="C2374" s="5" t="s">
        <v>4325</v>
      </c>
      <c r="D2374" t="s">
        <v>4325</v>
      </c>
      <c r="G2374" t="s">
        <v>6159</v>
      </c>
    </row>
    <row r="2375" spans="1:7" x14ac:dyDescent="0.25">
      <c r="A2375" t="s">
        <v>350</v>
      </c>
      <c r="B2375" s="5">
        <v>39300</v>
      </c>
      <c r="C2375" s="5" t="s">
        <v>4326</v>
      </c>
      <c r="D2375" t="s">
        <v>4326</v>
      </c>
      <c r="G2375" t="s">
        <v>6159</v>
      </c>
    </row>
    <row r="2376" spans="1:7" x14ac:dyDescent="0.25">
      <c r="A2376" t="s">
        <v>1726</v>
      </c>
      <c r="B2376" s="5">
        <v>38587</v>
      </c>
      <c r="C2376" s="5" t="s">
        <v>4327</v>
      </c>
      <c r="D2376" t="s">
        <v>4327</v>
      </c>
      <c r="G2376" t="s">
        <v>6159</v>
      </c>
    </row>
    <row r="2377" spans="1:7" x14ac:dyDescent="0.25">
      <c r="A2377" t="s">
        <v>342</v>
      </c>
      <c r="B2377" s="5">
        <v>38623</v>
      </c>
      <c r="C2377" s="5" t="s">
        <v>4328</v>
      </c>
      <c r="D2377" t="s">
        <v>4328</v>
      </c>
      <c r="G2377" t="s">
        <v>6159</v>
      </c>
    </row>
    <row r="2378" spans="1:7" x14ac:dyDescent="0.25">
      <c r="A2378" t="s">
        <v>2829</v>
      </c>
      <c r="B2378" s="5">
        <v>38624</v>
      </c>
      <c r="C2378" s="5" t="s">
        <v>4329</v>
      </c>
      <c r="D2378" t="s">
        <v>4329</v>
      </c>
      <c r="G2378" t="s">
        <v>6159</v>
      </c>
    </row>
    <row r="2379" spans="1:7" x14ac:dyDescent="0.25">
      <c r="A2379" t="s">
        <v>2823</v>
      </c>
      <c r="B2379" s="5">
        <v>38672</v>
      </c>
      <c r="C2379" s="5" t="s">
        <v>4330</v>
      </c>
      <c r="D2379" t="s">
        <v>4330</v>
      </c>
      <c r="G2379" t="s">
        <v>6159</v>
      </c>
    </row>
    <row r="2380" spans="1:7" x14ac:dyDescent="0.25">
      <c r="A2380" t="s">
        <v>2857</v>
      </c>
      <c r="B2380" s="5">
        <v>39947</v>
      </c>
      <c r="C2380" s="5" t="s">
        <v>4331</v>
      </c>
      <c r="D2380" t="s">
        <v>4331</v>
      </c>
      <c r="G2380" t="s">
        <v>6159</v>
      </c>
    </row>
    <row r="2381" spans="1:7" x14ac:dyDescent="0.25">
      <c r="A2381" t="s">
        <v>2904</v>
      </c>
      <c r="B2381" s="5">
        <v>38748</v>
      </c>
      <c r="C2381" s="5" t="s">
        <v>4332</v>
      </c>
      <c r="D2381" t="s">
        <v>4332</v>
      </c>
      <c r="G2381" t="s">
        <v>6159</v>
      </c>
    </row>
    <row r="2382" spans="1:7" x14ac:dyDescent="0.25">
      <c r="A2382" t="s">
        <v>2900</v>
      </c>
      <c r="B2382" s="5">
        <v>38748</v>
      </c>
      <c r="C2382" s="5" t="s">
        <v>4333</v>
      </c>
      <c r="D2382" t="s">
        <v>4333</v>
      </c>
      <c r="G2382" t="s">
        <v>6159</v>
      </c>
    </row>
    <row r="2383" spans="1:7" x14ac:dyDescent="0.25">
      <c r="A2383" t="s">
        <v>2884</v>
      </c>
      <c r="B2383" s="5">
        <v>38748</v>
      </c>
      <c r="C2383" s="5" t="s">
        <v>4334</v>
      </c>
      <c r="D2383" t="s">
        <v>4334</v>
      </c>
      <c r="G2383" t="s">
        <v>6159</v>
      </c>
    </row>
    <row r="2384" spans="1:7" x14ac:dyDescent="0.25">
      <c r="A2384" t="s">
        <v>192</v>
      </c>
      <c r="B2384" s="5">
        <v>38748</v>
      </c>
      <c r="C2384" s="5" t="s">
        <v>4335</v>
      </c>
      <c r="D2384" t="s">
        <v>4335</v>
      </c>
      <c r="G2384" t="s">
        <v>6159</v>
      </c>
    </row>
    <row r="2385" spans="1:7" x14ac:dyDescent="0.25">
      <c r="A2385" t="s">
        <v>2861</v>
      </c>
      <c r="B2385" s="5">
        <v>38749</v>
      </c>
      <c r="C2385" s="5" t="s">
        <v>4336</v>
      </c>
      <c r="D2385" t="s">
        <v>4336</v>
      </c>
      <c r="G2385" t="s">
        <v>6159</v>
      </c>
    </row>
    <row r="2386" spans="1:7" x14ac:dyDescent="0.25">
      <c r="A2386" t="s">
        <v>2905</v>
      </c>
      <c r="B2386" s="5">
        <v>38749</v>
      </c>
      <c r="C2386" s="5" t="s">
        <v>4337</v>
      </c>
      <c r="D2386" t="s">
        <v>4337</v>
      </c>
      <c r="G2386" t="s">
        <v>6159</v>
      </c>
    </row>
    <row r="2387" spans="1:7" x14ac:dyDescent="0.25">
      <c r="A2387" t="s">
        <v>2876</v>
      </c>
      <c r="B2387" s="5">
        <v>38749</v>
      </c>
      <c r="C2387" s="5" t="s">
        <v>4338</v>
      </c>
      <c r="D2387" t="s">
        <v>4338</v>
      </c>
      <c r="G2387" t="s">
        <v>6159</v>
      </c>
    </row>
    <row r="2388" spans="1:7" x14ac:dyDescent="0.25">
      <c r="A2388" t="s">
        <v>2906</v>
      </c>
      <c r="B2388" s="5">
        <v>38774</v>
      </c>
      <c r="C2388" s="5" t="s">
        <v>4339</v>
      </c>
      <c r="D2388" t="s">
        <v>4339</v>
      </c>
      <c r="G2388" t="s">
        <v>6159</v>
      </c>
    </row>
    <row r="2389" spans="1:7" x14ac:dyDescent="0.25">
      <c r="A2389" t="s">
        <v>166</v>
      </c>
      <c r="B2389" s="5">
        <v>39884</v>
      </c>
      <c r="C2389" s="5" t="s">
        <v>4340</v>
      </c>
      <c r="D2389" t="s">
        <v>4340</v>
      </c>
      <c r="G2389" t="s">
        <v>6159</v>
      </c>
    </row>
    <row r="2390" spans="1:7" x14ac:dyDescent="0.25">
      <c r="A2390" t="s">
        <v>2775</v>
      </c>
      <c r="B2390" s="5">
        <v>38818</v>
      </c>
      <c r="C2390" s="5" t="s">
        <v>4341</v>
      </c>
      <c r="D2390" t="s">
        <v>4341</v>
      </c>
      <c r="G2390" t="s">
        <v>6159</v>
      </c>
    </row>
    <row r="2391" spans="1:7" x14ac:dyDescent="0.25">
      <c r="A2391" t="s">
        <v>320</v>
      </c>
      <c r="B2391" s="5">
        <v>38832</v>
      </c>
      <c r="C2391" s="5" t="s">
        <v>4342</v>
      </c>
      <c r="D2391" t="s">
        <v>4342</v>
      </c>
      <c r="G2391" t="s">
        <v>6159</v>
      </c>
    </row>
    <row r="2392" spans="1:7" x14ac:dyDescent="0.25">
      <c r="A2392" t="s">
        <v>79</v>
      </c>
      <c r="B2392" s="5">
        <v>38846</v>
      </c>
      <c r="C2392" s="5" t="s">
        <v>4343</v>
      </c>
      <c r="D2392" t="s">
        <v>4343</v>
      </c>
      <c r="G2392" t="s">
        <v>6159</v>
      </c>
    </row>
    <row r="2393" spans="1:7" x14ac:dyDescent="0.25">
      <c r="A2393" t="s">
        <v>2820</v>
      </c>
      <c r="B2393" s="5">
        <v>38846</v>
      </c>
      <c r="C2393" s="5" t="s">
        <v>4344</v>
      </c>
      <c r="D2393" t="s">
        <v>4344</v>
      </c>
      <c r="G2393" t="s">
        <v>6159</v>
      </c>
    </row>
    <row r="2394" spans="1:7" x14ac:dyDescent="0.25">
      <c r="A2394" t="s">
        <v>216</v>
      </c>
      <c r="B2394" s="5">
        <v>41193</v>
      </c>
      <c r="C2394" s="5" t="s">
        <v>4345</v>
      </c>
      <c r="D2394" t="s">
        <v>4345</v>
      </c>
      <c r="G2394" t="s">
        <v>6159</v>
      </c>
    </row>
    <row r="2395" spans="1:7" x14ac:dyDescent="0.25">
      <c r="A2395" t="s">
        <v>2861</v>
      </c>
      <c r="B2395" s="5">
        <v>38925</v>
      </c>
      <c r="C2395" s="5" t="s">
        <v>4346</v>
      </c>
      <c r="D2395" t="s">
        <v>4346</v>
      </c>
      <c r="G2395" t="s">
        <v>6159</v>
      </c>
    </row>
    <row r="2396" spans="1:7" x14ac:dyDescent="0.25">
      <c r="A2396" t="s">
        <v>2904</v>
      </c>
      <c r="B2396" s="5">
        <v>38925</v>
      </c>
      <c r="C2396" s="5" t="s">
        <v>4347</v>
      </c>
      <c r="D2396" t="s">
        <v>4347</v>
      </c>
      <c r="G2396" t="s">
        <v>6159</v>
      </c>
    </row>
    <row r="2397" spans="1:7" x14ac:dyDescent="0.25">
      <c r="A2397" t="s">
        <v>192</v>
      </c>
      <c r="B2397" s="5">
        <v>38925</v>
      </c>
      <c r="C2397" s="5" t="s">
        <v>4348</v>
      </c>
      <c r="D2397" t="s">
        <v>4348</v>
      </c>
      <c r="G2397" t="s">
        <v>6159</v>
      </c>
    </row>
    <row r="2398" spans="1:7" x14ac:dyDescent="0.25">
      <c r="A2398" t="s">
        <v>2861</v>
      </c>
      <c r="B2398" s="5">
        <v>38936</v>
      </c>
      <c r="C2398" s="5" t="s">
        <v>4349</v>
      </c>
      <c r="D2398" t="s">
        <v>4349</v>
      </c>
      <c r="G2398" t="s">
        <v>6159</v>
      </c>
    </row>
    <row r="2399" spans="1:7" x14ac:dyDescent="0.25">
      <c r="A2399" t="s">
        <v>2904</v>
      </c>
      <c r="B2399" s="5">
        <v>38936</v>
      </c>
      <c r="C2399" s="5" t="s">
        <v>4350</v>
      </c>
      <c r="D2399" t="s">
        <v>4350</v>
      </c>
      <c r="G2399" t="s">
        <v>6159</v>
      </c>
    </row>
    <row r="2400" spans="1:7" x14ac:dyDescent="0.25">
      <c r="A2400" t="s">
        <v>2884</v>
      </c>
      <c r="B2400" s="5">
        <v>38936</v>
      </c>
      <c r="C2400" s="5" t="s">
        <v>4351</v>
      </c>
      <c r="D2400" t="s">
        <v>4351</v>
      </c>
      <c r="G2400" t="s">
        <v>6159</v>
      </c>
    </row>
    <row r="2401" spans="1:7" x14ac:dyDescent="0.25">
      <c r="A2401" t="s">
        <v>192</v>
      </c>
      <c r="B2401" s="5">
        <v>38936</v>
      </c>
      <c r="C2401" s="5" t="s">
        <v>4352</v>
      </c>
      <c r="D2401" t="s">
        <v>4352</v>
      </c>
      <c r="G2401" t="s">
        <v>6159</v>
      </c>
    </row>
    <row r="2402" spans="1:7" x14ac:dyDescent="0.25">
      <c r="A2402" t="s">
        <v>2907</v>
      </c>
      <c r="B2402" s="5">
        <v>38946</v>
      </c>
      <c r="C2402" s="5" t="s">
        <v>4353</v>
      </c>
      <c r="D2402" t="s">
        <v>4353</v>
      </c>
      <c r="G2402" t="s">
        <v>6159</v>
      </c>
    </row>
    <row r="2403" spans="1:7" x14ac:dyDescent="0.25">
      <c r="A2403" t="s">
        <v>2876</v>
      </c>
      <c r="B2403" s="5">
        <v>38946</v>
      </c>
      <c r="C2403" s="5" t="s">
        <v>4354</v>
      </c>
      <c r="D2403" t="s">
        <v>4354</v>
      </c>
      <c r="G2403" t="s">
        <v>6159</v>
      </c>
    </row>
    <row r="2404" spans="1:7" x14ac:dyDescent="0.25">
      <c r="A2404" t="s">
        <v>2905</v>
      </c>
      <c r="B2404" s="5">
        <v>38946</v>
      </c>
      <c r="C2404" s="5" t="s">
        <v>4355</v>
      </c>
      <c r="D2404" t="s">
        <v>4355</v>
      </c>
      <c r="G2404" t="s">
        <v>6159</v>
      </c>
    </row>
    <row r="2405" spans="1:7" x14ac:dyDescent="0.25">
      <c r="A2405" t="s">
        <v>2905</v>
      </c>
      <c r="B2405" s="5">
        <v>38959</v>
      </c>
      <c r="C2405" s="5" t="s">
        <v>4356</v>
      </c>
      <c r="D2405" t="s">
        <v>4356</v>
      </c>
      <c r="G2405" t="s">
        <v>6159</v>
      </c>
    </row>
    <row r="2406" spans="1:7" x14ac:dyDescent="0.25">
      <c r="A2406" t="s">
        <v>2907</v>
      </c>
      <c r="B2406" s="5">
        <v>38960</v>
      </c>
      <c r="C2406" s="5" t="s">
        <v>4357</v>
      </c>
      <c r="D2406" t="s">
        <v>4357</v>
      </c>
      <c r="G2406" t="s">
        <v>6159</v>
      </c>
    </row>
    <row r="2407" spans="1:7" x14ac:dyDescent="0.25">
      <c r="A2407" t="s">
        <v>2908</v>
      </c>
      <c r="B2407" s="5">
        <v>39034</v>
      </c>
      <c r="C2407" s="5" t="s">
        <v>4358</v>
      </c>
      <c r="D2407" t="s">
        <v>4358</v>
      </c>
      <c r="G2407" t="s">
        <v>6159</v>
      </c>
    </row>
    <row r="2408" spans="1:7" x14ac:dyDescent="0.25">
      <c r="A2408" t="s">
        <v>2837</v>
      </c>
      <c r="B2408" s="5">
        <v>39034</v>
      </c>
      <c r="C2408" s="5" t="s">
        <v>4359</v>
      </c>
      <c r="D2408" t="s">
        <v>4359</v>
      </c>
      <c r="G2408" t="s">
        <v>6159</v>
      </c>
    </row>
    <row r="2409" spans="1:7" x14ac:dyDescent="0.25">
      <c r="A2409" t="s">
        <v>188</v>
      </c>
      <c r="B2409" s="5">
        <v>39784</v>
      </c>
      <c r="C2409" s="5" t="s">
        <v>4360</v>
      </c>
      <c r="D2409" t="s">
        <v>4360</v>
      </c>
      <c r="G2409" t="s">
        <v>6159</v>
      </c>
    </row>
    <row r="2410" spans="1:7" x14ac:dyDescent="0.25">
      <c r="A2410" t="s">
        <v>55</v>
      </c>
      <c r="B2410" s="5">
        <v>39771</v>
      </c>
      <c r="C2410" s="5" t="s">
        <v>4361</v>
      </c>
      <c r="D2410" t="s">
        <v>4361</v>
      </c>
      <c r="G2410" t="s">
        <v>6159</v>
      </c>
    </row>
    <row r="2411" spans="1:7" x14ac:dyDescent="0.25">
      <c r="A2411" t="s">
        <v>87</v>
      </c>
      <c r="B2411" s="5">
        <v>39035</v>
      </c>
      <c r="C2411" s="5" t="s">
        <v>4362</v>
      </c>
      <c r="D2411" t="s">
        <v>4362</v>
      </c>
      <c r="G2411" t="s">
        <v>6159</v>
      </c>
    </row>
    <row r="2412" spans="1:7" x14ac:dyDescent="0.25">
      <c r="A2412" t="s">
        <v>107</v>
      </c>
      <c r="B2412" s="5">
        <v>39035</v>
      </c>
      <c r="C2412" s="5" t="s">
        <v>4363</v>
      </c>
      <c r="D2412" t="s">
        <v>4363</v>
      </c>
      <c r="G2412" t="s">
        <v>6159</v>
      </c>
    </row>
    <row r="2413" spans="1:7" x14ac:dyDescent="0.25">
      <c r="A2413" t="s">
        <v>180</v>
      </c>
      <c r="B2413" s="5">
        <v>39035</v>
      </c>
      <c r="C2413" s="5" t="s">
        <v>4364</v>
      </c>
      <c r="D2413" t="s">
        <v>4364</v>
      </c>
      <c r="G2413" t="s">
        <v>6159</v>
      </c>
    </row>
    <row r="2414" spans="1:7" x14ac:dyDescent="0.25">
      <c r="A2414" t="s">
        <v>25</v>
      </c>
      <c r="B2414" s="5">
        <v>39035</v>
      </c>
      <c r="C2414" s="5" t="s">
        <v>4365</v>
      </c>
      <c r="D2414" t="s">
        <v>4365</v>
      </c>
      <c r="G2414" t="s">
        <v>6159</v>
      </c>
    </row>
    <row r="2415" spans="1:7" x14ac:dyDescent="0.25">
      <c r="A2415" t="s">
        <v>42</v>
      </c>
      <c r="B2415" s="5">
        <v>39770</v>
      </c>
      <c r="C2415" s="5" t="s">
        <v>4366</v>
      </c>
      <c r="D2415" t="s">
        <v>4366</v>
      </c>
      <c r="G2415" t="s">
        <v>6159</v>
      </c>
    </row>
    <row r="2416" spans="1:7" x14ac:dyDescent="0.25">
      <c r="A2416" t="s">
        <v>2838</v>
      </c>
      <c r="B2416" s="5">
        <v>39036</v>
      </c>
      <c r="C2416" s="5" t="s">
        <v>4367</v>
      </c>
      <c r="D2416" t="s">
        <v>4367</v>
      </c>
      <c r="G2416" t="s">
        <v>6159</v>
      </c>
    </row>
    <row r="2417" spans="1:7" x14ac:dyDescent="0.25">
      <c r="A2417" t="s">
        <v>153</v>
      </c>
      <c r="B2417" s="5">
        <v>39036</v>
      </c>
      <c r="C2417" s="5" t="s">
        <v>4368</v>
      </c>
      <c r="D2417" t="s">
        <v>4368</v>
      </c>
      <c r="G2417" t="s">
        <v>6159</v>
      </c>
    </row>
    <row r="2418" spans="1:7" x14ac:dyDescent="0.25">
      <c r="A2418" t="s">
        <v>96</v>
      </c>
      <c r="B2418" s="5">
        <v>39036</v>
      </c>
      <c r="C2418" s="5" t="s">
        <v>4369</v>
      </c>
      <c r="D2418" t="s">
        <v>4369</v>
      </c>
      <c r="G2418" t="s">
        <v>6159</v>
      </c>
    </row>
    <row r="2419" spans="1:7" x14ac:dyDescent="0.25">
      <c r="A2419" t="s">
        <v>232</v>
      </c>
      <c r="B2419" s="5">
        <v>39042</v>
      </c>
      <c r="C2419" s="5" t="s">
        <v>4370</v>
      </c>
      <c r="D2419" t="s">
        <v>4370</v>
      </c>
      <c r="G2419" t="s">
        <v>6159</v>
      </c>
    </row>
    <row r="2420" spans="1:7" x14ac:dyDescent="0.25">
      <c r="A2420" t="s">
        <v>62</v>
      </c>
      <c r="B2420" s="5">
        <v>39050</v>
      </c>
      <c r="C2420" s="5" t="s">
        <v>4371</v>
      </c>
      <c r="D2420" t="s">
        <v>4371</v>
      </c>
      <c r="G2420" t="s">
        <v>6159</v>
      </c>
    </row>
    <row r="2421" spans="1:7" x14ac:dyDescent="0.25">
      <c r="A2421" t="s">
        <v>2904</v>
      </c>
      <c r="B2421" s="5">
        <v>39057</v>
      </c>
      <c r="C2421" s="5" t="s">
        <v>4372</v>
      </c>
      <c r="D2421" t="s">
        <v>4372</v>
      </c>
      <c r="G2421" t="s">
        <v>6159</v>
      </c>
    </row>
    <row r="2422" spans="1:7" x14ac:dyDescent="0.25">
      <c r="A2422" t="s">
        <v>192</v>
      </c>
      <c r="B2422" s="5">
        <v>39057</v>
      </c>
      <c r="C2422" s="5" t="s">
        <v>4373</v>
      </c>
      <c r="D2422" t="s">
        <v>4373</v>
      </c>
      <c r="G2422" t="s">
        <v>6159</v>
      </c>
    </row>
    <row r="2423" spans="1:7" x14ac:dyDescent="0.25">
      <c r="A2423" t="s">
        <v>2861</v>
      </c>
      <c r="B2423" s="5">
        <v>39058</v>
      </c>
      <c r="C2423" s="5" t="s">
        <v>4374</v>
      </c>
      <c r="D2423" t="s">
        <v>4374</v>
      </c>
      <c r="G2423" t="s">
        <v>6159</v>
      </c>
    </row>
    <row r="2424" spans="1:7" x14ac:dyDescent="0.25">
      <c r="A2424" t="s">
        <v>2811</v>
      </c>
      <c r="B2424" s="5">
        <v>39139</v>
      </c>
      <c r="C2424" s="5" t="s">
        <v>4375</v>
      </c>
      <c r="D2424" t="s">
        <v>4375</v>
      </c>
      <c r="G2424" t="s">
        <v>6159</v>
      </c>
    </row>
    <row r="2425" spans="1:7" x14ac:dyDescent="0.25">
      <c r="A2425" t="s">
        <v>2830</v>
      </c>
      <c r="B2425" s="5">
        <v>39140</v>
      </c>
      <c r="C2425" s="5" t="s">
        <v>4376</v>
      </c>
      <c r="D2425" t="s">
        <v>4376</v>
      </c>
      <c r="G2425" t="s">
        <v>6159</v>
      </c>
    </row>
    <row r="2426" spans="1:7" x14ac:dyDescent="0.25">
      <c r="A2426" t="s">
        <v>2841</v>
      </c>
      <c r="B2426" s="5">
        <v>39140</v>
      </c>
      <c r="C2426" s="5" t="s">
        <v>4377</v>
      </c>
      <c r="D2426" t="s">
        <v>4377</v>
      </c>
      <c r="G2426" t="s">
        <v>6159</v>
      </c>
    </row>
    <row r="2427" spans="1:7" x14ac:dyDescent="0.25">
      <c r="A2427" t="s">
        <v>188</v>
      </c>
      <c r="B2427" s="5">
        <v>39680</v>
      </c>
      <c r="C2427" s="5" t="s">
        <v>4378</v>
      </c>
      <c r="D2427" t="s">
        <v>4378</v>
      </c>
      <c r="G2427" t="s">
        <v>6159</v>
      </c>
    </row>
    <row r="2428" spans="1:7" x14ac:dyDescent="0.25">
      <c r="A2428" t="s">
        <v>153</v>
      </c>
      <c r="B2428" s="5">
        <v>39169</v>
      </c>
      <c r="C2428" s="5" t="s">
        <v>4379</v>
      </c>
      <c r="D2428" t="s">
        <v>4379</v>
      </c>
      <c r="G2428" t="s">
        <v>6159</v>
      </c>
    </row>
    <row r="2429" spans="1:7" x14ac:dyDescent="0.25">
      <c r="A2429" t="s">
        <v>87</v>
      </c>
      <c r="B2429" s="5">
        <v>39191</v>
      </c>
      <c r="C2429" s="5" t="s">
        <v>4380</v>
      </c>
      <c r="D2429" t="s">
        <v>4380</v>
      </c>
      <c r="G2429" t="s">
        <v>6159</v>
      </c>
    </row>
    <row r="2430" spans="1:7" x14ac:dyDescent="0.25">
      <c r="A2430" t="s">
        <v>2908</v>
      </c>
      <c r="B2430" s="5">
        <v>39203</v>
      </c>
      <c r="C2430" s="5" t="s">
        <v>4381</v>
      </c>
      <c r="D2430" t="s">
        <v>4381</v>
      </c>
      <c r="G2430" t="s">
        <v>6159</v>
      </c>
    </row>
    <row r="2431" spans="1:7" x14ac:dyDescent="0.25">
      <c r="A2431" t="s">
        <v>2908</v>
      </c>
      <c r="B2431" s="5">
        <v>39219</v>
      </c>
      <c r="C2431" s="5" t="s">
        <v>4382</v>
      </c>
      <c r="D2431" t="s">
        <v>4382</v>
      </c>
      <c r="G2431" t="s">
        <v>6159</v>
      </c>
    </row>
    <row r="2432" spans="1:7" x14ac:dyDescent="0.25">
      <c r="A2432" t="s">
        <v>2836</v>
      </c>
      <c r="B2432" s="5">
        <v>39232</v>
      </c>
      <c r="C2432" s="5" t="s">
        <v>4383</v>
      </c>
      <c r="D2432" t="s">
        <v>4383</v>
      </c>
      <c r="G2432" t="s">
        <v>6159</v>
      </c>
    </row>
    <row r="2433" spans="1:7" x14ac:dyDescent="0.25">
      <c r="A2433" t="s">
        <v>56</v>
      </c>
      <c r="B2433" s="5">
        <v>39237</v>
      </c>
      <c r="C2433" s="5" t="s">
        <v>4384</v>
      </c>
      <c r="D2433" t="s">
        <v>4384</v>
      </c>
      <c r="G2433" t="s">
        <v>6159</v>
      </c>
    </row>
    <row r="2434" spans="1:7" x14ac:dyDescent="0.25">
      <c r="A2434" t="s">
        <v>118</v>
      </c>
      <c r="B2434" s="5">
        <v>40302</v>
      </c>
      <c r="C2434" s="5" t="s">
        <v>4385</v>
      </c>
      <c r="D2434" t="s">
        <v>4385</v>
      </c>
      <c r="G2434" t="s">
        <v>6159</v>
      </c>
    </row>
    <row r="2435" spans="1:7" x14ac:dyDescent="0.25">
      <c r="A2435" t="s">
        <v>2813</v>
      </c>
      <c r="B2435" s="5">
        <v>39260</v>
      </c>
      <c r="C2435" s="5" t="s">
        <v>4386</v>
      </c>
      <c r="D2435" t="s">
        <v>4386</v>
      </c>
      <c r="G2435" t="s">
        <v>6159</v>
      </c>
    </row>
    <row r="2436" spans="1:7" x14ac:dyDescent="0.25">
      <c r="A2436" t="s">
        <v>139</v>
      </c>
      <c r="B2436" s="5">
        <v>40246</v>
      </c>
      <c r="C2436" s="5" t="s">
        <v>4387</v>
      </c>
      <c r="D2436" t="s">
        <v>4387</v>
      </c>
      <c r="G2436" t="s">
        <v>6159</v>
      </c>
    </row>
    <row r="2437" spans="1:7" x14ac:dyDescent="0.25">
      <c r="A2437" t="s">
        <v>2824</v>
      </c>
      <c r="B2437" s="5">
        <v>39261</v>
      </c>
      <c r="C2437" s="5" t="s">
        <v>4388</v>
      </c>
      <c r="D2437" t="s">
        <v>4388</v>
      </c>
      <c r="G2437" t="s">
        <v>6159</v>
      </c>
    </row>
    <row r="2438" spans="1:7" x14ac:dyDescent="0.25">
      <c r="A2438" t="s">
        <v>2849</v>
      </c>
      <c r="B2438" s="5">
        <v>39261</v>
      </c>
      <c r="C2438" s="5" t="s">
        <v>4389</v>
      </c>
      <c r="D2438" t="s">
        <v>4389</v>
      </c>
      <c r="G2438" t="s">
        <v>6159</v>
      </c>
    </row>
    <row r="2439" spans="1:7" x14ac:dyDescent="0.25">
      <c r="A2439" t="s">
        <v>2773</v>
      </c>
      <c r="B2439" s="5">
        <v>39261</v>
      </c>
      <c r="C2439" s="5" t="s">
        <v>4390</v>
      </c>
      <c r="D2439" t="s">
        <v>4390</v>
      </c>
      <c r="G2439" t="s">
        <v>6159</v>
      </c>
    </row>
    <row r="2440" spans="1:7" x14ac:dyDescent="0.25">
      <c r="A2440" t="s">
        <v>350</v>
      </c>
      <c r="B2440" s="5">
        <v>39262</v>
      </c>
      <c r="C2440" s="5" t="s">
        <v>4391</v>
      </c>
      <c r="D2440" t="s">
        <v>4391</v>
      </c>
      <c r="G2440" t="s">
        <v>6159</v>
      </c>
    </row>
    <row r="2441" spans="1:7" x14ac:dyDescent="0.25">
      <c r="A2441" t="s">
        <v>2909</v>
      </c>
      <c r="B2441" s="5">
        <v>40201</v>
      </c>
      <c r="C2441" s="5" t="s">
        <v>4392</v>
      </c>
      <c r="D2441" t="s">
        <v>4392</v>
      </c>
      <c r="G2441" t="s">
        <v>6159</v>
      </c>
    </row>
    <row r="2442" spans="1:7" x14ac:dyDescent="0.25">
      <c r="A2442" t="s">
        <v>374</v>
      </c>
      <c r="B2442" s="5">
        <v>39617</v>
      </c>
      <c r="C2442" s="5" t="s">
        <v>4393</v>
      </c>
      <c r="D2442" t="s">
        <v>4393</v>
      </c>
      <c r="G2442" t="s">
        <v>6159</v>
      </c>
    </row>
    <row r="2443" spans="1:7" x14ac:dyDescent="0.25">
      <c r="A2443" t="s">
        <v>222</v>
      </c>
      <c r="B2443" s="5">
        <v>39617</v>
      </c>
      <c r="C2443" s="5" t="s">
        <v>4394</v>
      </c>
      <c r="D2443" t="s">
        <v>4394</v>
      </c>
      <c r="G2443" t="s">
        <v>6159</v>
      </c>
    </row>
    <row r="2444" spans="1:7" x14ac:dyDescent="0.25">
      <c r="A2444" t="s">
        <v>220</v>
      </c>
      <c r="B2444" s="5">
        <v>39616</v>
      </c>
      <c r="C2444" s="5" t="s">
        <v>4395</v>
      </c>
      <c r="D2444" t="s">
        <v>4395</v>
      </c>
      <c r="G2444" t="s">
        <v>6159</v>
      </c>
    </row>
    <row r="2445" spans="1:7" x14ac:dyDescent="0.25">
      <c r="A2445" t="s">
        <v>375</v>
      </c>
      <c r="B2445" s="5">
        <v>39616</v>
      </c>
      <c r="C2445" s="5" t="s">
        <v>4396</v>
      </c>
      <c r="D2445" t="s">
        <v>4396</v>
      </c>
      <c r="G2445" t="s">
        <v>6159</v>
      </c>
    </row>
    <row r="2446" spans="1:7" x14ac:dyDescent="0.25">
      <c r="A2446" t="s">
        <v>347</v>
      </c>
      <c r="B2446" s="5">
        <v>39616</v>
      </c>
      <c r="C2446" s="5" t="s">
        <v>4397</v>
      </c>
      <c r="D2446" t="s">
        <v>4397</v>
      </c>
      <c r="G2446" t="s">
        <v>6159</v>
      </c>
    </row>
    <row r="2447" spans="1:7" x14ac:dyDescent="0.25">
      <c r="A2447" t="s">
        <v>2852</v>
      </c>
      <c r="B2447" s="5">
        <v>39588</v>
      </c>
      <c r="C2447" s="5" t="s">
        <v>4398</v>
      </c>
      <c r="D2447" t="s">
        <v>4398</v>
      </c>
      <c r="G2447" t="s">
        <v>6159</v>
      </c>
    </row>
    <row r="2448" spans="1:7" x14ac:dyDescent="0.25">
      <c r="A2448" t="s">
        <v>2841</v>
      </c>
      <c r="B2448" s="5">
        <v>40063</v>
      </c>
      <c r="C2448" s="5" t="s">
        <v>4399</v>
      </c>
      <c r="D2448" t="s">
        <v>4399</v>
      </c>
      <c r="G2448" t="s">
        <v>6159</v>
      </c>
    </row>
    <row r="2449" spans="1:7" x14ac:dyDescent="0.25">
      <c r="A2449" t="s">
        <v>2841</v>
      </c>
      <c r="B2449" s="5">
        <v>40014</v>
      </c>
      <c r="C2449" s="5" t="s">
        <v>4400</v>
      </c>
      <c r="D2449" t="s">
        <v>4400</v>
      </c>
      <c r="G2449" t="s">
        <v>6159</v>
      </c>
    </row>
    <row r="2450" spans="1:7" x14ac:dyDescent="0.25">
      <c r="A2450" t="s">
        <v>78</v>
      </c>
      <c r="B2450" s="5">
        <v>39561</v>
      </c>
      <c r="C2450" s="5" t="s">
        <v>4401</v>
      </c>
      <c r="D2450" t="s">
        <v>4401</v>
      </c>
      <c r="G2450" t="s">
        <v>6159</v>
      </c>
    </row>
    <row r="2451" spans="1:7" x14ac:dyDescent="0.25">
      <c r="A2451" t="s">
        <v>165</v>
      </c>
      <c r="B2451" s="5">
        <v>39560</v>
      </c>
      <c r="C2451" s="5" t="s">
        <v>4402</v>
      </c>
      <c r="D2451" t="s">
        <v>4402</v>
      </c>
      <c r="G2451" t="s">
        <v>6159</v>
      </c>
    </row>
    <row r="2452" spans="1:7" x14ac:dyDescent="0.25">
      <c r="A2452" t="s">
        <v>338</v>
      </c>
      <c r="B2452" s="5">
        <v>39533</v>
      </c>
      <c r="C2452" s="5" t="s">
        <v>4403</v>
      </c>
      <c r="D2452" t="s">
        <v>4403</v>
      </c>
      <c r="G2452" t="s">
        <v>6159</v>
      </c>
    </row>
    <row r="2453" spans="1:7" x14ac:dyDescent="0.25">
      <c r="A2453" t="s">
        <v>222</v>
      </c>
      <c r="B2453" s="5">
        <v>39528</v>
      </c>
      <c r="C2453" s="5" t="s">
        <v>4404</v>
      </c>
      <c r="D2453" t="s">
        <v>4404</v>
      </c>
      <c r="G2453" t="s">
        <v>6159</v>
      </c>
    </row>
    <row r="2454" spans="1:7" x14ac:dyDescent="0.25">
      <c r="A2454" t="s">
        <v>2870</v>
      </c>
      <c r="B2454" s="5">
        <v>39475</v>
      </c>
      <c r="C2454" s="5" t="s">
        <v>4405</v>
      </c>
      <c r="D2454" t="s">
        <v>4405</v>
      </c>
      <c r="G2454" t="s">
        <v>6159</v>
      </c>
    </row>
    <row r="2455" spans="1:7" x14ac:dyDescent="0.25">
      <c r="A2455" t="s">
        <v>2910</v>
      </c>
      <c r="B2455" s="5">
        <v>39475</v>
      </c>
      <c r="C2455" s="5" t="s">
        <v>4406</v>
      </c>
      <c r="D2455" t="s">
        <v>4406</v>
      </c>
      <c r="G2455" t="s">
        <v>6159</v>
      </c>
    </row>
    <row r="2456" spans="1:7" x14ac:dyDescent="0.25">
      <c r="A2456" t="s">
        <v>360</v>
      </c>
      <c r="B2456" s="5">
        <v>40598</v>
      </c>
      <c r="C2456" s="5" t="s">
        <v>4407</v>
      </c>
      <c r="D2456" t="s">
        <v>4407</v>
      </c>
      <c r="G2456" t="s">
        <v>6159</v>
      </c>
    </row>
    <row r="2457" spans="1:7" x14ac:dyDescent="0.25">
      <c r="A2457" t="s">
        <v>2870</v>
      </c>
      <c r="B2457" s="5">
        <v>39427</v>
      </c>
      <c r="C2457" s="5" t="s">
        <v>4408</v>
      </c>
      <c r="D2457" t="s">
        <v>4408</v>
      </c>
      <c r="G2457" t="s">
        <v>6159</v>
      </c>
    </row>
    <row r="2458" spans="1:7" x14ac:dyDescent="0.25">
      <c r="A2458" t="s">
        <v>2910</v>
      </c>
      <c r="B2458" s="5">
        <v>39427</v>
      </c>
      <c r="C2458" s="5" t="s">
        <v>4409</v>
      </c>
      <c r="D2458" t="s">
        <v>4409</v>
      </c>
      <c r="G2458" t="s">
        <v>6159</v>
      </c>
    </row>
    <row r="2459" spans="1:7" x14ac:dyDescent="0.25">
      <c r="A2459" t="s">
        <v>2873</v>
      </c>
      <c r="B2459" s="5">
        <v>39427</v>
      </c>
      <c r="C2459" s="5" t="s">
        <v>4410</v>
      </c>
      <c r="D2459" t="s">
        <v>4410</v>
      </c>
      <c r="G2459" t="s">
        <v>6159</v>
      </c>
    </row>
    <row r="2460" spans="1:7" x14ac:dyDescent="0.25">
      <c r="A2460" t="s">
        <v>2842</v>
      </c>
      <c r="B2460" s="5">
        <v>39426</v>
      </c>
      <c r="C2460" s="5" t="s">
        <v>4411</v>
      </c>
      <c r="D2460" t="s">
        <v>4411</v>
      </c>
      <c r="G2460" t="s">
        <v>6159</v>
      </c>
    </row>
    <row r="2461" spans="1:7" x14ac:dyDescent="0.25">
      <c r="A2461" t="s">
        <v>2844</v>
      </c>
      <c r="B2461" s="5">
        <v>39426</v>
      </c>
      <c r="C2461" s="5" t="s">
        <v>4412</v>
      </c>
      <c r="D2461" t="s">
        <v>4412</v>
      </c>
      <c r="G2461" t="s">
        <v>6159</v>
      </c>
    </row>
    <row r="2462" spans="1:7" x14ac:dyDescent="0.25">
      <c r="A2462" t="s">
        <v>2843</v>
      </c>
      <c r="B2462" s="5">
        <v>39426</v>
      </c>
      <c r="C2462" s="5" t="s">
        <v>4413</v>
      </c>
      <c r="D2462" t="s">
        <v>4413</v>
      </c>
      <c r="G2462" t="s">
        <v>6159</v>
      </c>
    </row>
    <row r="2463" spans="1:7" x14ac:dyDescent="0.25">
      <c r="A2463" t="s">
        <v>2115</v>
      </c>
      <c r="B2463" s="5">
        <v>39425</v>
      </c>
      <c r="C2463" s="5" t="s">
        <v>4414</v>
      </c>
      <c r="D2463" t="s">
        <v>4414</v>
      </c>
      <c r="G2463" t="s">
        <v>6159</v>
      </c>
    </row>
    <row r="2464" spans="1:7" x14ac:dyDescent="0.25">
      <c r="A2464" t="s">
        <v>334</v>
      </c>
      <c r="B2464" s="5">
        <v>40527</v>
      </c>
      <c r="C2464" s="5" t="s">
        <v>4415</v>
      </c>
      <c r="D2464" t="s">
        <v>4415</v>
      </c>
      <c r="G2464" t="s">
        <v>6159</v>
      </c>
    </row>
    <row r="2465" spans="1:7" x14ac:dyDescent="0.25">
      <c r="A2465" t="s">
        <v>326</v>
      </c>
      <c r="B2465" s="5">
        <v>39425</v>
      </c>
      <c r="C2465" s="5" t="s">
        <v>4416</v>
      </c>
      <c r="D2465" t="s">
        <v>4416</v>
      </c>
      <c r="G2465" t="s">
        <v>6159</v>
      </c>
    </row>
    <row r="2466" spans="1:7" x14ac:dyDescent="0.25">
      <c r="A2466" t="s">
        <v>350</v>
      </c>
      <c r="B2466" s="5">
        <v>39424</v>
      </c>
      <c r="C2466" s="5" t="s">
        <v>4417</v>
      </c>
      <c r="D2466" t="s">
        <v>4417</v>
      </c>
      <c r="G2466" t="s">
        <v>6159</v>
      </c>
    </row>
    <row r="2467" spans="1:7" x14ac:dyDescent="0.25">
      <c r="A2467" t="s">
        <v>324</v>
      </c>
      <c r="B2467" s="5">
        <v>39424</v>
      </c>
      <c r="C2467" s="5" t="s">
        <v>4418</v>
      </c>
      <c r="D2467" t="s">
        <v>4418</v>
      </c>
      <c r="G2467" t="s">
        <v>6159</v>
      </c>
    </row>
    <row r="2468" spans="1:7" x14ac:dyDescent="0.25">
      <c r="A2468" t="s">
        <v>320</v>
      </c>
      <c r="B2468" s="5">
        <v>39424</v>
      </c>
      <c r="C2468" s="5" t="s">
        <v>4419</v>
      </c>
      <c r="D2468" t="s">
        <v>4419</v>
      </c>
      <c r="G2468" t="s">
        <v>6159</v>
      </c>
    </row>
    <row r="2469" spans="1:7" x14ac:dyDescent="0.25">
      <c r="A2469" t="s">
        <v>2870</v>
      </c>
      <c r="B2469" s="5">
        <v>39417</v>
      </c>
      <c r="C2469" s="5" t="s">
        <v>4420</v>
      </c>
      <c r="D2469" t="s">
        <v>4420</v>
      </c>
      <c r="G2469" t="s">
        <v>6159</v>
      </c>
    </row>
    <row r="2470" spans="1:7" x14ac:dyDescent="0.25">
      <c r="A2470" t="s">
        <v>2910</v>
      </c>
      <c r="B2470" s="5">
        <v>39417</v>
      </c>
      <c r="C2470" s="5" t="s">
        <v>4421</v>
      </c>
      <c r="D2470" t="s">
        <v>4421</v>
      </c>
      <c r="G2470" t="s">
        <v>6159</v>
      </c>
    </row>
    <row r="2471" spans="1:7" x14ac:dyDescent="0.25">
      <c r="A2471" t="s">
        <v>2873</v>
      </c>
      <c r="B2471" s="5">
        <v>39417</v>
      </c>
      <c r="C2471" s="5" t="s">
        <v>4422</v>
      </c>
      <c r="D2471" t="s">
        <v>4422</v>
      </c>
      <c r="G2471" t="s">
        <v>6159</v>
      </c>
    </row>
    <row r="2472" spans="1:7" x14ac:dyDescent="0.25">
      <c r="A2472" t="s">
        <v>350</v>
      </c>
      <c r="B2472" s="5">
        <v>39402</v>
      </c>
      <c r="C2472" s="5" t="s">
        <v>4423</v>
      </c>
      <c r="D2472" t="s">
        <v>4423</v>
      </c>
      <c r="G2472" t="s">
        <v>6159</v>
      </c>
    </row>
    <row r="2473" spans="1:7" x14ac:dyDescent="0.25">
      <c r="A2473" t="s">
        <v>2844</v>
      </c>
      <c r="B2473" s="5">
        <v>39401</v>
      </c>
      <c r="C2473" s="5" t="s">
        <v>4424</v>
      </c>
      <c r="D2473" t="s">
        <v>4424</v>
      </c>
      <c r="G2473" t="s">
        <v>6159</v>
      </c>
    </row>
    <row r="2474" spans="1:7" x14ac:dyDescent="0.25">
      <c r="A2474" t="s">
        <v>2115</v>
      </c>
      <c r="B2474" s="5">
        <v>39400</v>
      </c>
      <c r="C2474" s="5" t="s">
        <v>4425</v>
      </c>
      <c r="D2474" t="s">
        <v>4425</v>
      </c>
      <c r="G2474" t="s">
        <v>6159</v>
      </c>
    </row>
    <row r="2475" spans="1:7" x14ac:dyDescent="0.25">
      <c r="A2475" t="s">
        <v>324</v>
      </c>
      <c r="B2475" s="5">
        <v>39399</v>
      </c>
      <c r="C2475" s="5" t="s">
        <v>4426</v>
      </c>
      <c r="D2475" t="s">
        <v>4426</v>
      </c>
      <c r="G2475" t="s">
        <v>6159</v>
      </c>
    </row>
    <row r="2476" spans="1:7" x14ac:dyDescent="0.25">
      <c r="A2476" t="s">
        <v>285</v>
      </c>
      <c r="B2476" s="5">
        <v>39399</v>
      </c>
      <c r="C2476" s="5" t="s">
        <v>4427</v>
      </c>
      <c r="D2476" t="s">
        <v>4427</v>
      </c>
      <c r="G2476" t="s">
        <v>6159</v>
      </c>
    </row>
    <row r="2477" spans="1:7" x14ac:dyDescent="0.25">
      <c r="A2477" t="s">
        <v>121</v>
      </c>
      <c r="B2477" s="5">
        <v>39399</v>
      </c>
      <c r="C2477" s="5" t="s">
        <v>4428</v>
      </c>
      <c r="D2477" t="s">
        <v>4428</v>
      </c>
      <c r="G2477" t="s">
        <v>6159</v>
      </c>
    </row>
    <row r="2478" spans="1:7" x14ac:dyDescent="0.25">
      <c r="A2478" t="s">
        <v>261</v>
      </c>
      <c r="B2478" s="5">
        <v>39393</v>
      </c>
      <c r="C2478" s="5" t="s">
        <v>4429</v>
      </c>
      <c r="D2478" t="s">
        <v>4429</v>
      </c>
      <c r="G2478" t="s">
        <v>6159</v>
      </c>
    </row>
    <row r="2479" spans="1:7" x14ac:dyDescent="0.25">
      <c r="A2479" t="s">
        <v>32</v>
      </c>
      <c r="B2479" s="5">
        <v>40463</v>
      </c>
      <c r="C2479" s="5" t="s">
        <v>4430</v>
      </c>
      <c r="D2479" t="s">
        <v>4430</v>
      </c>
      <c r="G2479" t="s">
        <v>6159</v>
      </c>
    </row>
    <row r="2480" spans="1:7" x14ac:dyDescent="0.25">
      <c r="A2480" t="s">
        <v>2847</v>
      </c>
      <c r="B2480" s="5">
        <v>39392</v>
      </c>
      <c r="C2480" s="5" t="s">
        <v>4431</v>
      </c>
      <c r="D2480" t="s">
        <v>4431</v>
      </c>
      <c r="G2480" t="s">
        <v>6159</v>
      </c>
    </row>
    <row r="2481" spans="1:7" x14ac:dyDescent="0.25">
      <c r="A2481" t="s">
        <v>100</v>
      </c>
      <c r="B2481" s="5">
        <v>39386</v>
      </c>
      <c r="C2481" s="5" t="s">
        <v>4432</v>
      </c>
      <c r="D2481" t="s">
        <v>4432</v>
      </c>
      <c r="G2481" t="s">
        <v>6159</v>
      </c>
    </row>
    <row r="2482" spans="1:7" x14ac:dyDescent="0.25">
      <c r="A2482" t="s">
        <v>2813</v>
      </c>
      <c r="B2482" s="5">
        <v>39385</v>
      </c>
      <c r="C2482" s="5" t="s">
        <v>4433</v>
      </c>
      <c r="D2482" t="s">
        <v>4433</v>
      </c>
      <c r="G2482" t="s">
        <v>6159</v>
      </c>
    </row>
    <row r="2483" spans="1:7" x14ac:dyDescent="0.25">
      <c r="A2483" t="s">
        <v>350</v>
      </c>
      <c r="B2483" s="5">
        <v>39380</v>
      </c>
      <c r="C2483" s="5" t="s">
        <v>4434</v>
      </c>
      <c r="D2483" t="s">
        <v>4434</v>
      </c>
      <c r="G2483" t="s">
        <v>6159</v>
      </c>
    </row>
    <row r="2484" spans="1:7" x14ac:dyDescent="0.25">
      <c r="A2484" t="s">
        <v>74</v>
      </c>
      <c r="B2484" s="5">
        <v>39378</v>
      </c>
      <c r="C2484" s="5" t="s">
        <v>4435</v>
      </c>
      <c r="D2484" t="s">
        <v>4435</v>
      </c>
      <c r="G2484" t="s">
        <v>6159</v>
      </c>
    </row>
    <row r="2485" spans="1:7" x14ac:dyDescent="0.25">
      <c r="A2485" t="s">
        <v>78</v>
      </c>
      <c r="B2485" s="5">
        <v>39378</v>
      </c>
      <c r="C2485" s="5" t="s">
        <v>4436</v>
      </c>
      <c r="D2485" t="s">
        <v>4436</v>
      </c>
      <c r="G2485" t="s">
        <v>6159</v>
      </c>
    </row>
    <row r="2486" spans="1:7" x14ac:dyDescent="0.25">
      <c r="A2486" t="s">
        <v>2095</v>
      </c>
      <c r="B2486" s="5">
        <v>39378</v>
      </c>
      <c r="C2486" s="5" t="s">
        <v>4437</v>
      </c>
      <c r="D2486" t="s">
        <v>4437</v>
      </c>
      <c r="G2486" t="s">
        <v>6159</v>
      </c>
    </row>
    <row r="2487" spans="1:7" x14ac:dyDescent="0.25">
      <c r="A2487" t="s">
        <v>75</v>
      </c>
      <c r="B2487" s="5">
        <v>39377</v>
      </c>
      <c r="C2487" s="5" t="s">
        <v>4438</v>
      </c>
      <c r="D2487" t="s">
        <v>4438</v>
      </c>
      <c r="G2487" t="s">
        <v>6159</v>
      </c>
    </row>
    <row r="2488" spans="1:7" x14ac:dyDescent="0.25">
      <c r="A2488" t="s">
        <v>336</v>
      </c>
      <c r="B2488" s="5">
        <v>39367</v>
      </c>
      <c r="C2488" s="5" t="s">
        <v>4439</v>
      </c>
      <c r="D2488" t="s">
        <v>4439</v>
      </c>
      <c r="G2488" t="s">
        <v>6159</v>
      </c>
    </row>
    <row r="2489" spans="1:7" x14ac:dyDescent="0.25">
      <c r="A2489" t="s">
        <v>338</v>
      </c>
      <c r="B2489" s="5">
        <v>39359</v>
      </c>
      <c r="C2489" s="5" t="s">
        <v>4440</v>
      </c>
      <c r="D2489" t="s">
        <v>4440</v>
      </c>
      <c r="G2489" t="s">
        <v>6159</v>
      </c>
    </row>
    <row r="2490" spans="1:7" x14ac:dyDescent="0.25">
      <c r="A2490" t="s">
        <v>168</v>
      </c>
      <c r="B2490" s="5">
        <v>40402</v>
      </c>
      <c r="C2490" s="5" t="s">
        <v>4441</v>
      </c>
      <c r="D2490" t="s">
        <v>4441</v>
      </c>
      <c r="G2490" t="s">
        <v>6159</v>
      </c>
    </row>
    <row r="2491" spans="1:7" x14ac:dyDescent="0.25">
      <c r="A2491" t="s">
        <v>37</v>
      </c>
      <c r="B2491" s="5">
        <v>39357</v>
      </c>
      <c r="C2491" s="5" t="s">
        <v>4442</v>
      </c>
      <c r="D2491" t="s">
        <v>4442</v>
      </c>
      <c r="G2491" t="s">
        <v>6159</v>
      </c>
    </row>
    <row r="2492" spans="1:7" x14ac:dyDescent="0.25">
      <c r="A2492" t="s">
        <v>261</v>
      </c>
      <c r="B2492" s="5">
        <v>39323</v>
      </c>
      <c r="C2492" s="5" t="s">
        <v>4443</v>
      </c>
      <c r="D2492" t="s">
        <v>4443</v>
      </c>
      <c r="G2492" t="s">
        <v>6159</v>
      </c>
    </row>
    <row r="2493" spans="1:7" x14ac:dyDescent="0.25">
      <c r="A2493" t="s">
        <v>347</v>
      </c>
      <c r="B2493" s="5">
        <v>39323</v>
      </c>
      <c r="C2493" s="5" t="s">
        <v>4444</v>
      </c>
      <c r="D2493" t="s">
        <v>4444</v>
      </c>
      <c r="G2493" t="s">
        <v>6159</v>
      </c>
    </row>
    <row r="2494" spans="1:7" x14ac:dyDescent="0.25">
      <c r="A2494" t="s">
        <v>2813</v>
      </c>
      <c r="B2494" s="5">
        <v>39321</v>
      </c>
      <c r="C2494" s="5" t="s">
        <v>4445</v>
      </c>
      <c r="D2494" t="s">
        <v>4445</v>
      </c>
      <c r="G2494" t="s">
        <v>6159</v>
      </c>
    </row>
    <row r="2495" spans="1:7" x14ac:dyDescent="0.25">
      <c r="A2495" t="s">
        <v>285</v>
      </c>
      <c r="B2495" s="5">
        <v>39309</v>
      </c>
      <c r="C2495" s="5" t="s">
        <v>4446</v>
      </c>
      <c r="D2495" t="s">
        <v>4446</v>
      </c>
      <c r="G2495" t="s">
        <v>6159</v>
      </c>
    </row>
    <row r="2496" spans="1:7" x14ac:dyDescent="0.25">
      <c r="A2496" t="s">
        <v>338</v>
      </c>
      <c r="B2496" s="5">
        <v>39308</v>
      </c>
      <c r="C2496" s="5" t="s">
        <v>4447</v>
      </c>
      <c r="D2496" t="s">
        <v>4447</v>
      </c>
      <c r="G2496" t="s">
        <v>6159</v>
      </c>
    </row>
    <row r="2497" spans="1:7" x14ac:dyDescent="0.25">
      <c r="A2497" t="s">
        <v>2873</v>
      </c>
      <c r="B2497" s="5">
        <v>42034</v>
      </c>
      <c r="C2497" s="5" t="s">
        <v>4448</v>
      </c>
      <c r="D2497" t="s">
        <v>4448</v>
      </c>
      <c r="G2497" t="s">
        <v>6159</v>
      </c>
    </row>
    <row r="2498" spans="1:7" x14ac:dyDescent="0.25">
      <c r="A2498" t="s">
        <v>2842</v>
      </c>
      <c r="B2498" s="5">
        <v>39302</v>
      </c>
      <c r="C2498" s="5" t="s">
        <v>4449</v>
      </c>
      <c r="D2498" t="s">
        <v>4449</v>
      </c>
      <c r="G2498" t="s">
        <v>6159</v>
      </c>
    </row>
    <row r="2499" spans="1:7" x14ac:dyDescent="0.25">
      <c r="A2499" t="s">
        <v>2844</v>
      </c>
      <c r="B2499" s="5">
        <v>39302</v>
      </c>
      <c r="C2499" s="5" t="s">
        <v>4450</v>
      </c>
      <c r="D2499" t="s">
        <v>4450</v>
      </c>
      <c r="G2499" t="s">
        <v>6159</v>
      </c>
    </row>
    <row r="2500" spans="1:7" x14ac:dyDescent="0.25">
      <c r="A2500" t="s">
        <v>2843</v>
      </c>
      <c r="B2500" s="5">
        <v>39302</v>
      </c>
      <c r="C2500" s="5" t="s">
        <v>4451</v>
      </c>
      <c r="D2500" t="s">
        <v>4451</v>
      </c>
      <c r="G2500" t="s">
        <v>6159</v>
      </c>
    </row>
    <row r="2501" spans="1:7" x14ac:dyDescent="0.25">
      <c r="A2501" t="s">
        <v>2910</v>
      </c>
      <c r="B2501" s="5">
        <v>39301</v>
      </c>
      <c r="C2501" s="5" t="s">
        <v>4452</v>
      </c>
      <c r="D2501" t="s">
        <v>4452</v>
      </c>
      <c r="G2501" t="s">
        <v>6159</v>
      </c>
    </row>
    <row r="2502" spans="1:7" x14ac:dyDescent="0.25">
      <c r="A2502" t="s">
        <v>2873</v>
      </c>
      <c r="B2502" s="5">
        <v>39301</v>
      </c>
      <c r="C2502" s="5" t="s">
        <v>4453</v>
      </c>
      <c r="D2502" t="s">
        <v>4453</v>
      </c>
      <c r="G2502" t="s">
        <v>6159</v>
      </c>
    </row>
    <row r="2503" spans="1:7" x14ac:dyDescent="0.25">
      <c r="A2503" t="s">
        <v>2115</v>
      </c>
      <c r="B2503" s="5">
        <v>39301</v>
      </c>
      <c r="C2503" s="5" t="s">
        <v>4454</v>
      </c>
      <c r="D2503" t="s">
        <v>4454</v>
      </c>
      <c r="G2503" t="s">
        <v>6159</v>
      </c>
    </row>
    <row r="2504" spans="1:7" x14ac:dyDescent="0.25">
      <c r="A2504" t="s">
        <v>326</v>
      </c>
      <c r="B2504" s="5">
        <v>39301</v>
      </c>
      <c r="C2504" s="5" t="s">
        <v>4455</v>
      </c>
      <c r="D2504" t="s">
        <v>4455</v>
      </c>
      <c r="G2504" t="s">
        <v>6159</v>
      </c>
    </row>
    <row r="2505" spans="1:7" x14ac:dyDescent="0.25">
      <c r="A2505" t="s">
        <v>324</v>
      </c>
      <c r="B2505" s="5">
        <v>39300</v>
      </c>
      <c r="C2505" s="5" t="s">
        <v>4456</v>
      </c>
      <c r="D2505" t="s">
        <v>4456</v>
      </c>
      <c r="G2505" t="s">
        <v>6159</v>
      </c>
    </row>
    <row r="2506" spans="1:7" x14ac:dyDescent="0.25">
      <c r="A2506" t="s">
        <v>320</v>
      </c>
      <c r="B2506" s="5">
        <v>39300</v>
      </c>
      <c r="C2506" s="5" t="s">
        <v>4457</v>
      </c>
      <c r="D2506" t="s">
        <v>4457</v>
      </c>
      <c r="G2506" t="s">
        <v>6159</v>
      </c>
    </row>
    <row r="2507" spans="1:7" x14ac:dyDescent="0.25">
      <c r="A2507" t="s">
        <v>102</v>
      </c>
      <c r="B2507" s="5">
        <v>41025</v>
      </c>
      <c r="C2507" s="5" t="s">
        <v>4458</v>
      </c>
      <c r="D2507" t="s">
        <v>4458</v>
      </c>
      <c r="G2507" t="s">
        <v>6159</v>
      </c>
    </row>
    <row r="2508" spans="1:7" x14ac:dyDescent="0.25">
      <c r="A2508" t="s">
        <v>2813</v>
      </c>
      <c r="B2508" s="5">
        <v>39288</v>
      </c>
      <c r="C2508" s="5" t="s">
        <v>4459</v>
      </c>
      <c r="D2508" t="s">
        <v>4459</v>
      </c>
      <c r="G2508" t="s">
        <v>6159</v>
      </c>
    </row>
    <row r="2509" spans="1:7" x14ac:dyDescent="0.25">
      <c r="A2509" t="s">
        <v>2115</v>
      </c>
      <c r="B2509" s="5">
        <v>39274</v>
      </c>
      <c r="C2509" s="5" t="s">
        <v>4460</v>
      </c>
      <c r="D2509" t="s">
        <v>4460</v>
      </c>
      <c r="G2509" t="s">
        <v>6159</v>
      </c>
    </row>
    <row r="2510" spans="1:7" x14ac:dyDescent="0.25">
      <c r="A2510" t="s">
        <v>2911</v>
      </c>
      <c r="B2510" s="5">
        <v>39274</v>
      </c>
      <c r="C2510" s="5" t="s">
        <v>4461</v>
      </c>
      <c r="D2510" t="s">
        <v>4461</v>
      </c>
      <c r="G2510" t="s">
        <v>6159</v>
      </c>
    </row>
    <row r="2511" spans="1:7" x14ac:dyDescent="0.25">
      <c r="A2511" t="s">
        <v>2912</v>
      </c>
      <c r="B2511" s="5">
        <v>39274</v>
      </c>
      <c r="C2511" s="5" t="s">
        <v>4462</v>
      </c>
      <c r="D2511" t="s">
        <v>4462</v>
      </c>
      <c r="G2511" t="s">
        <v>6159</v>
      </c>
    </row>
    <row r="2512" spans="1:7" x14ac:dyDescent="0.25">
      <c r="A2512" t="s">
        <v>2841</v>
      </c>
      <c r="B2512" s="5">
        <v>39956</v>
      </c>
      <c r="C2512" s="5" t="s">
        <v>4463</v>
      </c>
      <c r="D2512" t="s">
        <v>4463</v>
      </c>
      <c r="G2512" t="s">
        <v>6159</v>
      </c>
    </row>
    <row r="2513" spans="1:7" x14ac:dyDescent="0.25">
      <c r="A2513" t="s">
        <v>200</v>
      </c>
      <c r="B2513" s="5">
        <v>40945</v>
      </c>
      <c r="C2513" s="5" t="s">
        <v>4464</v>
      </c>
      <c r="D2513" t="s">
        <v>4464</v>
      </c>
      <c r="G2513" t="s">
        <v>6159</v>
      </c>
    </row>
    <row r="2514" spans="1:7" x14ac:dyDescent="0.25">
      <c r="A2514" t="s">
        <v>2841</v>
      </c>
      <c r="B2514" s="5">
        <v>39955</v>
      </c>
      <c r="C2514" s="5" t="s">
        <v>4465</v>
      </c>
      <c r="D2514" t="s">
        <v>4465</v>
      </c>
      <c r="G2514" t="s">
        <v>6159</v>
      </c>
    </row>
    <row r="2515" spans="1:7" x14ac:dyDescent="0.25">
      <c r="A2515" t="s">
        <v>2913</v>
      </c>
      <c r="B2515" s="5">
        <v>39953</v>
      </c>
      <c r="C2515" s="5" t="s">
        <v>4466</v>
      </c>
      <c r="D2515" t="s">
        <v>4466</v>
      </c>
      <c r="G2515" t="s">
        <v>6159</v>
      </c>
    </row>
    <row r="2516" spans="1:7" x14ac:dyDescent="0.25">
      <c r="A2516" t="s">
        <v>2914</v>
      </c>
      <c r="B2516" s="5">
        <v>39946</v>
      </c>
      <c r="C2516" s="5" t="s">
        <v>4467</v>
      </c>
      <c r="D2516" t="s">
        <v>4467</v>
      </c>
      <c r="G2516" t="s">
        <v>6159</v>
      </c>
    </row>
    <row r="2517" spans="1:7" x14ac:dyDescent="0.25">
      <c r="A2517" t="s">
        <v>238</v>
      </c>
      <c r="B2517" s="5">
        <v>40856</v>
      </c>
      <c r="C2517" s="5" t="s">
        <v>4468</v>
      </c>
      <c r="D2517" t="s">
        <v>4468</v>
      </c>
      <c r="G2517" t="s">
        <v>6159</v>
      </c>
    </row>
    <row r="2518" spans="1:7" x14ac:dyDescent="0.25">
      <c r="A2518" t="s">
        <v>42</v>
      </c>
      <c r="B2518" s="5">
        <v>39904</v>
      </c>
      <c r="C2518" s="5" t="s">
        <v>4469</v>
      </c>
      <c r="D2518" t="s">
        <v>4469</v>
      </c>
      <c r="G2518" t="s">
        <v>6159</v>
      </c>
    </row>
    <row r="2519" spans="1:7" x14ac:dyDescent="0.25">
      <c r="A2519" t="s">
        <v>55</v>
      </c>
      <c r="B2519" s="5">
        <v>39904</v>
      </c>
      <c r="C2519" s="5" t="s">
        <v>4470</v>
      </c>
      <c r="D2519" t="s">
        <v>4470</v>
      </c>
      <c r="G2519" t="s">
        <v>6159</v>
      </c>
    </row>
    <row r="2520" spans="1:7" x14ac:dyDescent="0.25">
      <c r="A2520" t="s">
        <v>54</v>
      </c>
      <c r="B2520" s="5">
        <v>39903</v>
      </c>
      <c r="C2520" s="5" t="s">
        <v>4471</v>
      </c>
      <c r="D2520" t="s">
        <v>4471</v>
      </c>
      <c r="G2520" t="s">
        <v>6159</v>
      </c>
    </row>
    <row r="2521" spans="1:7" x14ac:dyDescent="0.25">
      <c r="A2521" t="s">
        <v>344</v>
      </c>
      <c r="B2521" s="5">
        <v>39890</v>
      </c>
      <c r="C2521" s="5" t="s">
        <v>4472</v>
      </c>
      <c r="D2521" t="s">
        <v>4472</v>
      </c>
      <c r="G2521" t="s">
        <v>6159</v>
      </c>
    </row>
    <row r="2522" spans="1:7" x14ac:dyDescent="0.25">
      <c r="A2522" t="s">
        <v>199</v>
      </c>
      <c r="B2522" s="5">
        <v>39884</v>
      </c>
      <c r="C2522" s="5" t="s">
        <v>4473</v>
      </c>
      <c r="D2522" t="s">
        <v>4473</v>
      </c>
      <c r="G2522" t="s">
        <v>6159</v>
      </c>
    </row>
    <row r="2523" spans="1:7" x14ac:dyDescent="0.25">
      <c r="A2523" t="s">
        <v>188</v>
      </c>
      <c r="B2523" s="5">
        <v>39875</v>
      </c>
      <c r="C2523" s="5" t="s">
        <v>4474</v>
      </c>
      <c r="D2523" t="s">
        <v>4474</v>
      </c>
      <c r="G2523" t="s">
        <v>6159</v>
      </c>
    </row>
    <row r="2524" spans="1:7" x14ac:dyDescent="0.25">
      <c r="A2524" t="s">
        <v>289</v>
      </c>
      <c r="B2524" s="5">
        <v>39855</v>
      </c>
      <c r="C2524" s="5" t="s">
        <v>4475</v>
      </c>
      <c r="D2524" t="s">
        <v>4475</v>
      </c>
      <c r="G2524" t="s">
        <v>6159</v>
      </c>
    </row>
    <row r="2525" spans="1:7" x14ac:dyDescent="0.25">
      <c r="A2525" t="s">
        <v>297</v>
      </c>
      <c r="B2525" s="5">
        <v>39853</v>
      </c>
      <c r="C2525" s="5" t="s">
        <v>4476</v>
      </c>
      <c r="D2525" t="s">
        <v>4476</v>
      </c>
      <c r="G2525" t="s">
        <v>6159</v>
      </c>
    </row>
    <row r="2526" spans="1:7" x14ac:dyDescent="0.25">
      <c r="A2526" t="s">
        <v>2915</v>
      </c>
      <c r="B2526" s="5">
        <v>41165</v>
      </c>
      <c r="C2526" s="5" t="s">
        <v>4477</v>
      </c>
      <c r="D2526" t="s">
        <v>4477</v>
      </c>
      <c r="G2526" t="s">
        <v>6159</v>
      </c>
    </row>
    <row r="2527" spans="1:7" x14ac:dyDescent="0.25">
      <c r="A2527" t="s">
        <v>2914</v>
      </c>
      <c r="B2527" s="5">
        <v>39827</v>
      </c>
      <c r="C2527" s="5" t="s">
        <v>4478</v>
      </c>
      <c r="D2527" t="s">
        <v>4478</v>
      </c>
      <c r="G2527" t="s">
        <v>6159</v>
      </c>
    </row>
    <row r="2528" spans="1:7" x14ac:dyDescent="0.25">
      <c r="A2528" t="s">
        <v>2909</v>
      </c>
      <c r="B2528" s="5">
        <v>39808</v>
      </c>
      <c r="C2528" s="5" t="s">
        <v>4479</v>
      </c>
      <c r="D2528" t="s">
        <v>4479</v>
      </c>
      <c r="G2528" t="s">
        <v>6159</v>
      </c>
    </row>
    <row r="2529" spans="1:7" x14ac:dyDescent="0.25">
      <c r="A2529" t="s">
        <v>2909</v>
      </c>
      <c r="B2529" s="5">
        <v>39801</v>
      </c>
      <c r="C2529" s="5" t="s">
        <v>4480</v>
      </c>
      <c r="D2529" t="s">
        <v>4480</v>
      </c>
      <c r="G2529" t="s">
        <v>6159</v>
      </c>
    </row>
    <row r="2530" spans="1:7" x14ac:dyDescent="0.25">
      <c r="A2530" t="s">
        <v>199</v>
      </c>
      <c r="B2530" s="5">
        <v>39798</v>
      </c>
      <c r="C2530" s="5" t="s">
        <v>4481</v>
      </c>
      <c r="D2530" t="s">
        <v>4481</v>
      </c>
      <c r="G2530" t="s">
        <v>6159</v>
      </c>
    </row>
    <row r="2531" spans="1:7" x14ac:dyDescent="0.25">
      <c r="A2531" t="s">
        <v>2909</v>
      </c>
      <c r="B2531" s="5">
        <v>39798</v>
      </c>
      <c r="C2531" s="5" t="s">
        <v>4482</v>
      </c>
      <c r="D2531" t="s">
        <v>4482</v>
      </c>
      <c r="G2531" t="s">
        <v>6159</v>
      </c>
    </row>
    <row r="2532" spans="1:7" x14ac:dyDescent="0.25">
      <c r="A2532" t="s">
        <v>2873</v>
      </c>
      <c r="B2532" s="5">
        <v>42374</v>
      </c>
      <c r="C2532" s="5" t="s">
        <v>4483</v>
      </c>
      <c r="D2532" t="s">
        <v>4483</v>
      </c>
      <c r="G2532" t="s">
        <v>6159</v>
      </c>
    </row>
    <row r="2533" spans="1:7" x14ac:dyDescent="0.25">
      <c r="A2533" t="s">
        <v>2870</v>
      </c>
      <c r="B2533" s="5">
        <v>42362</v>
      </c>
      <c r="C2533" s="5" t="s">
        <v>4484</v>
      </c>
      <c r="D2533" t="s">
        <v>4484</v>
      </c>
      <c r="G2533" t="s">
        <v>6159</v>
      </c>
    </row>
    <row r="2534" spans="1:7" x14ac:dyDescent="0.25">
      <c r="A2534" t="s">
        <v>102</v>
      </c>
      <c r="B2534" s="5">
        <v>39771</v>
      </c>
      <c r="C2534" s="5" t="s">
        <v>4485</v>
      </c>
      <c r="D2534" t="s">
        <v>4485</v>
      </c>
      <c r="G2534" t="s">
        <v>6159</v>
      </c>
    </row>
    <row r="2535" spans="1:7" x14ac:dyDescent="0.25">
      <c r="A2535" t="s">
        <v>344</v>
      </c>
      <c r="B2535" s="5">
        <v>39771</v>
      </c>
      <c r="C2535" s="5" t="s">
        <v>4486</v>
      </c>
      <c r="D2535" t="s">
        <v>4486</v>
      </c>
      <c r="G2535" t="s">
        <v>6159</v>
      </c>
    </row>
    <row r="2536" spans="1:7" x14ac:dyDescent="0.25">
      <c r="A2536" t="s">
        <v>2836</v>
      </c>
      <c r="B2536" s="5">
        <v>41232</v>
      </c>
      <c r="C2536" s="5" t="s">
        <v>4487</v>
      </c>
      <c r="D2536" t="s">
        <v>4487</v>
      </c>
      <c r="G2536" t="s">
        <v>6159</v>
      </c>
    </row>
    <row r="2537" spans="1:7" x14ac:dyDescent="0.25">
      <c r="A2537" t="s">
        <v>2108</v>
      </c>
      <c r="B2537" s="5">
        <v>39769</v>
      </c>
      <c r="C2537" s="5" t="s">
        <v>4488</v>
      </c>
      <c r="D2537" t="s">
        <v>4488</v>
      </c>
      <c r="G2537" t="s">
        <v>6159</v>
      </c>
    </row>
    <row r="2538" spans="1:7" x14ac:dyDescent="0.25">
      <c r="A2538" t="s">
        <v>54</v>
      </c>
      <c r="B2538" s="5">
        <v>39769</v>
      </c>
      <c r="C2538" s="5" t="s">
        <v>4489</v>
      </c>
      <c r="D2538" t="s">
        <v>4489</v>
      </c>
      <c r="G2538" t="s">
        <v>6159</v>
      </c>
    </row>
    <row r="2539" spans="1:7" x14ac:dyDescent="0.25">
      <c r="A2539" t="s">
        <v>2914</v>
      </c>
      <c r="B2539" s="5">
        <v>39764</v>
      </c>
      <c r="C2539" s="5" t="s">
        <v>4490</v>
      </c>
      <c r="D2539" t="s">
        <v>4490</v>
      </c>
      <c r="G2539" t="s">
        <v>6159</v>
      </c>
    </row>
    <row r="2540" spans="1:7" x14ac:dyDescent="0.25">
      <c r="A2540" t="s">
        <v>261</v>
      </c>
      <c r="B2540" s="5">
        <v>41248</v>
      </c>
      <c r="C2540" s="5" t="s">
        <v>4491</v>
      </c>
      <c r="D2540" t="s">
        <v>4491</v>
      </c>
      <c r="G2540" t="s">
        <v>6159</v>
      </c>
    </row>
    <row r="2541" spans="1:7" x14ac:dyDescent="0.25">
      <c r="A2541" t="s">
        <v>2857</v>
      </c>
      <c r="B2541" s="5">
        <v>39762</v>
      </c>
      <c r="C2541" s="5" t="s">
        <v>4492</v>
      </c>
      <c r="D2541" t="s">
        <v>4492</v>
      </c>
      <c r="G2541" t="s">
        <v>6159</v>
      </c>
    </row>
    <row r="2542" spans="1:7" x14ac:dyDescent="0.25">
      <c r="A2542" t="s">
        <v>309</v>
      </c>
      <c r="B2542" s="5">
        <v>41262</v>
      </c>
      <c r="C2542" s="5" t="s">
        <v>4493</v>
      </c>
      <c r="D2542" t="s">
        <v>4493</v>
      </c>
      <c r="G2542" t="s">
        <v>6159</v>
      </c>
    </row>
    <row r="2543" spans="1:7" x14ac:dyDescent="0.25">
      <c r="A2543" t="s">
        <v>2873</v>
      </c>
      <c r="B2543" s="5">
        <v>41698</v>
      </c>
      <c r="C2543" s="5" t="s">
        <v>4494</v>
      </c>
      <c r="D2543" t="s">
        <v>4494</v>
      </c>
      <c r="G2543" t="s">
        <v>6159</v>
      </c>
    </row>
    <row r="2544" spans="1:7" x14ac:dyDescent="0.25">
      <c r="A2544" t="s">
        <v>190</v>
      </c>
      <c r="B2544" s="5">
        <v>39741</v>
      </c>
      <c r="C2544" s="5" t="s">
        <v>4495</v>
      </c>
      <c r="D2544" t="s">
        <v>4495</v>
      </c>
      <c r="G2544" t="s">
        <v>6159</v>
      </c>
    </row>
    <row r="2545" spans="1:7" x14ac:dyDescent="0.25">
      <c r="A2545" t="s">
        <v>150</v>
      </c>
      <c r="B2545" s="5">
        <v>39741</v>
      </c>
      <c r="C2545" s="5" t="s">
        <v>4496</v>
      </c>
      <c r="D2545" t="s">
        <v>4496</v>
      </c>
      <c r="G2545" t="s">
        <v>6159</v>
      </c>
    </row>
    <row r="2546" spans="1:7" x14ac:dyDescent="0.25">
      <c r="A2546" t="s">
        <v>199</v>
      </c>
      <c r="B2546" s="5">
        <v>39737</v>
      </c>
      <c r="C2546" s="5" t="s">
        <v>4497</v>
      </c>
      <c r="D2546" t="s">
        <v>4497</v>
      </c>
      <c r="G2546" t="s">
        <v>6159</v>
      </c>
    </row>
    <row r="2547" spans="1:7" x14ac:dyDescent="0.25">
      <c r="A2547" t="s">
        <v>2914</v>
      </c>
      <c r="B2547" s="5">
        <v>39707</v>
      </c>
      <c r="C2547" s="5" t="s">
        <v>4498</v>
      </c>
      <c r="D2547" t="s">
        <v>4498</v>
      </c>
      <c r="G2547" t="s">
        <v>6159</v>
      </c>
    </row>
    <row r="2548" spans="1:7" x14ac:dyDescent="0.25">
      <c r="A2548" t="s">
        <v>344</v>
      </c>
      <c r="B2548" s="5">
        <v>39687</v>
      </c>
      <c r="C2548" s="5" t="s">
        <v>4499</v>
      </c>
      <c r="D2548" t="s">
        <v>4499</v>
      </c>
      <c r="G2548" t="s">
        <v>6159</v>
      </c>
    </row>
    <row r="2549" spans="1:7" x14ac:dyDescent="0.25">
      <c r="A2549" t="s">
        <v>2916</v>
      </c>
      <c r="B2549" s="5">
        <v>39681</v>
      </c>
      <c r="C2549" s="5" t="s">
        <v>4500</v>
      </c>
      <c r="D2549" t="s">
        <v>4500</v>
      </c>
      <c r="G2549" t="s">
        <v>6159</v>
      </c>
    </row>
    <row r="2550" spans="1:7" x14ac:dyDescent="0.25">
      <c r="A2550" t="s">
        <v>241</v>
      </c>
      <c r="B2550" s="5">
        <v>39679</v>
      </c>
      <c r="C2550" s="5" t="s">
        <v>4501</v>
      </c>
      <c r="D2550" t="s">
        <v>4501</v>
      </c>
      <c r="G2550" t="s">
        <v>6159</v>
      </c>
    </row>
    <row r="2551" spans="1:7" x14ac:dyDescent="0.25">
      <c r="A2551" t="s">
        <v>228</v>
      </c>
      <c r="B2551" s="5">
        <v>39675</v>
      </c>
      <c r="C2551" s="5" t="s">
        <v>4502</v>
      </c>
      <c r="D2551" t="s">
        <v>4502</v>
      </c>
      <c r="G2551" t="s">
        <v>6159</v>
      </c>
    </row>
    <row r="2552" spans="1:7" x14ac:dyDescent="0.25">
      <c r="A2552" t="s">
        <v>223</v>
      </c>
      <c r="B2552" s="5">
        <v>41319</v>
      </c>
      <c r="C2552" s="5" t="s">
        <v>4503</v>
      </c>
      <c r="D2552" t="s">
        <v>4503</v>
      </c>
      <c r="G2552" t="s">
        <v>6159</v>
      </c>
    </row>
    <row r="2553" spans="1:7" x14ac:dyDescent="0.25">
      <c r="A2553" t="s">
        <v>142</v>
      </c>
      <c r="B2553" s="5">
        <v>40303</v>
      </c>
      <c r="C2553" s="5" t="s">
        <v>4504</v>
      </c>
      <c r="D2553" t="s">
        <v>4504</v>
      </c>
      <c r="G2553" t="s">
        <v>6159</v>
      </c>
    </row>
    <row r="2554" spans="1:7" x14ac:dyDescent="0.25">
      <c r="A2554" t="s">
        <v>207</v>
      </c>
      <c r="B2554" s="5">
        <v>40295</v>
      </c>
      <c r="C2554" s="5" t="s">
        <v>4505</v>
      </c>
      <c r="D2554" t="s">
        <v>4505</v>
      </c>
      <c r="G2554" t="s">
        <v>6159</v>
      </c>
    </row>
    <row r="2555" spans="1:7" x14ac:dyDescent="0.25">
      <c r="A2555" t="s">
        <v>219</v>
      </c>
      <c r="B2555" s="5">
        <v>40295</v>
      </c>
      <c r="C2555" s="5" t="s">
        <v>4506</v>
      </c>
      <c r="D2555" t="s">
        <v>4506</v>
      </c>
      <c r="G2555" t="s">
        <v>6159</v>
      </c>
    </row>
    <row r="2556" spans="1:7" x14ac:dyDescent="0.25">
      <c r="A2556" t="s">
        <v>1772</v>
      </c>
      <c r="B2556" s="5">
        <v>40270</v>
      </c>
      <c r="C2556" s="5" t="s">
        <v>4507</v>
      </c>
      <c r="D2556" t="s">
        <v>4507</v>
      </c>
      <c r="G2556" t="s">
        <v>6159</v>
      </c>
    </row>
    <row r="2557" spans="1:7" x14ac:dyDescent="0.25">
      <c r="A2557" t="s">
        <v>118</v>
      </c>
      <c r="B2557" s="5">
        <v>40246</v>
      </c>
      <c r="C2557" s="5" t="s">
        <v>4508</v>
      </c>
      <c r="D2557" t="s">
        <v>4508</v>
      </c>
      <c r="G2557" t="s">
        <v>6159</v>
      </c>
    </row>
    <row r="2558" spans="1:7" x14ac:dyDescent="0.25">
      <c r="A2558" t="s">
        <v>219</v>
      </c>
      <c r="B2558" s="5">
        <v>40246</v>
      </c>
      <c r="C2558" s="5" t="s">
        <v>4509</v>
      </c>
      <c r="D2558" t="s">
        <v>4509</v>
      </c>
      <c r="G2558" t="s">
        <v>6159</v>
      </c>
    </row>
    <row r="2559" spans="1:7" x14ac:dyDescent="0.25">
      <c r="A2559" t="s">
        <v>207</v>
      </c>
      <c r="B2559" s="5">
        <v>40246</v>
      </c>
      <c r="C2559" s="5" t="s">
        <v>4510</v>
      </c>
      <c r="D2559" t="s">
        <v>4510</v>
      </c>
      <c r="G2559" t="s">
        <v>6159</v>
      </c>
    </row>
    <row r="2560" spans="1:7" x14ac:dyDescent="0.25">
      <c r="A2560" t="s">
        <v>385</v>
      </c>
      <c r="B2560" s="5">
        <v>40246</v>
      </c>
      <c r="C2560" s="5" t="s">
        <v>4511</v>
      </c>
      <c r="D2560" t="s">
        <v>4511</v>
      </c>
      <c r="G2560" t="s">
        <v>6159</v>
      </c>
    </row>
    <row r="2561" spans="1:7" x14ac:dyDescent="0.25">
      <c r="A2561" t="s">
        <v>229</v>
      </c>
      <c r="B2561" s="5">
        <v>40233</v>
      </c>
      <c r="C2561" s="5" t="s">
        <v>4512</v>
      </c>
      <c r="D2561" t="s">
        <v>4512</v>
      </c>
      <c r="G2561" t="s">
        <v>6159</v>
      </c>
    </row>
    <row r="2562" spans="1:7" x14ac:dyDescent="0.25">
      <c r="A2562" t="s">
        <v>278</v>
      </c>
      <c r="B2562" s="5">
        <v>40233</v>
      </c>
      <c r="C2562" s="5" t="s">
        <v>4513</v>
      </c>
      <c r="D2562" t="s">
        <v>4513</v>
      </c>
      <c r="G2562" t="s">
        <v>6159</v>
      </c>
    </row>
    <row r="2563" spans="1:7" x14ac:dyDescent="0.25">
      <c r="A2563" t="s">
        <v>218</v>
      </c>
      <c r="B2563" s="5">
        <v>40231</v>
      </c>
      <c r="C2563" s="5" t="s">
        <v>4514</v>
      </c>
      <c r="D2563" t="s">
        <v>4514</v>
      </c>
      <c r="G2563" t="s">
        <v>6159</v>
      </c>
    </row>
    <row r="2564" spans="1:7" x14ac:dyDescent="0.25">
      <c r="A2564" t="s">
        <v>212</v>
      </c>
      <c r="B2564" s="5">
        <v>40231</v>
      </c>
      <c r="C2564" s="5" t="s">
        <v>4515</v>
      </c>
      <c r="D2564" t="s">
        <v>4515</v>
      </c>
      <c r="G2564" t="s">
        <v>6159</v>
      </c>
    </row>
    <row r="2565" spans="1:7" x14ac:dyDescent="0.25">
      <c r="A2565" t="s">
        <v>207</v>
      </c>
      <c r="B2565" s="5">
        <v>40127</v>
      </c>
      <c r="C2565" s="5" t="s">
        <v>4516</v>
      </c>
      <c r="D2565" t="s">
        <v>4516</v>
      </c>
      <c r="G2565" t="s">
        <v>6159</v>
      </c>
    </row>
    <row r="2566" spans="1:7" x14ac:dyDescent="0.25">
      <c r="A2566" t="s">
        <v>385</v>
      </c>
      <c r="B2566" s="5">
        <v>40127</v>
      </c>
      <c r="C2566" s="5" t="s">
        <v>4517</v>
      </c>
      <c r="D2566" t="s">
        <v>4517</v>
      </c>
      <c r="G2566" t="s">
        <v>6159</v>
      </c>
    </row>
    <row r="2567" spans="1:7" x14ac:dyDescent="0.25">
      <c r="A2567" t="s">
        <v>1568</v>
      </c>
      <c r="B2567" s="5">
        <v>40103</v>
      </c>
      <c r="C2567" s="5" t="s">
        <v>4518</v>
      </c>
      <c r="D2567" t="s">
        <v>4518</v>
      </c>
      <c r="G2567" t="s">
        <v>6159</v>
      </c>
    </row>
    <row r="2568" spans="1:7" x14ac:dyDescent="0.25">
      <c r="A2568" t="s">
        <v>98</v>
      </c>
      <c r="B2568" s="5">
        <v>40085</v>
      </c>
      <c r="C2568" s="5" t="s">
        <v>4519</v>
      </c>
      <c r="D2568" t="s">
        <v>4519</v>
      </c>
      <c r="G2568" t="s">
        <v>6159</v>
      </c>
    </row>
    <row r="2569" spans="1:7" x14ac:dyDescent="0.25">
      <c r="A2569" t="s">
        <v>87</v>
      </c>
      <c r="B2569" s="5">
        <v>40078</v>
      </c>
      <c r="C2569" s="5" t="s">
        <v>4520</v>
      </c>
      <c r="D2569" t="s">
        <v>4520</v>
      </c>
      <c r="G2569" t="s">
        <v>6159</v>
      </c>
    </row>
    <row r="2570" spans="1:7" x14ac:dyDescent="0.25">
      <c r="A2570" t="s">
        <v>2815</v>
      </c>
      <c r="B2570" s="5">
        <v>40063</v>
      </c>
      <c r="C2570" s="5" t="s">
        <v>4521</v>
      </c>
      <c r="D2570" t="s">
        <v>4521</v>
      </c>
      <c r="G2570" t="s">
        <v>6159</v>
      </c>
    </row>
    <row r="2571" spans="1:7" x14ac:dyDescent="0.25">
      <c r="A2571" t="s">
        <v>2811</v>
      </c>
      <c r="B2571" s="5">
        <v>40063</v>
      </c>
      <c r="C2571" s="5" t="s">
        <v>4522</v>
      </c>
      <c r="D2571" t="s">
        <v>4522</v>
      </c>
      <c r="G2571" t="s">
        <v>6159</v>
      </c>
    </row>
    <row r="2572" spans="1:7" x14ac:dyDescent="0.25">
      <c r="A2572" t="s">
        <v>2812</v>
      </c>
      <c r="B2572" s="5">
        <v>40063</v>
      </c>
      <c r="C2572" s="5" t="s">
        <v>4523</v>
      </c>
      <c r="D2572" t="s">
        <v>4523</v>
      </c>
      <c r="G2572" t="s">
        <v>6159</v>
      </c>
    </row>
    <row r="2573" spans="1:7" x14ac:dyDescent="0.25">
      <c r="A2573" t="s">
        <v>2814</v>
      </c>
      <c r="B2573" s="5">
        <v>40063</v>
      </c>
      <c r="C2573" s="5" t="s">
        <v>4524</v>
      </c>
      <c r="D2573" t="s">
        <v>4524</v>
      </c>
      <c r="G2573" t="s">
        <v>6159</v>
      </c>
    </row>
    <row r="2574" spans="1:7" x14ac:dyDescent="0.25">
      <c r="A2574" t="s">
        <v>2841</v>
      </c>
      <c r="B2574" s="5">
        <v>40062</v>
      </c>
      <c r="C2574" s="5" t="s">
        <v>4525</v>
      </c>
      <c r="D2574" t="s">
        <v>4525</v>
      </c>
      <c r="G2574" t="s">
        <v>6159</v>
      </c>
    </row>
    <row r="2575" spans="1:7" x14ac:dyDescent="0.25">
      <c r="A2575" t="s">
        <v>2841</v>
      </c>
      <c r="B2575" s="5">
        <v>40061</v>
      </c>
      <c r="C2575" s="5" t="s">
        <v>4526</v>
      </c>
      <c r="D2575" t="s">
        <v>4526</v>
      </c>
      <c r="G2575" t="s">
        <v>6159</v>
      </c>
    </row>
    <row r="2576" spans="1:7" x14ac:dyDescent="0.25">
      <c r="A2576" t="s">
        <v>2812</v>
      </c>
      <c r="B2576" s="5">
        <v>40032</v>
      </c>
      <c r="C2576" s="5" t="s">
        <v>4527</v>
      </c>
      <c r="D2576" t="s">
        <v>4527</v>
      </c>
      <c r="G2576" t="s">
        <v>6159</v>
      </c>
    </row>
    <row r="2577" spans="1:7" x14ac:dyDescent="0.25">
      <c r="A2577" t="s">
        <v>2812</v>
      </c>
      <c r="B2577" s="5">
        <v>40031</v>
      </c>
      <c r="C2577" s="5" t="s">
        <v>4528</v>
      </c>
      <c r="D2577" t="s">
        <v>4528</v>
      </c>
      <c r="G2577" t="s">
        <v>6159</v>
      </c>
    </row>
    <row r="2578" spans="1:7" x14ac:dyDescent="0.25">
      <c r="A2578" t="s">
        <v>2812</v>
      </c>
      <c r="B2578" s="5">
        <v>40015</v>
      </c>
      <c r="C2578" s="5" t="s">
        <v>4529</v>
      </c>
      <c r="D2578" t="s">
        <v>4529</v>
      </c>
      <c r="G2578" t="s">
        <v>6159</v>
      </c>
    </row>
    <row r="2579" spans="1:7" x14ac:dyDescent="0.25">
      <c r="A2579" t="s">
        <v>2841</v>
      </c>
      <c r="B2579" s="5">
        <v>40015</v>
      </c>
      <c r="C2579" s="5" t="s">
        <v>4530</v>
      </c>
      <c r="D2579" t="s">
        <v>4530</v>
      </c>
      <c r="G2579" t="s">
        <v>6159</v>
      </c>
    </row>
    <row r="2580" spans="1:7" x14ac:dyDescent="0.25">
      <c r="A2580" t="s">
        <v>2836</v>
      </c>
      <c r="B2580" s="5">
        <v>41596</v>
      </c>
      <c r="C2580" s="5" t="s">
        <v>4531</v>
      </c>
      <c r="D2580" t="s">
        <v>4531</v>
      </c>
      <c r="G2580" t="s">
        <v>6159</v>
      </c>
    </row>
    <row r="2581" spans="1:7" x14ac:dyDescent="0.25">
      <c r="A2581" t="s">
        <v>192</v>
      </c>
      <c r="B2581" s="5">
        <v>41905</v>
      </c>
      <c r="C2581" s="5" t="s">
        <v>4532</v>
      </c>
      <c r="D2581" t="s">
        <v>4532</v>
      </c>
      <c r="G2581" t="s">
        <v>6159</v>
      </c>
    </row>
    <row r="2582" spans="1:7" x14ac:dyDescent="0.25">
      <c r="A2582" t="s">
        <v>40</v>
      </c>
      <c r="B2582" s="5">
        <v>40716</v>
      </c>
      <c r="C2582" s="5" t="s">
        <v>4533</v>
      </c>
      <c r="D2582" t="s">
        <v>4533</v>
      </c>
      <c r="G2582" t="s">
        <v>6159</v>
      </c>
    </row>
    <row r="2583" spans="1:7" x14ac:dyDescent="0.25">
      <c r="A2583" t="s">
        <v>2917</v>
      </c>
      <c r="B2583" s="5">
        <v>40715</v>
      </c>
      <c r="C2583" s="5" t="s">
        <v>4534</v>
      </c>
      <c r="D2583" t="s">
        <v>4534</v>
      </c>
      <c r="G2583" t="s">
        <v>6159</v>
      </c>
    </row>
    <row r="2584" spans="1:7" x14ac:dyDescent="0.25">
      <c r="A2584" t="s">
        <v>2918</v>
      </c>
      <c r="B2584" s="5">
        <v>40715</v>
      </c>
      <c r="C2584" s="5" t="s">
        <v>4535</v>
      </c>
      <c r="D2584" t="s">
        <v>4535</v>
      </c>
      <c r="G2584" t="s">
        <v>6159</v>
      </c>
    </row>
    <row r="2585" spans="1:7" x14ac:dyDescent="0.25">
      <c r="A2585" t="s">
        <v>64</v>
      </c>
      <c r="B2585" s="5">
        <v>40668</v>
      </c>
      <c r="C2585" s="5" t="s">
        <v>4536</v>
      </c>
      <c r="D2585" t="s">
        <v>4536</v>
      </c>
      <c r="G2585" t="s">
        <v>6159</v>
      </c>
    </row>
    <row r="2586" spans="1:7" x14ac:dyDescent="0.25">
      <c r="A2586" t="s">
        <v>100</v>
      </c>
      <c r="B2586" s="5">
        <v>40667</v>
      </c>
      <c r="C2586" s="5" t="s">
        <v>4537</v>
      </c>
      <c r="D2586" t="s">
        <v>4537</v>
      </c>
      <c r="G2586" t="s">
        <v>6159</v>
      </c>
    </row>
    <row r="2587" spans="1:7" x14ac:dyDescent="0.25">
      <c r="A2587" t="s">
        <v>2866</v>
      </c>
      <c r="B2587" s="5">
        <v>40658</v>
      </c>
      <c r="C2587" s="5" t="s">
        <v>4538</v>
      </c>
      <c r="D2587" t="s">
        <v>4538</v>
      </c>
      <c r="G2587" t="s">
        <v>6159</v>
      </c>
    </row>
    <row r="2588" spans="1:7" x14ac:dyDescent="0.25">
      <c r="A2588" t="s">
        <v>32</v>
      </c>
      <c r="B2588" s="5">
        <v>40653</v>
      </c>
      <c r="C2588" s="5" t="s">
        <v>4539</v>
      </c>
      <c r="D2588" t="s">
        <v>4539</v>
      </c>
      <c r="G2588" t="s">
        <v>6159</v>
      </c>
    </row>
    <row r="2589" spans="1:7" x14ac:dyDescent="0.25">
      <c r="A2589" t="s">
        <v>2919</v>
      </c>
      <c r="B2589" s="5">
        <v>40633</v>
      </c>
      <c r="C2589" s="5" t="s">
        <v>4540</v>
      </c>
      <c r="D2589" t="s">
        <v>4540</v>
      </c>
      <c r="G2589" t="s">
        <v>6159</v>
      </c>
    </row>
    <row r="2590" spans="1:7" x14ac:dyDescent="0.25">
      <c r="A2590" t="s">
        <v>334</v>
      </c>
      <c r="B2590" s="5">
        <v>40626</v>
      </c>
      <c r="C2590" s="5" t="s">
        <v>4541</v>
      </c>
      <c r="D2590" t="s">
        <v>4541</v>
      </c>
      <c r="G2590" t="s">
        <v>6159</v>
      </c>
    </row>
    <row r="2591" spans="1:7" x14ac:dyDescent="0.25">
      <c r="A2591" t="s">
        <v>222</v>
      </c>
      <c r="B2591" s="5">
        <v>40625</v>
      </c>
      <c r="C2591" s="5" t="s">
        <v>4542</v>
      </c>
      <c r="D2591" t="s">
        <v>4542</v>
      </c>
      <c r="G2591" t="s">
        <v>6159</v>
      </c>
    </row>
    <row r="2592" spans="1:7" x14ac:dyDescent="0.25">
      <c r="A2592" t="s">
        <v>57</v>
      </c>
      <c r="B2592" s="5">
        <v>41533</v>
      </c>
      <c r="C2592" s="5" t="s">
        <v>4543</v>
      </c>
      <c r="D2592" t="s">
        <v>4543</v>
      </c>
      <c r="G2592" t="s">
        <v>6159</v>
      </c>
    </row>
    <row r="2593" spans="1:7" x14ac:dyDescent="0.25">
      <c r="A2593" t="s">
        <v>222</v>
      </c>
      <c r="B2593" s="5">
        <v>40526</v>
      </c>
      <c r="C2593" s="5" t="s">
        <v>4544</v>
      </c>
      <c r="D2593" t="s">
        <v>4544</v>
      </c>
      <c r="G2593" t="s">
        <v>6159</v>
      </c>
    </row>
    <row r="2594" spans="1:7" x14ac:dyDescent="0.25">
      <c r="A2594" t="s">
        <v>45</v>
      </c>
      <c r="B2594" s="5">
        <v>40526</v>
      </c>
      <c r="C2594" s="5" t="s">
        <v>4545</v>
      </c>
      <c r="D2594" t="s">
        <v>4545</v>
      </c>
      <c r="G2594" t="s">
        <v>6159</v>
      </c>
    </row>
    <row r="2595" spans="1:7" x14ac:dyDescent="0.25">
      <c r="A2595" t="s">
        <v>305</v>
      </c>
      <c r="B2595" s="5">
        <v>40766</v>
      </c>
      <c r="C2595" s="5" t="s">
        <v>4546</v>
      </c>
      <c r="D2595" t="s">
        <v>4546</v>
      </c>
      <c r="G2595" t="s">
        <v>6159</v>
      </c>
    </row>
    <row r="2596" spans="1:7" x14ac:dyDescent="0.25">
      <c r="A2596" t="s">
        <v>2866</v>
      </c>
      <c r="B2596" s="5">
        <v>40498</v>
      </c>
      <c r="C2596" s="5" t="s">
        <v>4547</v>
      </c>
      <c r="D2596" t="s">
        <v>4547</v>
      </c>
      <c r="G2596" t="s">
        <v>6159</v>
      </c>
    </row>
    <row r="2597" spans="1:7" x14ac:dyDescent="0.25">
      <c r="A2597" t="s">
        <v>2775</v>
      </c>
      <c r="B2597" s="5">
        <v>40492</v>
      </c>
      <c r="C2597" s="5" t="s">
        <v>4548</v>
      </c>
      <c r="D2597" t="s">
        <v>4548</v>
      </c>
      <c r="G2597" t="s">
        <v>6159</v>
      </c>
    </row>
    <row r="2598" spans="1:7" x14ac:dyDescent="0.25">
      <c r="A2598" t="s">
        <v>313</v>
      </c>
      <c r="B2598" s="5">
        <v>40484</v>
      </c>
      <c r="C2598" s="5" t="s">
        <v>4549</v>
      </c>
      <c r="D2598" t="s">
        <v>4549</v>
      </c>
      <c r="G2598" t="s">
        <v>6159</v>
      </c>
    </row>
    <row r="2599" spans="1:7" x14ac:dyDescent="0.25">
      <c r="A2599" t="s">
        <v>40</v>
      </c>
      <c r="B2599" s="5">
        <v>40478</v>
      </c>
      <c r="C2599" s="5" t="s">
        <v>4550</v>
      </c>
      <c r="D2599" t="s">
        <v>4550</v>
      </c>
      <c r="G2599" t="s">
        <v>6159</v>
      </c>
    </row>
    <row r="2600" spans="1:7" x14ac:dyDescent="0.25">
      <c r="A2600" t="s">
        <v>168</v>
      </c>
      <c r="B2600" s="5">
        <v>40477</v>
      </c>
      <c r="C2600" s="5" t="s">
        <v>4551</v>
      </c>
      <c r="D2600" t="s">
        <v>4551</v>
      </c>
      <c r="G2600" t="s">
        <v>6159</v>
      </c>
    </row>
    <row r="2601" spans="1:7" x14ac:dyDescent="0.25">
      <c r="A2601" t="s">
        <v>64</v>
      </c>
      <c r="B2601" s="5">
        <v>40462</v>
      </c>
      <c r="C2601" s="5" t="s">
        <v>4552</v>
      </c>
      <c r="D2601" t="s">
        <v>4552</v>
      </c>
      <c r="G2601" t="s">
        <v>6159</v>
      </c>
    </row>
    <row r="2602" spans="1:7" x14ac:dyDescent="0.25">
      <c r="A2602" t="s">
        <v>222</v>
      </c>
      <c r="B2602" s="5">
        <v>40442</v>
      </c>
      <c r="C2602" s="5" t="s">
        <v>4553</v>
      </c>
      <c r="D2602" t="s">
        <v>4553</v>
      </c>
      <c r="G2602" t="s">
        <v>6159</v>
      </c>
    </row>
    <row r="2603" spans="1:7" x14ac:dyDescent="0.25">
      <c r="A2603" t="s">
        <v>84</v>
      </c>
      <c r="B2603" s="5">
        <v>40423</v>
      </c>
      <c r="C2603" s="5" t="s">
        <v>4554</v>
      </c>
      <c r="D2603" t="s">
        <v>4554</v>
      </c>
      <c r="G2603" t="s">
        <v>6159</v>
      </c>
    </row>
    <row r="2604" spans="1:7" x14ac:dyDescent="0.25">
      <c r="A2604" t="s">
        <v>2883</v>
      </c>
      <c r="B2604" s="5">
        <v>41148</v>
      </c>
      <c r="C2604" s="5" t="s">
        <v>4555</v>
      </c>
      <c r="D2604" t="s">
        <v>4555</v>
      </c>
      <c r="G2604" t="s">
        <v>6159</v>
      </c>
    </row>
    <row r="2605" spans="1:7" x14ac:dyDescent="0.25">
      <c r="A2605" t="s">
        <v>213</v>
      </c>
      <c r="B2605" s="5">
        <v>40389</v>
      </c>
      <c r="C2605" s="5" t="s">
        <v>4556</v>
      </c>
      <c r="D2605" t="s">
        <v>4556</v>
      </c>
      <c r="G2605" t="s">
        <v>6159</v>
      </c>
    </row>
    <row r="2606" spans="1:7" x14ac:dyDescent="0.25">
      <c r="A2606" t="s">
        <v>2866</v>
      </c>
      <c r="B2606" s="5">
        <v>40379</v>
      </c>
      <c r="C2606" s="5" t="s">
        <v>4557</v>
      </c>
      <c r="D2606" t="s">
        <v>4557</v>
      </c>
      <c r="G2606" t="s">
        <v>6159</v>
      </c>
    </row>
    <row r="2607" spans="1:7" x14ac:dyDescent="0.25">
      <c r="A2607" t="s">
        <v>26</v>
      </c>
      <c r="B2607" s="5">
        <v>40379</v>
      </c>
      <c r="C2607" s="5" t="s">
        <v>4558</v>
      </c>
      <c r="D2607" t="s">
        <v>4558</v>
      </c>
      <c r="G2607" t="s">
        <v>6159</v>
      </c>
    </row>
    <row r="2608" spans="1:7" x14ac:dyDescent="0.25">
      <c r="A2608" t="s">
        <v>334</v>
      </c>
      <c r="B2608" s="5">
        <v>40378</v>
      </c>
      <c r="C2608" s="5" t="s">
        <v>4559</v>
      </c>
      <c r="D2608" t="s">
        <v>4559</v>
      </c>
      <c r="G2608" t="s">
        <v>6159</v>
      </c>
    </row>
    <row r="2609" spans="1:7" x14ac:dyDescent="0.25">
      <c r="A2609" t="s">
        <v>2870</v>
      </c>
      <c r="B2609" s="5">
        <v>42065</v>
      </c>
      <c r="C2609" s="5" t="s">
        <v>4560</v>
      </c>
      <c r="D2609" t="s">
        <v>4560</v>
      </c>
      <c r="G2609" t="s">
        <v>6159</v>
      </c>
    </row>
    <row r="2610" spans="1:7" x14ac:dyDescent="0.25">
      <c r="A2610" t="s">
        <v>2839</v>
      </c>
      <c r="B2610" s="5">
        <v>41080</v>
      </c>
      <c r="C2610" s="5" t="s">
        <v>4561</v>
      </c>
      <c r="D2610" t="s">
        <v>4561</v>
      </c>
      <c r="G2610" t="s">
        <v>6159</v>
      </c>
    </row>
    <row r="2611" spans="1:7" x14ac:dyDescent="0.25">
      <c r="A2611" t="s">
        <v>2836</v>
      </c>
      <c r="B2611" s="5">
        <v>41079</v>
      </c>
      <c r="C2611" s="5" t="s">
        <v>4562</v>
      </c>
      <c r="D2611" t="s">
        <v>4562</v>
      </c>
      <c r="G2611" t="s">
        <v>6159</v>
      </c>
    </row>
    <row r="2612" spans="1:7" x14ac:dyDescent="0.25">
      <c r="A2612" t="s">
        <v>2920</v>
      </c>
      <c r="B2612" s="5">
        <v>41079</v>
      </c>
      <c r="C2612" s="5" t="s">
        <v>4563</v>
      </c>
      <c r="D2612" t="s">
        <v>4563</v>
      </c>
      <c r="G2612" t="s">
        <v>6159</v>
      </c>
    </row>
    <row r="2613" spans="1:7" x14ac:dyDescent="0.25">
      <c r="A2613" t="s">
        <v>18</v>
      </c>
      <c r="B2613" s="5">
        <v>41046</v>
      </c>
      <c r="C2613" s="5" t="s">
        <v>4564</v>
      </c>
      <c r="D2613" t="s">
        <v>4564</v>
      </c>
      <c r="G2613" t="s">
        <v>6159</v>
      </c>
    </row>
    <row r="2614" spans="1:7" x14ac:dyDescent="0.25">
      <c r="A2614" t="s">
        <v>360</v>
      </c>
      <c r="B2614" s="5">
        <v>42033</v>
      </c>
      <c r="C2614" s="5" t="s">
        <v>4565</v>
      </c>
      <c r="D2614" t="s">
        <v>4565</v>
      </c>
      <c r="G2614" t="s">
        <v>6159</v>
      </c>
    </row>
    <row r="2615" spans="1:7" x14ac:dyDescent="0.25">
      <c r="A2615" t="s">
        <v>149</v>
      </c>
      <c r="B2615" s="5">
        <v>41968</v>
      </c>
      <c r="C2615" s="5" t="s">
        <v>4566</v>
      </c>
      <c r="D2615" t="s">
        <v>4566</v>
      </c>
      <c r="G2615" t="s">
        <v>6159</v>
      </c>
    </row>
    <row r="2616" spans="1:7" x14ac:dyDescent="0.25">
      <c r="A2616" t="s">
        <v>192</v>
      </c>
      <c r="B2616" s="5">
        <v>41967</v>
      </c>
      <c r="C2616" s="5" t="s">
        <v>4567</v>
      </c>
      <c r="D2616" t="s">
        <v>4567</v>
      </c>
      <c r="G2616" t="s">
        <v>6159</v>
      </c>
    </row>
    <row r="2617" spans="1:7" x14ac:dyDescent="0.25">
      <c r="A2617" t="s">
        <v>273</v>
      </c>
      <c r="B2617" s="5">
        <v>41940</v>
      </c>
      <c r="C2617" s="5" t="s">
        <v>4568</v>
      </c>
      <c r="D2617" t="s">
        <v>4568</v>
      </c>
      <c r="G2617" t="s">
        <v>6159</v>
      </c>
    </row>
    <row r="2618" spans="1:7" x14ac:dyDescent="0.25">
      <c r="A2618" t="s">
        <v>228</v>
      </c>
      <c r="B2618" s="5">
        <v>40996</v>
      </c>
      <c r="C2618" s="5" t="s">
        <v>4569</v>
      </c>
      <c r="D2618" t="s">
        <v>4569</v>
      </c>
      <c r="G2618" t="s">
        <v>6159</v>
      </c>
    </row>
    <row r="2619" spans="1:7" x14ac:dyDescent="0.25">
      <c r="A2619" t="s">
        <v>275</v>
      </c>
      <c r="B2619" s="5">
        <v>40995</v>
      </c>
      <c r="C2619" s="5" t="s">
        <v>4570</v>
      </c>
      <c r="D2619" t="s">
        <v>4570</v>
      </c>
      <c r="G2619" t="s">
        <v>6159</v>
      </c>
    </row>
    <row r="2620" spans="1:7" x14ac:dyDescent="0.25">
      <c r="A2620" t="s">
        <v>226</v>
      </c>
      <c r="B2620" s="5">
        <v>40995</v>
      </c>
      <c r="C2620" s="5" t="s">
        <v>4571</v>
      </c>
      <c r="D2620" t="s">
        <v>4571</v>
      </c>
      <c r="G2620" t="s">
        <v>6159</v>
      </c>
    </row>
    <row r="2621" spans="1:7" x14ac:dyDescent="0.25">
      <c r="A2621" t="s">
        <v>39</v>
      </c>
      <c r="B2621" s="5">
        <v>41906</v>
      </c>
      <c r="C2621" s="5" t="s">
        <v>4572</v>
      </c>
      <c r="D2621" t="s">
        <v>4572</v>
      </c>
      <c r="G2621" t="s">
        <v>6159</v>
      </c>
    </row>
    <row r="2622" spans="1:7" x14ac:dyDescent="0.25">
      <c r="A2622" t="s">
        <v>177</v>
      </c>
      <c r="B2622" s="5">
        <v>40969</v>
      </c>
      <c r="C2622" s="5" t="s">
        <v>4573</v>
      </c>
      <c r="D2622" t="s">
        <v>4573</v>
      </c>
      <c r="G2622" t="s">
        <v>6159</v>
      </c>
    </row>
    <row r="2623" spans="1:7" x14ac:dyDescent="0.25">
      <c r="A2623" t="s">
        <v>183</v>
      </c>
      <c r="B2623" s="5">
        <v>40961</v>
      </c>
      <c r="C2623" s="5" t="s">
        <v>4574</v>
      </c>
      <c r="D2623" t="s">
        <v>4574</v>
      </c>
      <c r="G2623" t="s">
        <v>6159</v>
      </c>
    </row>
    <row r="2624" spans="1:7" x14ac:dyDescent="0.25">
      <c r="A2624" t="s">
        <v>305</v>
      </c>
      <c r="B2624" s="5">
        <v>40953</v>
      </c>
      <c r="C2624" s="5" t="s">
        <v>4575</v>
      </c>
      <c r="D2624" t="s">
        <v>4575</v>
      </c>
      <c r="G2624" t="s">
        <v>6159</v>
      </c>
    </row>
    <row r="2625" spans="1:7" x14ac:dyDescent="0.25">
      <c r="A2625" t="s">
        <v>2921</v>
      </c>
      <c r="B2625" s="5">
        <v>41886</v>
      </c>
      <c r="C2625" s="5" t="s">
        <v>4576</v>
      </c>
      <c r="D2625" t="s">
        <v>4576</v>
      </c>
      <c r="G2625" t="s">
        <v>6159</v>
      </c>
    </row>
    <row r="2626" spans="1:7" x14ac:dyDescent="0.25">
      <c r="A2626" t="s">
        <v>183</v>
      </c>
      <c r="B2626" s="5">
        <v>40926</v>
      </c>
      <c r="C2626" s="5" t="s">
        <v>4577</v>
      </c>
      <c r="D2626" t="s">
        <v>4577</v>
      </c>
      <c r="G2626" t="s">
        <v>6159</v>
      </c>
    </row>
    <row r="2627" spans="1:7" x14ac:dyDescent="0.25">
      <c r="A2627" t="s">
        <v>228</v>
      </c>
      <c r="B2627" s="5">
        <v>40884</v>
      </c>
      <c r="C2627" s="5" t="s">
        <v>4578</v>
      </c>
      <c r="D2627" t="s">
        <v>4578</v>
      </c>
      <c r="G2627" t="s">
        <v>6159</v>
      </c>
    </row>
    <row r="2628" spans="1:7" x14ac:dyDescent="0.25">
      <c r="A2628" t="s">
        <v>222</v>
      </c>
      <c r="B2628" s="5">
        <v>41353</v>
      </c>
      <c r="C2628" s="5" t="s">
        <v>4579</v>
      </c>
      <c r="D2628" t="s">
        <v>4579</v>
      </c>
      <c r="G2628" t="s">
        <v>6159</v>
      </c>
    </row>
    <row r="2629" spans="1:7" x14ac:dyDescent="0.25">
      <c r="A2629" t="s">
        <v>360</v>
      </c>
      <c r="B2629" s="5">
        <v>41878</v>
      </c>
      <c r="C2629" s="5" t="s">
        <v>4580</v>
      </c>
      <c r="D2629" t="s">
        <v>4580</v>
      </c>
      <c r="G2629" t="s">
        <v>6159</v>
      </c>
    </row>
    <row r="2630" spans="1:7" x14ac:dyDescent="0.25">
      <c r="A2630" t="s">
        <v>158</v>
      </c>
      <c r="B2630" s="5">
        <v>40883</v>
      </c>
      <c r="C2630" s="5" t="s">
        <v>4581</v>
      </c>
      <c r="D2630" t="s">
        <v>4581</v>
      </c>
      <c r="G2630" t="s">
        <v>6159</v>
      </c>
    </row>
    <row r="2631" spans="1:7" x14ac:dyDescent="0.25">
      <c r="A2631" t="s">
        <v>200</v>
      </c>
      <c r="B2631" s="5">
        <v>40882</v>
      </c>
      <c r="C2631" s="5" t="s">
        <v>4582</v>
      </c>
      <c r="D2631" t="s">
        <v>4582</v>
      </c>
      <c r="G2631" t="s">
        <v>6159</v>
      </c>
    </row>
    <row r="2632" spans="1:7" x14ac:dyDescent="0.25">
      <c r="A2632" t="s">
        <v>102</v>
      </c>
      <c r="B2632" s="5">
        <v>40842</v>
      </c>
      <c r="C2632" s="5" t="s">
        <v>4583</v>
      </c>
      <c r="D2632" t="s">
        <v>4583</v>
      </c>
      <c r="G2632" t="s">
        <v>6159</v>
      </c>
    </row>
    <row r="2633" spans="1:7" x14ac:dyDescent="0.25">
      <c r="A2633" t="s">
        <v>177</v>
      </c>
      <c r="B2633" s="5">
        <v>40841</v>
      </c>
      <c r="C2633" s="5" t="s">
        <v>4584</v>
      </c>
      <c r="D2633" t="s">
        <v>4584</v>
      </c>
      <c r="G2633" t="s">
        <v>6159</v>
      </c>
    </row>
    <row r="2634" spans="1:7" x14ac:dyDescent="0.25">
      <c r="A2634" t="s">
        <v>2918</v>
      </c>
      <c r="B2634" s="5">
        <v>40836</v>
      </c>
      <c r="C2634" s="5" t="s">
        <v>4585</v>
      </c>
      <c r="D2634" t="s">
        <v>4585</v>
      </c>
      <c r="G2634" t="s">
        <v>6159</v>
      </c>
    </row>
    <row r="2635" spans="1:7" x14ac:dyDescent="0.25">
      <c r="A2635" t="s">
        <v>170</v>
      </c>
      <c r="B2635" s="5">
        <v>41534</v>
      </c>
      <c r="C2635" s="5" t="s">
        <v>4586</v>
      </c>
      <c r="D2635" t="s">
        <v>4586</v>
      </c>
      <c r="G2635" t="s">
        <v>6159</v>
      </c>
    </row>
    <row r="2636" spans="1:7" x14ac:dyDescent="0.25">
      <c r="A2636" t="s">
        <v>334</v>
      </c>
      <c r="B2636" s="5">
        <v>42416</v>
      </c>
      <c r="C2636" s="5" t="s">
        <v>4587</v>
      </c>
      <c r="D2636" t="s">
        <v>4587</v>
      </c>
      <c r="G2636" t="s">
        <v>6159</v>
      </c>
    </row>
    <row r="2637" spans="1:7" x14ac:dyDescent="0.25">
      <c r="A2637" t="s">
        <v>262</v>
      </c>
      <c r="B2637" s="5">
        <v>40799</v>
      </c>
      <c r="C2637" s="5" t="s">
        <v>4588</v>
      </c>
      <c r="D2637" t="s">
        <v>4588</v>
      </c>
      <c r="G2637" t="s">
        <v>6159</v>
      </c>
    </row>
    <row r="2638" spans="1:7" x14ac:dyDescent="0.25">
      <c r="A2638" t="s">
        <v>228</v>
      </c>
      <c r="B2638" s="5">
        <v>40792</v>
      </c>
      <c r="C2638" s="5" t="s">
        <v>4589</v>
      </c>
      <c r="D2638" t="s">
        <v>4589</v>
      </c>
      <c r="G2638" t="s">
        <v>6159</v>
      </c>
    </row>
    <row r="2639" spans="1:7" x14ac:dyDescent="0.25">
      <c r="A2639" t="s">
        <v>226</v>
      </c>
      <c r="B2639" s="5">
        <v>40787</v>
      </c>
      <c r="C2639" s="5" t="s">
        <v>4590</v>
      </c>
      <c r="D2639" t="s">
        <v>4590</v>
      </c>
      <c r="G2639" t="s">
        <v>6159</v>
      </c>
    </row>
    <row r="2640" spans="1:7" x14ac:dyDescent="0.25">
      <c r="A2640" t="s">
        <v>64</v>
      </c>
      <c r="B2640" s="5">
        <v>40772</v>
      </c>
      <c r="C2640" s="5" t="s">
        <v>4591</v>
      </c>
      <c r="D2640" t="s">
        <v>4591</v>
      </c>
      <c r="G2640" t="s">
        <v>6159</v>
      </c>
    </row>
    <row r="2641" spans="1:7" x14ac:dyDescent="0.25">
      <c r="A2641" t="s">
        <v>102</v>
      </c>
      <c r="B2641" s="5">
        <v>40772</v>
      </c>
      <c r="C2641" s="5" t="s">
        <v>4592</v>
      </c>
      <c r="D2641" t="s">
        <v>4592</v>
      </c>
      <c r="G2641" t="s">
        <v>6159</v>
      </c>
    </row>
    <row r="2642" spans="1:7" x14ac:dyDescent="0.25">
      <c r="A2642" t="s">
        <v>177</v>
      </c>
      <c r="B2642" s="5">
        <v>40771</v>
      </c>
      <c r="C2642" s="5" t="s">
        <v>4593</v>
      </c>
      <c r="D2642" t="s">
        <v>4593</v>
      </c>
      <c r="G2642" t="s">
        <v>6159</v>
      </c>
    </row>
    <row r="2643" spans="1:7" x14ac:dyDescent="0.25">
      <c r="A2643" t="s">
        <v>190</v>
      </c>
      <c r="B2643" s="5">
        <v>40766</v>
      </c>
      <c r="C2643" s="5" t="s">
        <v>4594</v>
      </c>
      <c r="D2643" t="s">
        <v>4594</v>
      </c>
      <c r="G2643" t="s">
        <v>6159</v>
      </c>
    </row>
    <row r="2644" spans="1:7" x14ac:dyDescent="0.25">
      <c r="A2644" t="s">
        <v>200</v>
      </c>
      <c r="B2644" s="5">
        <v>40764</v>
      </c>
      <c r="C2644" s="5" t="s">
        <v>4595</v>
      </c>
      <c r="D2644" t="s">
        <v>4595</v>
      </c>
      <c r="G2644" t="s">
        <v>6159</v>
      </c>
    </row>
    <row r="2645" spans="1:7" x14ac:dyDescent="0.25">
      <c r="A2645" t="s">
        <v>2922</v>
      </c>
      <c r="B2645" s="5">
        <v>40729</v>
      </c>
      <c r="C2645" s="5" t="s">
        <v>4596</v>
      </c>
      <c r="D2645" t="s">
        <v>4596</v>
      </c>
      <c r="G2645" t="s">
        <v>6159</v>
      </c>
    </row>
    <row r="2646" spans="1:7" x14ac:dyDescent="0.25">
      <c r="A2646" t="s">
        <v>2857</v>
      </c>
      <c r="B2646" s="5">
        <v>41143</v>
      </c>
      <c r="C2646" s="5" t="s">
        <v>4597</v>
      </c>
      <c r="D2646" t="s">
        <v>4597</v>
      </c>
      <c r="G2646" t="s">
        <v>6159</v>
      </c>
    </row>
    <row r="2647" spans="1:7" x14ac:dyDescent="0.25">
      <c r="A2647" t="s">
        <v>278</v>
      </c>
      <c r="B2647" s="5">
        <v>41135</v>
      </c>
      <c r="C2647" s="5" t="s">
        <v>4598</v>
      </c>
      <c r="D2647" t="s">
        <v>4598</v>
      </c>
      <c r="G2647" t="s">
        <v>6159</v>
      </c>
    </row>
    <row r="2648" spans="1:7" x14ac:dyDescent="0.25">
      <c r="A2648" t="s">
        <v>223</v>
      </c>
      <c r="B2648" s="5">
        <v>41138</v>
      </c>
      <c r="C2648" s="5" t="s">
        <v>4599</v>
      </c>
      <c r="D2648" t="s">
        <v>4599</v>
      </c>
      <c r="G2648" t="s">
        <v>6159</v>
      </c>
    </row>
    <row r="2649" spans="1:7" x14ac:dyDescent="0.25">
      <c r="A2649" t="s">
        <v>261</v>
      </c>
      <c r="B2649" s="5">
        <v>41114</v>
      </c>
      <c r="C2649" s="5" t="s">
        <v>4600</v>
      </c>
      <c r="D2649" t="s">
        <v>4600</v>
      </c>
      <c r="G2649" t="s">
        <v>6159</v>
      </c>
    </row>
    <row r="2650" spans="1:7" x14ac:dyDescent="0.25">
      <c r="A2650" t="s">
        <v>203</v>
      </c>
      <c r="B2650" s="5">
        <v>41113</v>
      </c>
      <c r="C2650" s="5" t="s">
        <v>4601</v>
      </c>
      <c r="D2650" t="s">
        <v>4601</v>
      </c>
      <c r="G2650" t="s">
        <v>6159</v>
      </c>
    </row>
    <row r="2651" spans="1:7" x14ac:dyDescent="0.25">
      <c r="A2651" t="s">
        <v>2870</v>
      </c>
      <c r="B2651" s="5">
        <v>42405</v>
      </c>
      <c r="C2651" s="5" t="s">
        <v>4602</v>
      </c>
      <c r="D2651" t="s">
        <v>4602</v>
      </c>
      <c r="G2651" t="s">
        <v>6159</v>
      </c>
    </row>
    <row r="2652" spans="1:7" x14ac:dyDescent="0.25">
      <c r="A2652" t="s">
        <v>2873</v>
      </c>
      <c r="B2652" s="5">
        <v>42405</v>
      </c>
      <c r="C2652" s="5" t="s">
        <v>4603</v>
      </c>
      <c r="D2652" t="s">
        <v>4603</v>
      </c>
      <c r="G2652" t="s">
        <v>6159</v>
      </c>
    </row>
    <row r="2653" spans="1:7" x14ac:dyDescent="0.25">
      <c r="A2653" t="s">
        <v>309</v>
      </c>
      <c r="B2653" s="5">
        <v>41205</v>
      </c>
      <c r="C2653" s="5" t="s">
        <v>4604</v>
      </c>
      <c r="D2653" t="s">
        <v>4604</v>
      </c>
      <c r="G2653" t="s">
        <v>6159</v>
      </c>
    </row>
    <row r="2654" spans="1:7" x14ac:dyDescent="0.25">
      <c r="A2654" t="s">
        <v>2873</v>
      </c>
      <c r="B2654" s="5">
        <v>42375</v>
      </c>
      <c r="C2654" s="5" t="s">
        <v>4605</v>
      </c>
      <c r="D2654" t="s">
        <v>4605</v>
      </c>
      <c r="G2654" t="s">
        <v>6159</v>
      </c>
    </row>
    <row r="2655" spans="1:7" x14ac:dyDescent="0.25">
      <c r="A2655" t="s">
        <v>222</v>
      </c>
      <c r="B2655" s="5">
        <v>41220</v>
      </c>
      <c r="C2655" s="5" t="s">
        <v>4606</v>
      </c>
      <c r="D2655" t="s">
        <v>4606</v>
      </c>
      <c r="G2655" t="s">
        <v>6159</v>
      </c>
    </row>
    <row r="2656" spans="1:7" x14ac:dyDescent="0.25">
      <c r="A2656" t="s">
        <v>278</v>
      </c>
      <c r="B2656" s="5">
        <v>41241</v>
      </c>
      <c r="C2656" s="5" t="s">
        <v>4607</v>
      </c>
      <c r="D2656" t="s">
        <v>4607</v>
      </c>
      <c r="G2656" t="s">
        <v>6159</v>
      </c>
    </row>
    <row r="2657" spans="1:7" x14ac:dyDescent="0.25">
      <c r="A2657" t="s">
        <v>247</v>
      </c>
      <c r="B2657" s="5">
        <v>41241</v>
      </c>
      <c r="C2657" s="5" t="s">
        <v>4608</v>
      </c>
      <c r="D2657" t="s">
        <v>4608</v>
      </c>
      <c r="G2657" t="s">
        <v>6159</v>
      </c>
    </row>
    <row r="2658" spans="1:7" x14ac:dyDescent="0.25">
      <c r="A2658" t="s">
        <v>2875</v>
      </c>
      <c r="B2658" s="5">
        <v>42326</v>
      </c>
      <c r="C2658" s="5" t="s">
        <v>4609</v>
      </c>
      <c r="D2658" t="s">
        <v>4609</v>
      </c>
      <c r="G2658" t="s">
        <v>6159</v>
      </c>
    </row>
    <row r="2659" spans="1:7" x14ac:dyDescent="0.25">
      <c r="A2659" t="s">
        <v>192</v>
      </c>
      <c r="B2659" s="5">
        <v>42325</v>
      </c>
      <c r="C2659" s="5" t="s">
        <v>4610</v>
      </c>
      <c r="D2659" t="s">
        <v>4610</v>
      </c>
      <c r="G2659" t="s">
        <v>6159</v>
      </c>
    </row>
    <row r="2660" spans="1:7" x14ac:dyDescent="0.25">
      <c r="A2660" t="s">
        <v>166</v>
      </c>
      <c r="B2660" s="5">
        <v>42045</v>
      </c>
      <c r="C2660" s="5" t="s">
        <v>4611</v>
      </c>
      <c r="D2660" t="s">
        <v>4611</v>
      </c>
      <c r="G2660" t="s">
        <v>6159</v>
      </c>
    </row>
    <row r="2661" spans="1:7" x14ac:dyDescent="0.25">
      <c r="A2661" t="s">
        <v>2864</v>
      </c>
      <c r="B2661" s="5">
        <v>41232</v>
      </c>
      <c r="C2661" s="5" t="s">
        <v>4612</v>
      </c>
      <c r="D2661" t="s">
        <v>4612</v>
      </c>
      <c r="G2661" t="s">
        <v>6159</v>
      </c>
    </row>
    <row r="2662" spans="1:7" x14ac:dyDescent="0.25">
      <c r="A2662" t="s">
        <v>193</v>
      </c>
      <c r="B2662" s="5">
        <v>41254</v>
      </c>
      <c r="C2662" s="5" t="s">
        <v>4613</v>
      </c>
      <c r="D2662" t="s">
        <v>4613</v>
      </c>
      <c r="G2662" t="s">
        <v>6159</v>
      </c>
    </row>
    <row r="2663" spans="1:7" x14ac:dyDescent="0.25">
      <c r="A2663" t="s">
        <v>2923</v>
      </c>
      <c r="B2663" s="5">
        <v>42284</v>
      </c>
      <c r="C2663" s="5" t="s">
        <v>4614</v>
      </c>
      <c r="D2663" t="s">
        <v>4614</v>
      </c>
      <c r="G2663" t="s">
        <v>6159</v>
      </c>
    </row>
    <row r="2664" spans="1:7" x14ac:dyDescent="0.25">
      <c r="A2664" t="s">
        <v>2836</v>
      </c>
      <c r="B2664" s="5">
        <v>41288</v>
      </c>
      <c r="C2664" s="5" t="s">
        <v>4615</v>
      </c>
      <c r="D2664" t="s">
        <v>4615</v>
      </c>
      <c r="G2664" t="s">
        <v>6159</v>
      </c>
    </row>
    <row r="2665" spans="1:7" x14ac:dyDescent="0.25">
      <c r="A2665" t="s">
        <v>261</v>
      </c>
      <c r="B2665" s="5">
        <v>41311</v>
      </c>
      <c r="C2665" s="5" t="s">
        <v>4616</v>
      </c>
      <c r="D2665" t="s">
        <v>4616</v>
      </c>
      <c r="G2665" t="s">
        <v>6159</v>
      </c>
    </row>
    <row r="2666" spans="1:7" x14ac:dyDescent="0.25">
      <c r="A2666" t="s">
        <v>309</v>
      </c>
      <c r="B2666" s="5">
        <v>41319</v>
      </c>
      <c r="C2666" s="5" t="s">
        <v>4617</v>
      </c>
      <c r="D2666" t="s">
        <v>4617</v>
      </c>
      <c r="G2666" t="s">
        <v>6159</v>
      </c>
    </row>
    <row r="2667" spans="1:7" x14ac:dyDescent="0.25">
      <c r="A2667" t="s">
        <v>134</v>
      </c>
      <c r="B2667" s="5">
        <v>41556</v>
      </c>
      <c r="C2667" s="5" t="s">
        <v>4618</v>
      </c>
      <c r="D2667" t="s">
        <v>4618</v>
      </c>
      <c r="G2667" t="s">
        <v>6159</v>
      </c>
    </row>
    <row r="2668" spans="1:7" x14ac:dyDescent="0.25">
      <c r="A2668" t="s">
        <v>2836</v>
      </c>
      <c r="B2668" s="5">
        <v>41367</v>
      </c>
      <c r="C2668" s="5" t="s">
        <v>4619</v>
      </c>
      <c r="D2668" t="s">
        <v>4619</v>
      </c>
      <c r="G2668" t="s">
        <v>6159</v>
      </c>
    </row>
    <row r="2669" spans="1:7" x14ac:dyDescent="0.25">
      <c r="A2669" t="s">
        <v>2874</v>
      </c>
      <c r="B2669" s="5">
        <v>42326</v>
      </c>
      <c r="C2669" s="5" t="s">
        <v>4620</v>
      </c>
      <c r="D2669" t="s">
        <v>4620</v>
      </c>
      <c r="G2669" t="s">
        <v>6159</v>
      </c>
    </row>
    <row r="2670" spans="1:7" x14ac:dyDescent="0.25">
      <c r="A2670" t="s">
        <v>2924</v>
      </c>
      <c r="B2670" s="5">
        <v>41415</v>
      </c>
      <c r="C2670" s="5" t="s">
        <v>4621</v>
      </c>
      <c r="D2670" t="s">
        <v>4621</v>
      </c>
      <c r="G2670" t="s">
        <v>6159</v>
      </c>
    </row>
    <row r="2671" spans="1:7" x14ac:dyDescent="0.25">
      <c r="A2671" t="s">
        <v>170</v>
      </c>
      <c r="B2671" s="5">
        <v>41569</v>
      </c>
      <c r="C2671" s="5" t="s">
        <v>4622</v>
      </c>
      <c r="D2671" t="s">
        <v>4622</v>
      </c>
      <c r="G2671" t="s">
        <v>6159</v>
      </c>
    </row>
    <row r="2672" spans="1:7" x14ac:dyDescent="0.25">
      <c r="A2672" t="s">
        <v>192</v>
      </c>
      <c r="B2672" s="5">
        <v>42073</v>
      </c>
      <c r="C2672" s="5" t="s">
        <v>4623</v>
      </c>
      <c r="D2672" t="s">
        <v>4623</v>
      </c>
      <c r="G2672" t="s">
        <v>6159</v>
      </c>
    </row>
    <row r="2673" spans="1:7" x14ac:dyDescent="0.25">
      <c r="A2673" t="s">
        <v>149</v>
      </c>
      <c r="B2673" s="5">
        <v>41893</v>
      </c>
      <c r="C2673" s="5" t="s">
        <v>4624</v>
      </c>
      <c r="D2673" t="s">
        <v>4624</v>
      </c>
      <c r="G2673" t="s">
        <v>6159</v>
      </c>
    </row>
    <row r="2674" spans="1:7" x14ac:dyDescent="0.25">
      <c r="A2674" t="s">
        <v>173</v>
      </c>
      <c r="B2674" s="5">
        <v>41575</v>
      </c>
      <c r="C2674" s="5" t="s">
        <v>4625</v>
      </c>
      <c r="D2674" t="s">
        <v>4625</v>
      </c>
      <c r="G2674" t="s">
        <v>6159</v>
      </c>
    </row>
    <row r="2675" spans="1:7" x14ac:dyDescent="0.25">
      <c r="A2675" t="s">
        <v>149</v>
      </c>
      <c r="B2675" s="5">
        <v>42045</v>
      </c>
      <c r="C2675" s="5" t="s">
        <v>4626</v>
      </c>
      <c r="D2675" t="s">
        <v>4626</v>
      </c>
      <c r="G2675" t="s">
        <v>6159</v>
      </c>
    </row>
    <row r="2676" spans="1:7" x14ac:dyDescent="0.25">
      <c r="A2676" t="s">
        <v>142</v>
      </c>
      <c r="B2676" s="5">
        <v>41612</v>
      </c>
      <c r="C2676" s="5" t="s">
        <v>4627</v>
      </c>
      <c r="D2676" t="s">
        <v>4627</v>
      </c>
      <c r="G2676" t="s">
        <v>6159</v>
      </c>
    </row>
    <row r="2677" spans="1:7" x14ac:dyDescent="0.25">
      <c r="A2677" t="s">
        <v>134</v>
      </c>
      <c r="B2677" s="5">
        <v>41612</v>
      </c>
      <c r="C2677" s="5" t="s">
        <v>4628</v>
      </c>
      <c r="D2677" t="s">
        <v>4628</v>
      </c>
      <c r="G2677" t="s">
        <v>6159</v>
      </c>
    </row>
    <row r="2678" spans="1:7" x14ac:dyDescent="0.25">
      <c r="A2678" t="s">
        <v>211</v>
      </c>
      <c r="B2678" s="5">
        <v>41940</v>
      </c>
      <c r="C2678" s="5" t="s">
        <v>4629</v>
      </c>
      <c r="D2678" t="s">
        <v>4629</v>
      </c>
      <c r="G2678" t="s">
        <v>6159</v>
      </c>
    </row>
    <row r="2679" spans="1:7" x14ac:dyDescent="0.25">
      <c r="A2679" t="s">
        <v>2923</v>
      </c>
      <c r="B2679" s="5">
        <v>42228</v>
      </c>
      <c r="C2679" s="5" t="s">
        <v>4630</v>
      </c>
      <c r="D2679" t="s">
        <v>4630</v>
      </c>
      <c r="G2679" t="s">
        <v>6159</v>
      </c>
    </row>
    <row r="2680" spans="1:7" x14ac:dyDescent="0.25">
      <c r="A2680" t="s">
        <v>211</v>
      </c>
      <c r="B2680" s="5">
        <v>41884</v>
      </c>
      <c r="C2680" s="5" t="s">
        <v>4631</v>
      </c>
      <c r="D2680" t="s">
        <v>4631</v>
      </c>
      <c r="G2680" t="s">
        <v>6159</v>
      </c>
    </row>
    <row r="2681" spans="1:7" x14ac:dyDescent="0.25">
      <c r="A2681" t="s">
        <v>273</v>
      </c>
      <c r="B2681" s="5">
        <v>42039</v>
      </c>
      <c r="C2681" s="5" t="s">
        <v>4632</v>
      </c>
      <c r="D2681" t="s">
        <v>4632</v>
      </c>
      <c r="G2681" t="s">
        <v>6159</v>
      </c>
    </row>
    <row r="2682" spans="1:7" x14ac:dyDescent="0.25">
      <c r="A2682" t="s">
        <v>2813</v>
      </c>
      <c r="B2682" s="5">
        <v>42138</v>
      </c>
      <c r="C2682" s="5" t="s">
        <v>4633</v>
      </c>
      <c r="D2682" t="s">
        <v>4633</v>
      </c>
      <c r="G2682" t="s">
        <v>6159</v>
      </c>
    </row>
    <row r="2683" spans="1:7" x14ac:dyDescent="0.25">
      <c r="A2683" t="s">
        <v>2925</v>
      </c>
      <c r="B2683" s="5">
        <v>42423</v>
      </c>
      <c r="C2683" s="5" t="s">
        <v>4634</v>
      </c>
      <c r="D2683" t="s">
        <v>4634</v>
      </c>
      <c r="G2683" t="s">
        <v>6159</v>
      </c>
    </row>
    <row r="2684" spans="1:7" x14ac:dyDescent="0.25">
      <c r="A2684" t="s">
        <v>2924</v>
      </c>
      <c r="B2684" s="5">
        <v>42152</v>
      </c>
      <c r="C2684" s="5" t="s">
        <v>4635</v>
      </c>
      <c r="D2684" t="s">
        <v>4635</v>
      </c>
      <c r="G2684" t="s">
        <v>6159</v>
      </c>
    </row>
    <row r="2685" spans="1:7" x14ac:dyDescent="0.25">
      <c r="A2685" t="s">
        <v>295</v>
      </c>
      <c r="B2685" s="5">
        <v>42116</v>
      </c>
      <c r="C2685" s="5" t="s">
        <v>4636</v>
      </c>
      <c r="D2685" t="s">
        <v>4636</v>
      </c>
      <c r="G2685" t="s">
        <v>6159</v>
      </c>
    </row>
    <row r="2686" spans="1:7" x14ac:dyDescent="0.25">
      <c r="A2686" t="s">
        <v>164</v>
      </c>
      <c r="B2686" s="5">
        <v>42219</v>
      </c>
      <c r="C2686" s="5" t="s">
        <v>4637</v>
      </c>
      <c r="D2686" t="s">
        <v>4637</v>
      </c>
      <c r="G2686" t="s">
        <v>6159</v>
      </c>
    </row>
    <row r="2687" spans="1:7" x14ac:dyDescent="0.25">
      <c r="A2687" t="s">
        <v>2925</v>
      </c>
      <c r="B2687" s="5">
        <v>42228</v>
      </c>
      <c r="C2687" s="5" t="s">
        <v>4638</v>
      </c>
      <c r="D2687" t="s">
        <v>4638</v>
      </c>
      <c r="G2687" t="s">
        <v>6159</v>
      </c>
    </row>
    <row r="2688" spans="1:7" x14ac:dyDescent="0.25">
      <c r="A2688" t="s">
        <v>2904</v>
      </c>
      <c r="B2688" s="5">
        <v>42325</v>
      </c>
      <c r="C2688" s="5" t="s">
        <v>4639</v>
      </c>
      <c r="D2688" t="s">
        <v>4639</v>
      </c>
      <c r="G2688" t="s">
        <v>6159</v>
      </c>
    </row>
    <row r="2689" spans="1:7" x14ac:dyDescent="0.25">
      <c r="A2689" t="s">
        <v>2923</v>
      </c>
      <c r="B2689" s="5">
        <v>42423</v>
      </c>
      <c r="C2689" s="5" t="s">
        <v>4640</v>
      </c>
      <c r="D2689" t="s">
        <v>4640</v>
      </c>
      <c r="G2689" t="s">
        <v>6159</v>
      </c>
    </row>
    <row r="2690" spans="1:7" x14ac:dyDescent="0.25">
      <c r="A2690" t="s">
        <v>45</v>
      </c>
      <c r="B2690" s="5">
        <v>42262</v>
      </c>
      <c r="C2690" s="5" t="s">
        <v>4641</v>
      </c>
      <c r="D2690" t="s">
        <v>4641</v>
      </c>
      <c r="G2690" t="s">
        <v>6159</v>
      </c>
    </row>
    <row r="2691" spans="1:7" x14ac:dyDescent="0.25">
      <c r="A2691" t="s">
        <v>2854</v>
      </c>
      <c r="B2691" s="5">
        <v>41968</v>
      </c>
      <c r="C2691" s="5" t="s">
        <v>4642</v>
      </c>
      <c r="D2691" t="s">
        <v>4642</v>
      </c>
      <c r="G2691" t="s">
        <v>6159</v>
      </c>
    </row>
    <row r="2692" spans="1:7" x14ac:dyDescent="0.25">
      <c r="A2692" t="s">
        <v>360</v>
      </c>
      <c r="B2692" s="5">
        <v>41960</v>
      </c>
      <c r="C2692" s="5" t="s">
        <v>4643</v>
      </c>
      <c r="D2692" t="s">
        <v>4643</v>
      </c>
      <c r="G2692" t="s">
        <v>6159</v>
      </c>
    </row>
    <row r="2693" spans="1:7" x14ac:dyDescent="0.25">
      <c r="A2693" t="s">
        <v>211</v>
      </c>
      <c r="B2693" s="5">
        <v>42031</v>
      </c>
      <c r="C2693" s="5" t="s">
        <v>4644</v>
      </c>
      <c r="D2693" t="s">
        <v>4644</v>
      </c>
      <c r="G2693" t="s">
        <v>6159</v>
      </c>
    </row>
    <row r="2694" spans="1:7" x14ac:dyDescent="0.25">
      <c r="A2694" t="s">
        <v>334</v>
      </c>
      <c r="B2694" s="5">
        <v>42229</v>
      </c>
      <c r="C2694" s="5" t="s">
        <v>4645</v>
      </c>
      <c r="D2694" t="s">
        <v>4645</v>
      </c>
      <c r="G2694" t="s">
        <v>6159</v>
      </c>
    </row>
    <row r="2695" spans="1:7" x14ac:dyDescent="0.25">
      <c r="A2695" t="s">
        <v>2861</v>
      </c>
      <c r="B2695" s="5">
        <v>42326</v>
      </c>
      <c r="C2695" s="5" t="s">
        <v>4646</v>
      </c>
      <c r="D2695" t="s">
        <v>4646</v>
      </c>
      <c r="G2695" t="s">
        <v>6159</v>
      </c>
    </row>
    <row r="2696" spans="1:7" x14ac:dyDescent="0.25">
      <c r="A2696" t="s">
        <v>2904</v>
      </c>
      <c r="B2696" s="5">
        <v>42297</v>
      </c>
      <c r="C2696" s="5" t="s">
        <v>4647</v>
      </c>
      <c r="D2696" t="s">
        <v>4647</v>
      </c>
      <c r="G2696" t="s">
        <v>6159</v>
      </c>
    </row>
    <row r="2697" spans="1:7" x14ac:dyDescent="0.25">
      <c r="A2697" t="s">
        <v>2925</v>
      </c>
      <c r="B2697" s="5">
        <v>42284</v>
      </c>
      <c r="C2697" s="5" t="s">
        <v>4648</v>
      </c>
      <c r="D2697" t="s">
        <v>4648</v>
      </c>
      <c r="G2697" t="s">
        <v>6159</v>
      </c>
    </row>
    <row r="2698" spans="1:7" x14ac:dyDescent="0.25">
      <c r="A2698" t="s">
        <v>192</v>
      </c>
      <c r="B2698" s="5">
        <v>42297</v>
      </c>
      <c r="C2698" s="5" t="s">
        <v>4649</v>
      </c>
      <c r="D2698" t="s">
        <v>4649</v>
      </c>
      <c r="G2698" t="s">
        <v>6159</v>
      </c>
    </row>
    <row r="2699" spans="1:7" x14ac:dyDescent="0.25">
      <c r="A2699" t="s">
        <v>201</v>
      </c>
      <c r="B2699" s="5">
        <v>41906</v>
      </c>
      <c r="C2699" s="5" t="s">
        <v>4650</v>
      </c>
      <c r="D2699" t="s">
        <v>4650</v>
      </c>
      <c r="G2699" t="s">
        <v>6159</v>
      </c>
    </row>
    <row r="2700" spans="1:7" x14ac:dyDescent="0.25">
      <c r="A2700" t="s">
        <v>2904</v>
      </c>
      <c r="B2700" s="5">
        <v>38845</v>
      </c>
      <c r="C2700" s="5" t="s">
        <v>4651</v>
      </c>
      <c r="D2700" t="s">
        <v>4651</v>
      </c>
      <c r="G2700" t="s">
        <v>6159</v>
      </c>
    </row>
    <row r="2701" spans="1:7" x14ac:dyDescent="0.25">
      <c r="A2701" t="s">
        <v>192</v>
      </c>
      <c r="B2701" s="5">
        <v>38846</v>
      </c>
      <c r="C2701" s="5" t="s">
        <v>4652</v>
      </c>
      <c r="D2701" t="s">
        <v>4652</v>
      </c>
      <c r="G2701" t="s">
        <v>6159</v>
      </c>
    </row>
    <row r="2702" spans="1:7" x14ac:dyDescent="0.25">
      <c r="A2702" t="s">
        <v>2907</v>
      </c>
      <c r="B2702" s="5">
        <v>38846</v>
      </c>
      <c r="C2702" s="5" t="s">
        <v>4653</v>
      </c>
      <c r="D2702" t="s">
        <v>4653</v>
      </c>
      <c r="G2702" t="s">
        <v>6159</v>
      </c>
    </row>
    <row r="2703" spans="1:7" x14ac:dyDescent="0.25">
      <c r="A2703" t="s">
        <v>2817</v>
      </c>
      <c r="B2703" s="5">
        <v>39519</v>
      </c>
      <c r="C2703" s="5" t="s">
        <v>4654</v>
      </c>
      <c r="D2703" t="s">
        <v>4654</v>
      </c>
      <c r="G2703" t="s">
        <v>6159</v>
      </c>
    </row>
    <row r="2704" spans="1:7" x14ac:dyDescent="0.25">
      <c r="A2704" t="s">
        <v>2926</v>
      </c>
      <c r="B2704" s="5">
        <v>39519</v>
      </c>
      <c r="C2704" s="5" t="s">
        <v>4655</v>
      </c>
      <c r="D2704" t="s">
        <v>4655</v>
      </c>
      <c r="G2704" t="s">
        <v>6159</v>
      </c>
    </row>
    <row r="2705" spans="1:7" x14ac:dyDescent="0.25">
      <c r="A2705" t="s">
        <v>2816</v>
      </c>
      <c r="B2705" s="5">
        <v>39518</v>
      </c>
      <c r="C2705" s="5" t="s">
        <v>4656</v>
      </c>
      <c r="D2705" t="s">
        <v>4656</v>
      </c>
      <c r="G2705" t="s">
        <v>6159</v>
      </c>
    </row>
    <row r="2706" spans="1:7" x14ac:dyDescent="0.25">
      <c r="A2706" t="s">
        <v>2927</v>
      </c>
      <c r="B2706" s="5">
        <v>41396</v>
      </c>
      <c r="C2706" s="5" t="s">
        <v>4657</v>
      </c>
      <c r="D2706" t="s">
        <v>4657</v>
      </c>
      <c r="G2706" t="s">
        <v>6159</v>
      </c>
    </row>
    <row r="2707" spans="1:7" x14ac:dyDescent="0.25">
      <c r="A2707" t="s">
        <v>2928</v>
      </c>
      <c r="B2707" s="5">
        <v>41396</v>
      </c>
      <c r="C2707" s="5" t="s">
        <v>4658</v>
      </c>
      <c r="D2707" t="s">
        <v>4658</v>
      </c>
      <c r="G2707" t="s">
        <v>6159</v>
      </c>
    </row>
    <row r="2708" spans="1:7" x14ac:dyDescent="0.25">
      <c r="A2708" t="s">
        <v>197</v>
      </c>
      <c r="B2708" s="5">
        <v>41396</v>
      </c>
      <c r="C2708" s="5" t="s">
        <v>4659</v>
      </c>
      <c r="D2708" t="s">
        <v>4659</v>
      </c>
      <c r="G2708" t="s">
        <v>6159</v>
      </c>
    </row>
    <row r="2709" spans="1:7" x14ac:dyDescent="0.25">
      <c r="A2709" t="s">
        <v>2203</v>
      </c>
      <c r="B2709" s="5">
        <v>41396</v>
      </c>
      <c r="C2709" s="5" t="s">
        <v>4660</v>
      </c>
      <c r="D2709" t="s">
        <v>4660</v>
      </c>
      <c r="G2709" t="s">
        <v>6159</v>
      </c>
    </row>
    <row r="2710" spans="1:7" x14ac:dyDescent="0.25">
      <c r="A2710" t="s">
        <v>2929</v>
      </c>
      <c r="B2710" s="5">
        <v>41396</v>
      </c>
      <c r="C2710" s="5" t="s">
        <v>4661</v>
      </c>
      <c r="D2710" t="s">
        <v>4661</v>
      </c>
      <c r="G2710" t="s">
        <v>6159</v>
      </c>
    </row>
    <row r="2711" spans="1:7" x14ac:dyDescent="0.25">
      <c r="A2711" t="s">
        <v>2115</v>
      </c>
      <c r="B2711" s="5">
        <v>39140</v>
      </c>
      <c r="C2711" s="5" t="s">
        <v>4662</v>
      </c>
      <c r="D2711" t="s">
        <v>4662</v>
      </c>
      <c r="G2711" t="s">
        <v>6159</v>
      </c>
    </row>
    <row r="2712" spans="1:7" x14ac:dyDescent="0.25">
      <c r="A2712" t="s">
        <v>2842</v>
      </c>
      <c r="B2712" s="5">
        <v>39140</v>
      </c>
      <c r="C2712" s="5" t="s">
        <v>4663</v>
      </c>
      <c r="D2712" t="s">
        <v>4663</v>
      </c>
      <c r="G2712" t="s">
        <v>6159</v>
      </c>
    </row>
    <row r="2713" spans="1:7" x14ac:dyDescent="0.25">
      <c r="A2713" t="s">
        <v>2844</v>
      </c>
      <c r="B2713" s="5">
        <v>39140</v>
      </c>
      <c r="C2713" s="5" t="s">
        <v>4664</v>
      </c>
      <c r="D2713" t="s">
        <v>4664</v>
      </c>
      <c r="G2713" t="s">
        <v>6159</v>
      </c>
    </row>
    <row r="2714" spans="1:7" x14ac:dyDescent="0.25">
      <c r="A2714" t="s">
        <v>320</v>
      </c>
      <c r="B2714" s="5">
        <v>39141</v>
      </c>
      <c r="C2714" s="5" t="s">
        <v>4665</v>
      </c>
      <c r="D2714" t="s">
        <v>4665</v>
      </c>
      <c r="G2714" t="s">
        <v>6159</v>
      </c>
    </row>
    <row r="2715" spans="1:7" x14ac:dyDescent="0.25">
      <c r="A2715" t="s">
        <v>342</v>
      </c>
      <c r="B2715" s="5">
        <v>39141</v>
      </c>
      <c r="C2715" s="5" t="s">
        <v>4666</v>
      </c>
      <c r="D2715" t="s">
        <v>4666</v>
      </c>
      <c r="G2715" t="s">
        <v>6159</v>
      </c>
    </row>
    <row r="2716" spans="1:7" x14ac:dyDescent="0.25">
      <c r="A2716" t="s">
        <v>2840</v>
      </c>
      <c r="B2716" s="5">
        <v>39141</v>
      </c>
      <c r="C2716" s="5" t="s">
        <v>4667</v>
      </c>
      <c r="D2716" t="s">
        <v>4667</v>
      </c>
      <c r="G2716" t="s">
        <v>6159</v>
      </c>
    </row>
    <row r="2717" spans="1:7" x14ac:dyDescent="0.25">
      <c r="A2717" t="s">
        <v>326</v>
      </c>
      <c r="B2717" s="5">
        <v>39141</v>
      </c>
      <c r="C2717" s="5" t="s">
        <v>4668</v>
      </c>
      <c r="D2717" t="s">
        <v>4668</v>
      </c>
      <c r="G2717" t="s">
        <v>6159</v>
      </c>
    </row>
    <row r="2718" spans="1:7" x14ac:dyDescent="0.25">
      <c r="A2718" t="s">
        <v>324</v>
      </c>
      <c r="B2718" s="5">
        <v>39142</v>
      </c>
      <c r="C2718" s="5" t="s">
        <v>4669</v>
      </c>
      <c r="D2718" t="s">
        <v>4669</v>
      </c>
      <c r="G2718" t="s">
        <v>6159</v>
      </c>
    </row>
    <row r="2719" spans="1:7" x14ac:dyDescent="0.25">
      <c r="A2719" t="s">
        <v>350</v>
      </c>
      <c r="B2719" s="5">
        <v>39142</v>
      </c>
      <c r="C2719" s="5" t="s">
        <v>4670</v>
      </c>
      <c r="D2719" t="s">
        <v>4670</v>
      </c>
      <c r="G2719" t="s">
        <v>6159</v>
      </c>
    </row>
    <row r="2720" spans="1:7" x14ac:dyDescent="0.25">
      <c r="A2720" t="s">
        <v>2841</v>
      </c>
      <c r="B2720" s="5">
        <v>39804</v>
      </c>
      <c r="C2720" s="5" t="s">
        <v>4671</v>
      </c>
      <c r="D2720" t="s">
        <v>4671</v>
      </c>
      <c r="G2720" t="s">
        <v>6159</v>
      </c>
    </row>
    <row r="2721" spans="1:7" x14ac:dyDescent="0.25">
      <c r="A2721" t="s">
        <v>2203</v>
      </c>
      <c r="B2721" s="5">
        <v>40847</v>
      </c>
      <c r="C2721" s="5" t="s">
        <v>4672</v>
      </c>
      <c r="D2721" t="s">
        <v>4672</v>
      </c>
      <c r="G2721" t="s">
        <v>6159</v>
      </c>
    </row>
    <row r="2722" spans="1:7" x14ac:dyDescent="0.25">
      <c r="A2722" t="s">
        <v>2841</v>
      </c>
      <c r="B2722" s="5">
        <v>39643</v>
      </c>
      <c r="C2722" s="5" t="s">
        <v>4673</v>
      </c>
      <c r="D2722" t="s">
        <v>4673</v>
      </c>
      <c r="G2722" t="s">
        <v>6159</v>
      </c>
    </row>
    <row r="2723" spans="1:7" x14ac:dyDescent="0.25">
      <c r="A2723" t="s">
        <v>2815</v>
      </c>
      <c r="B2723" s="5">
        <v>39667</v>
      </c>
      <c r="C2723" s="5" t="s">
        <v>4674</v>
      </c>
      <c r="D2723" t="s">
        <v>4674</v>
      </c>
      <c r="G2723" t="s">
        <v>6159</v>
      </c>
    </row>
    <row r="2724" spans="1:7" x14ac:dyDescent="0.25">
      <c r="A2724" t="s">
        <v>2841</v>
      </c>
      <c r="B2724" s="5">
        <v>39666</v>
      </c>
      <c r="C2724" s="5" t="s">
        <v>4675</v>
      </c>
      <c r="D2724" t="s">
        <v>4675</v>
      </c>
      <c r="G2724" t="s">
        <v>6159</v>
      </c>
    </row>
    <row r="2725" spans="1:7" x14ac:dyDescent="0.25">
      <c r="A2725" t="s">
        <v>2812</v>
      </c>
      <c r="B2725" s="5">
        <v>39644</v>
      </c>
      <c r="C2725" s="5" t="s">
        <v>4676</v>
      </c>
      <c r="D2725" t="s">
        <v>4676</v>
      </c>
      <c r="G2725" t="s">
        <v>6159</v>
      </c>
    </row>
    <row r="2726" spans="1:7" x14ac:dyDescent="0.25">
      <c r="A2726" t="s">
        <v>2811</v>
      </c>
      <c r="B2726" s="5">
        <v>39644</v>
      </c>
      <c r="C2726" s="5" t="s">
        <v>4677</v>
      </c>
      <c r="D2726" t="s">
        <v>4677</v>
      </c>
      <c r="G2726" t="s">
        <v>6159</v>
      </c>
    </row>
    <row r="2727" spans="1:7" x14ac:dyDescent="0.25">
      <c r="A2727" t="s">
        <v>2815</v>
      </c>
      <c r="B2727" s="5">
        <v>39643</v>
      </c>
      <c r="C2727" s="5" t="s">
        <v>4678</v>
      </c>
      <c r="D2727" t="s">
        <v>4678</v>
      </c>
      <c r="G2727" t="s">
        <v>6159</v>
      </c>
    </row>
    <row r="2728" spans="1:7" x14ac:dyDescent="0.25">
      <c r="A2728" t="s">
        <v>2830</v>
      </c>
      <c r="B2728" s="5">
        <v>39643</v>
      </c>
      <c r="C2728" s="5" t="s">
        <v>4679</v>
      </c>
      <c r="D2728" t="s">
        <v>4679</v>
      </c>
      <c r="G2728" t="s">
        <v>6159</v>
      </c>
    </row>
    <row r="2729" spans="1:7" x14ac:dyDescent="0.25">
      <c r="A2729" t="s">
        <v>2812</v>
      </c>
      <c r="B2729" s="5">
        <v>39667</v>
      </c>
      <c r="C2729" s="5" t="s">
        <v>4680</v>
      </c>
      <c r="D2729" t="s">
        <v>4680</v>
      </c>
      <c r="G2729" t="s">
        <v>6159</v>
      </c>
    </row>
    <row r="2730" spans="1:7" x14ac:dyDescent="0.25">
      <c r="A2730" t="s">
        <v>2861</v>
      </c>
      <c r="B2730" s="5">
        <v>38946</v>
      </c>
      <c r="C2730" s="5" t="s">
        <v>4681</v>
      </c>
      <c r="D2730" t="s">
        <v>4681</v>
      </c>
      <c r="G2730" t="s">
        <v>6159</v>
      </c>
    </row>
    <row r="2731" spans="1:7" x14ac:dyDescent="0.25">
      <c r="A2731" t="s">
        <v>2904</v>
      </c>
      <c r="B2731" s="5">
        <v>38946</v>
      </c>
      <c r="C2731" s="5" t="s">
        <v>4682</v>
      </c>
      <c r="D2731" t="s">
        <v>4682</v>
      </c>
      <c r="G2731" t="s">
        <v>6159</v>
      </c>
    </row>
    <row r="2732" spans="1:7" x14ac:dyDescent="0.25">
      <c r="A2732" t="s">
        <v>192</v>
      </c>
      <c r="B2732" s="5">
        <v>38946</v>
      </c>
      <c r="C2732" s="5" t="s">
        <v>4683</v>
      </c>
      <c r="D2732" t="s">
        <v>4683</v>
      </c>
      <c r="G2732" t="s">
        <v>6159</v>
      </c>
    </row>
    <row r="2733" spans="1:7" x14ac:dyDescent="0.25">
      <c r="A2733" t="s">
        <v>2861</v>
      </c>
      <c r="B2733" s="5">
        <v>38959</v>
      </c>
      <c r="C2733" s="5" t="s">
        <v>4684</v>
      </c>
      <c r="D2733" t="s">
        <v>4684</v>
      </c>
      <c r="G2733" t="s">
        <v>6159</v>
      </c>
    </row>
    <row r="2734" spans="1:7" x14ac:dyDescent="0.25">
      <c r="A2734" t="s">
        <v>2904</v>
      </c>
      <c r="B2734" s="5">
        <v>38959</v>
      </c>
      <c r="C2734" s="5" t="s">
        <v>4685</v>
      </c>
      <c r="D2734" t="s">
        <v>4685</v>
      </c>
      <c r="G2734" t="s">
        <v>6159</v>
      </c>
    </row>
    <row r="2735" spans="1:7" x14ac:dyDescent="0.25">
      <c r="A2735" t="s">
        <v>192</v>
      </c>
      <c r="B2735" s="5">
        <v>38960</v>
      </c>
      <c r="C2735" s="5" t="s">
        <v>4686</v>
      </c>
      <c r="D2735" t="s">
        <v>4686</v>
      </c>
      <c r="G2735" t="s">
        <v>6159</v>
      </c>
    </row>
    <row r="2736" spans="1:7" x14ac:dyDescent="0.25">
      <c r="A2736" t="s">
        <v>2884</v>
      </c>
      <c r="B2736" s="5">
        <v>38960</v>
      </c>
      <c r="C2736" s="5" t="s">
        <v>4687</v>
      </c>
      <c r="D2736" t="s">
        <v>4687</v>
      </c>
      <c r="G2736" t="s">
        <v>6159</v>
      </c>
    </row>
    <row r="2737" spans="1:7" x14ac:dyDescent="0.25">
      <c r="A2737" t="s">
        <v>2907</v>
      </c>
      <c r="B2737" s="5">
        <v>39057</v>
      </c>
      <c r="C2737" s="5" t="s">
        <v>4688</v>
      </c>
      <c r="D2737" t="s">
        <v>4688</v>
      </c>
      <c r="G2737" t="s">
        <v>6159</v>
      </c>
    </row>
    <row r="2738" spans="1:7" x14ac:dyDescent="0.25">
      <c r="A2738" t="s">
        <v>2884</v>
      </c>
      <c r="B2738" s="5">
        <v>39057</v>
      </c>
      <c r="C2738" s="5" t="s">
        <v>4689</v>
      </c>
      <c r="D2738" t="s">
        <v>4689</v>
      </c>
      <c r="G2738" t="s">
        <v>6159</v>
      </c>
    </row>
    <row r="2739" spans="1:7" x14ac:dyDescent="0.25">
      <c r="A2739" t="s">
        <v>2905</v>
      </c>
      <c r="B2739" s="5">
        <v>39058</v>
      </c>
      <c r="C2739" s="5" t="s">
        <v>4690</v>
      </c>
      <c r="D2739" t="s">
        <v>4690</v>
      </c>
      <c r="G2739" t="s">
        <v>6159</v>
      </c>
    </row>
    <row r="2740" spans="1:7" x14ac:dyDescent="0.25">
      <c r="A2740" t="s">
        <v>2876</v>
      </c>
      <c r="B2740" s="5">
        <v>39058</v>
      </c>
      <c r="C2740" s="5" t="s">
        <v>4691</v>
      </c>
      <c r="D2740" t="s">
        <v>4691</v>
      </c>
      <c r="G2740" t="s">
        <v>6159</v>
      </c>
    </row>
    <row r="2741" spans="1:7" x14ac:dyDescent="0.25">
      <c r="A2741" t="s">
        <v>342</v>
      </c>
      <c r="B2741" s="5">
        <v>39166</v>
      </c>
      <c r="C2741" s="5" t="s">
        <v>4692</v>
      </c>
      <c r="D2741" t="s">
        <v>4692</v>
      </c>
      <c r="G2741" t="s">
        <v>6159</v>
      </c>
    </row>
    <row r="2742" spans="1:7" x14ac:dyDescent="0.25">
      <c r="A2742" t="s">
        <v>350</v>
      </c>
      <c r="B2742" s="5">
        <v>39166</v>
      </c>
      <c r="C2742" s="5" t="s">
        <v>4693</v>
      </c>
      <c r="D2742" t="s">
        <v>4693</v>
      </c>
      <c r="G2742" t="s">
        <v>6159</v>
      </c>
    </row>
    <row r="2743" spans="1:7" x14ac:dyDescent="0.25">
      <c r="A2743" t="s">
        <v>324</v>
      </c>
      <c r="B2743" s="5">
        <v>39166</v>
      </c>
      <c r="C2743" s="5" t="s">
        <v>4694</v>
      </c>
      <c r="D2743" t="s">
        <v>4694</v>
      </c>
      <c r="G2743" t="s">
        <v>6159</v>
      </c>
    </row>
    <row r="2744" spans="1:7" x14ac:dyDescent="0.25">
      <c r="A2744" t="s">
        <v>320</v>
      </c>
      <c r="B2744" s="5">
        <v>39166</v>
      </c>
      <c r="C2744" s="5" t="s">
        <v>4695</v>
      </c>
      <c r="D2744" t="s">
        <v>4695</v>
      </c>
      <c r="G2744" t="s">
        <v>6159</v>
      </c>
    </row>
    <row r="2745" spans="1:7" x14ac:dyDescent="0.25">
      <c r="A2745" t="s">
        <v>2115</v>
      </c>
      <c r="B2745" s="5">
        <v>39167</v>
      </c>
      <c r="C2745" s="5" t="s">
        <v>4696</v>
      </c>
      <c r="D2745" t="s">
        <v>4696</v>
      </c>
      <c r="G2745" t="s">
        <v>6159</v>
      </c>
    </row>
    <row r="2746" spans="1:7" x14ac:dyDescent="0.25">
      <c r="A2746" t="s">
        <v>2842</v>
      </c>
      <c r="B2746" s="5">
        <v>39167</v>
      </c>
      <c r="C2746" s="5" t="s">
        <v>4697</v>
      </c>
      <c r="D2746" t="s">
        <v>4697</v>
      </c>
      <c r="G2746" t="s">
        <v>6159</v>
      </c>
    </row>
    <row r="2747" spans="1:7" x14ac:dyDescent="0.25">
      <c r="A2747" t="s">
        <v>2844</v>
      </c>
      <c r="B2747" s="5">
        <v>39167</v>
      </c>
      <c r="C2747" s="5" t="s">
        <v>4698</v>
      </c>
      <c r="D2747" t="s">
        <v>4698</v>
      </c>
      <c r="G2747" t="s">
        <v>6159</v>
      </c>
    </row>
    <row r="2748" spans="1:7" x14ac:dyDescent="0.25">
      <c r="A2748" t="s">
        <v>2840</v>
      </c>
      <c r="B2748" s="5">
        <v>39168</v>
      </c>
      <c r="C2748" s="5" t="s">
        <v>4699</v>
      </c>
      <c r="D2748" t="s">
        <v>4699</v>
      </c>
      <c r="G2748" t="s">
        <v>6159</v>
      </c>
    </row>
    <row r="2749" spans="1:7" x14ac:dyDescent="0.25">
      <c r="A2749" t="s">
        <v>2843</v>
      </c>
      <c r="B2749" s="5">
        <v>39168</v>
      </c>
      <c r="C2749" s="5" t="s">
        <v>4700</v>
      </c>
      <c r="D2749" t="s">
        <v>4700</v>
      </c>
      <c r="G2749" t="s">
        <v>6159</v>
      </c>
    </row>
    <row r="2750" spans="1:7" x14ac:dyDescent="0.25">
      <c r="A2750" t="s">
        <v>326</v>
      </c>
      <c r="B2750" s="5">
        <v>39168</v>
      </c>
      <c r="C2750" s="5" t="s">
        <v>4701</v>
      </c>
      <c r="D2750" t="s">
        <v>4701</v>
      </c>
      <c r="G2750" t="s">
        <v>6159</v>
      </c>
    </row>
    <row r="2751" spans="1:7" x14ac:dyDescent="0.25">
      <c r="A2751" t="s">
        <v>2873</v>
      </c>
      <c r="B2751" s="5">
        <v>39475</v>
      </c>
      <c r="C2751" s="5" t="s">
        <v>4702</v>
      </c>
      <c r="D2751" t="s">
        <v>4702</v>
      </c>
      <c r="G2751" t="s">
        <v>6159</v>
      </c>
    </row>
    <row r="2752" spans="1:7" x14ac:dyDescent="0.25">
      <c r="A2752" t="s">
        <v>261</v>
      </c>
      <c r="B2752" s="5">
        <v>39455</v>
      </c>
      <c r="C2752" s="5" t="s">
        <v>4703</v>
      </c>
      <c r="D2752" t="s">
        <v>4703</v>
      </c>
      <c r="G2752" t="s">
        <v>6159</v>
      </c>
    </row>
    <row r="2753" spans="1:7" x14ac:dyDescent="0.25">
      <c r="A2753" t="s">
        <v>2186</v>
      </c>
      <c r="B2753" s="5">
        <v>39454</v>
      </c>
      <c r="C2753" s="5" t="s">
        <v>4704</v>
      </c>
      <c r="D2753" t="s">
        <v>4704</v>
      </c>
      <c r="G2753" t="s">
        <v>6159</v>
      </c>
    </row>
    <row r="2754" spans="1:7" x14ac:dyDescent="0.25">
      <c r="A2754" t="s">
        <v>313</v>
      </c>
      <c r="B2754" s="5">
        <v>39393</v>
      </c>
      <c r="C2754" s="5" t="s">
        <v>4705</v>
      </c>
      <c r="D2754" t="s">
        <v>4705</v>
      </c>
      <c r="G2754" t="s">
        <v>6159</v>
      </c>
    </row>
    <row r="2755" spans="1:7" x14ac:dyDescent="0.25">
      <c r="A2755" t="s">
        <v>2930</v>
      </c>
      <c r="B2755" s="5">
        <v>41486</v>
      </c>
      <c r="C2755" s="5" t="s">
        <v>4706</v>
      </c>
      <c r="D2755" t="s">
        <v>4706</v>
      </c>
      <c r="G2755" t="s">
        <v>6159</v>
      </c>
    </row>
    <row r="2756" spans="1:7" x14ac:dyDescent="0.25">
      <c r="A2756" t="s">
        <v>2925</v>
      </c>
      <c r="B2756" s="5">
        <v>42521</v>
      </c>
      <c r="C2756" s="5" t="s">
        <v>4707</v>
      </c>
      <c r="D2756" t="s">
        <v>4707</v>
      </c>
      <c r="G2756" t="s">
        <v>6159</v>
      </c>
    </row>
    <row r="2757" spans="1:7" x14ac:dyDescent="0.25">
      <c r="A2757" t="s">
        <v>2923</v>
      </c>
      <c r="B2757" s="5">
        <v>42521</v>
      </c>
      <c r="C2757" s="5" t="s">
        <v>4708</v>
      </c>
      <c r="D2757" t="s">
        <v>4708</v>
      </c>
      <c r="G2757" t="s">
        <v>6159</v>
      </c>
    </row>
    <row r="2758" spans="1:7" x14ac:dyDescent="0.25">
      <c r="A2758" t="s">
        <v>135</v>
      </c>
      <c r="B2758" s="5">
        <v>42542</v>
      </c>
      <c r="C2758" s="5" t="s">
        <v>4709</v>
      </c>
      <c r="D2758" t="s">
        <v>4709</v>
      </c>
      <c r="G2758" t="s">
        <v>6159</v>
      </c>
    </row>
    <row r="2759" spans="1:7" x14ac:dyDescent="0.25">
      <c r="A2759" t="s">
        <v>2836</v>
      </c>
      <c r="B2759" s="5">
        <v>39213</v>
      </c>
      <c r="C2759" s="5" t="s">
        <v>4710</v>
      </c>
      <c r="D2759" t="s">
        <v>4710</v>
      </c>
      <c r="G2759" t="s">
        <v>6159</v>
      </c>
    </row>
    <row r="2760" spans="1:7" x14ac:dyDescent="0.25">
      <c r="A2760" t="s">
        <v>55</v>
      </c>
      <c r="B2760" s="5">
        <v>39713</v>
      </c>
      <c r="C2760" s="5" t="s">
        <v>4711</v>
      </c>
      <c r="D2760" t="s">
        <v>4711</v>
      </c>
      <c r="G2760" t="s">
        <v>6159</v>
      </c>
    </row>
    <row r="2761" spans="1:7" x14ac:dyDescent="0.25">
      <c r="A2761" t="s">
        <v>2931</v>
      </c>
      <c r="B2761" s="5">
        <v>39660</v>
      </c>
      <c r="C2761" s="5" t="s">
        <v>4712</v>
      </c>
      <c r="D2761" t="s">
        <v>4712</v>
      </c>
      <c r="G2761" t="s">
        <v>6159</v>
      </c>
    </row>
    <row r="2762" spans="1:7" x14ac:dyDescent="0.25">
      <c r="A2762" t="s">
        <v>2904</v>
      </c>
      <c r="B2762" s="5">
        <v>42465</v>
      </c>
      <c r="C2762" s="5" t="s">
        <v>4713</v>
      </c>
      <c r="D2762" t="s">
        <v>4713</v>
      </c>
      <c r="G2762" t="s">
        <v>6159</v>
      </c>
    </row>
    <row r="2763" spans="1:7" x14ac:dyDescent="0.25">
      <c r="A2763" t="s">
        <v>2931</v>
      </c>
      <c r="B2763" s="5">
        <v>39042</v>
      </c>
      <c r="C2763" s="5" t="s">
        <v>4714</v>
      </c>
      <c r="D2763" t="s">
        <v>4714</v>
      </c>
      <c r="G2763" t="s">
        <v>6159</v>
      </c>
    </row>
    <row r="2764" spans="1:7" x14ac:dyDescent="0.25">
      <c r="A2764" t="s">
        <v>2841</v>
      </c>
      <c r="B2764" s="5">
        <v>39726</v>
      </c>
      <c r="C2764" s="5" t="s">
        <v>4715</v>
      </c>
      <c r="D2764" t="s">
        <v>4715</v>
      </c>
      <c r="G2764" t="s">
        <v>6159</v>
      </c>
    </row>
    <row r="2765" spans="1:7" x14ac:dyDescent="0.25">
      <c r="A2765" t="s">
        <v>2841</v>
      </c>
      <c r="B2765" s="5">
        <v>39727</v>
      </c>
      <c r="C2765" s="5" t="s">
        <v>4716</v>
      </c>
      <c r="D2765" t="s">
        <v>4716</v>
      </c>
      <c r="G2765" t="s">
        <v>6159</v>
      </c>
    </row>
    <row r="2766" spans="1:7" x14ac:dyDescent="0.25">
      <c r="A2766" t="s">
        <v>2932</v>
      </c>
      <c r="B2766" s="5">
        <v>39288</v>
      </c>
      <c r="C2766" s="5" t="s">
        <v>4717</v>
      </c>
      <c r="D2766" t="s">
        <v>4717</v>
      </c>
      <c r="G2766" t="s">
        <v>6159</v>
      </c>
    </row>
    <row r="2767" spans="1:7" x14ac:dyDescent="0.25">
      <c r="A2767" t="s">
        <v>2933</v>
      </c>
      <c r="B2767" s="5">
        <v>39288</v>
      </c>
      <c r="C2767" s="5" t="s">
        <v>4718</v>
      </c>
      <c r="D2767" t="s">
        <v>4718</v>
      </c>
      <c r="G2767" t="s">
        <v>6159</v>
      </c>
    </row>
    <row r="2768" spans="1:7" x14ac:dyDescent="0.25">
      <c r="A2768" t="s">
        <v>2932</v>
      </c>
      <c r="B2768" s="5">
        <v>39175</v>
      </c>
      <c r="C2768" s="5" t="s">
        <v>4719</v>
      </c>
      <c r="D2768" t="s">
        <v>4719</v>
      </c>
      <c r="G2768" t="s">
        <v>6159</v>
      </c>
    </row>
    <row r="2769" spans="1:7" x14ac:dyDescent="0.25">
      <c r="A2769" t="s">
        <v>2934</v>
      </c>
      <c r="B2769" s="5">
        <v>39175</v>
      </c>
      <c r="C2769" s="5" t="s">
        <v>4720</v>
      </c>
      <c r="D2769" t="s">
        <v>4720</v>
      </c>
      <c r="G2769" t="s">
        <v>6159</v>
      </c>
    </row>
    <row r="2770" spans="1:7" x14ac:dyDescent="0.25">
      <c r="A2770" t="s">
        <v>2935</v>
      </c>
      <c r="B2770" s="5">
        <v>39177</v>
      </c>
      <c r="C2770" s="5" t="s">
        <v>4721</v>
      </c>
      <c r="D2770" t="s">
        <v>4721</v>
      </c>
      <c r="G2770" t="s">
        <v>6159</v>
      </c>
    </row>
    <row r="2771" spans="1:7" x14ac:dyDescent="0.25">
      <c r="A2771" t="s">
        <v>2933</v>
      </c>
      <c r="B2771" s="5">
        <v>39177</v>
      </c>
      <c r="C2771" s="5" t="s">
        <v>4722</v>
      </c>
      <c r="D2771" t="s">
        <v>4722</v>
      </c>
      <c r="G2771" t="s">
        <v>6159</v>
      </c>
    </row>
    <row r="2772" spans="1:7" x14ac:dyDescent="0.25">
      <c r="A2772" t="s">
        <v>2935</v>
      </c>
      <c r="B2772" s="5">
        <v>39260</v>
      </c>
      <c r="C2772" s="5" t="s">
        <v>4723</v>
      </c>
      <c r="D2772" t="s">
        <v>4723</v>
      </c>
      <c r="G2772" t="s">
        <v>6159</v>
      </c>
    </row>
    <row r="2773" spans="1:7" x14ac:dyDescent="0.25">
      <c r="A2773" t="s">
        <v>2933</v>
      </c>
      <c r="B2773" s="5">
        <v>39260</v>
      </c>
      <c r="C2773" s="5" t="s">
        <v>4724</v>
      </c>
      <c r="D2773" t="s">
        <v>4724</v>
      </c>
      <c r="G2773" t="s">
        <v>6159</v>
      </c>
    </row>
    <row r="2774" spans="1:7" x14ac:dyDescent="0.25">
      <c r="A2774" t="s">
        <v>2932</v>
      </c>
      <c r="B2774" s="5">
        <v>39260</v>
      </c>
      <c r="C2774" s="5" t="s">
        <v>4725</v>
      </c>
      <c r="D2774" t="s">
        <v>4725</v>
      </c>
      <c r="G2774" t="s">
        <v>6159</v>
      </c>
    </row>
    <row r="2775" spans="1:7" x14ac:dyDescent="0.25">
      <c r="A2775" t="s">
        <v>2930</v>
      </c>
      <c r="B2775" s="5">
        <v>39541</v>
      </c>
      <c r="C2775" s="5" t="s">
        <v>4726</v>
      </c>
      <c r="D2775" t="s">
        <v>4726</v>
      </c>
      <c r="G2775" t="s">
        <v>6159</v>
      </c>
    </row>
    <row r="2776" spans="1:7" x14ac:dyDescent="0.25">
      <c r="A2776" t="s">
        <v>2817</v>
      </c>
      <c r="B2776" s="5">
        <v>39532</v>
      </c>
      <c r="C2776" s="5" t="s">
        <v>4727</v>
      </c>
      <c r="D2776" t="s">
        <v>4727</v>
      </c>
      <c r="G2776" t="s">
        <v>6159</v>
      </c>
    </row>
    <row r="2777" spans="1:7" x14ac:dyDescent="0.25">
      <c r="A2777" t="s">
        <v>2926</v>
      </c>
      <c r="B2777" s="5">
        <v>39532</v>
      </c>
      <c r="C2777" s="5" t="s">
        <v>4728</v>
      </c>
      <c r="D2777" t="s">
        <v>4728</v>
      </c>
      <c r="G2777" t="s">
        <v>6159</v>
      </c>
    </row>
    <row r="2778" spans="1:7" x14ac:dyDescent="0.25">
      <c r="A2778" t="s">
        <v>2816</v>
      </c>
      <c r="B2778" s="5">
        <v>39532</v>
      </c>
      <c r="C2778" s="5" t="s">
        <v>4729</v>
      </c>
      <c r="D2778" t="s">
        <v>4729</v>
      </c>
      <c r="G2778" t="s">
        <v>6159</v>
      </c>
    </row>
    <row r="2779" spans="1:7" x14ac:dyDescent="0.25">
      <c r="A2779" t="s">
        <v>2935</v>
      </c>
      <c r="B2779" s="5">
        <v>39385</v>
      </c>
      <c r="C2779" s="5" t="s">
        <v>4730</v>
      </c>
      <c r="D2779" t="s">
        <v>4730</v>
      </c>
      <c r="G2779" t="s">
        <v>6159</v>
      </c>
    </row>
    <row r="2780" spans="1:7" x14ac:dyDescent="0.25">
      <c r="A2780" t="s">
        <v>2932</v>
      </c>
      <c r="B2780" s="5">
        <v>39385</v>
      </c>
      <c r="C2780" s="5" t="s">
        <v>4731</v>
      </c>
      <c r="D2780" t="s">
        <v>4731</v>
      </c>
      <c r="G2780" t="s">
        <v>6159</v>
      </c>
    </row>
    <row r="2781" spans="1:7" x14ac:dyDescent="0.25">
      <c r="A2781" t="s">
        <v>2933</v>
      </c>
      <c r="B2781" s="5">
        <v>39385</v>
      </c>
      <c r="C2781" s="5" t="s">
        <v>4732</v>
      </c>
      <c r="D2781" t="s">
        <v>4732</v>
      </c>
      <c r="G2781" t="s">
        <v>6159</v>
      </c>
    </row>
    <row r="2782" spans="1:7" x14ac:dyDescent="0.25">
      <c r="A2782" t="s">
        <v>2936</v>
      </c>
      <c r="B2782" s="5">
        <v>39321</v>
      </c>
      <c r="C2782" s="5" t="s">
        <v>4733</v>
      </c>
      <c r="D2782" t="s">
        <v>4733</v>
      </c>
      <c r="G2782" t="s">
        <v>6159</v>
      </c>
    </row>
    <row r="2783" spans="1:7" x14ac:dyDescent="0.25">
      <c r="A2783" t="s">
        <v>2932</v>
      </c>
      <c r="B2783" s="5">
        <v>39321</v>
      </c>
      <c r="C2783" s="5" t="s">
        <v>4734</v>
      </c>
      <c r="D2783" t="s">
        <v>4734</v>
      </c>
      <c r="G2783" t="s">
        <v>6159</v>
      </c>
    </row>
    <row r="2784" spans="1:7" x14ac:dyDescent="0.25">
      <c r="A2784" t="s">
        <v>2933</v>
      </c>
      <c r="B2784" s="5">
        <v>39321</v>
      </c>
      <c r="C2784" s="5" t="s">
        <v>4735</v>
      </c>
      <c r="D2784" t="s">
        <v>4735</v>
      </c>
      <c r="G2784" t="s">
        <v>6159</v>
      </c>
    </row>
    <row r="2785" spans="1:7" x14ac:dyDescent="0.25">
      <c r="A2785" t="s">
        <v>2936</v>
      </c>
      <c r="B2785" s="5">
        <v>39288</v>
      </c>
      <c r="C2785" s="5" t="s">
        <v>4736</v>
      </c>
      <c r="D2785" t="s">
        <v>4736</v>
      </c>
      <c r="G2785" t="s">
        <v>6159</v>
      </c>
    </row>
    <row r="2786" spans="1:7" x14ac:dyDescent="0.25">
      <c r="A2786" t="s">
        <v>2813</v>
      </c>
      <c r="B2786" s="5">
        <v>40051</v>
      </c>
      <c r="C2786" s="5" t="s">
        <v>4737</v>
      </c>
      <c r="D2786" t="s">
        <v>4737</v>
      </c>
      <c r="G2786" t="s">
        <v>6159</v>
      </c>
    </row>
    <row r="2787" spans="1:7" x14ac:dyDescent="0.25">
      <c r="A2787" t="s">
        <v>2935</v>
      </c>
      <c r="B2787" s="5">
        <v>40051</v>
      </c>
      <c r="C2787" s="5" t="s">
        <v>4738</v>
      </c>
      <c r="D2787" t="s">
        <v>4738</v>
      </c>
      <c r="G2787" t="s">
        <v>6159</v>
      </c>
    </row>
    <row r="2788" spans="1:7" x14ac:dyDescent="0.25">
      <c r="A2788" t="s">
        <v>192</v>
      </c>
      <c r="B2788" s="5">
        <v>38906</v>
      </c>
      <c r="C2788" s="5" t="s">
        <v>4739</v>
      </c>
      <c r="D2788" t="s">
        <v>4739</v>
      </c>
      <c r="G2788" t="s">
        <v>6159</v>
      </c>
    </row>
    <row r="2789" spans="1:7" x14ac:dyDescent="0.25">
      <c r="A2789" t="s">
        <v>192</v>
      </c>
      <c r="B2789" s="5">
        <v>38903</v>
      </c>
      <c r="C2789" s="5" t="s">
        <v>4740</v>
      </c>
      <c r="D2789" t="s">
        <v>4740</v>
      </c>
      <c r="G2789" t="s">
        <v>6159</v>
      </c>
    </row>
    <row r="2790" spans="1:7" x14ac:dyDescent="0.25">
      <c r="A2790" t="s">
        <v>192</v>
      </c>
      <c r="B2790" s="5">
        <v>38924</v>
      </c>
      <c r="C2790" s="5" t="s">
        <v>4741</v>
      </c>
      <c r="D2790" t="s">
        <v>4741</v>
      </c>
      <c r="G2790" t="s">
        <v>6159</v>
      </c>
    </row>
    <row r="2791" spans="1:7" x14ac:dyDescent="0.25">
      <c r="A2791" t="s">
        <v>2861</v>
      </c>
      <c r="B2791" s="5">
        <v>38912</v>
      </c>
      <c r="C2791" s="5" t="s">
        <v>4742</v>
      </c>
      <c r="D2791" t="s">
        <v>4742</v>
      </c>
      <c r="G2791" t="s">
        <v>6159</v>
      </c>
    </row>
    <row r="2792" spans="1:7" x14ac:dyDescent="0.25">
      <c r="A2792" t="s">
        <v>2814</v>
      </c>
      <c r="B2792" s="5">
        <v>39875</v>
      </c>
      <c r="C2792" s="5" t="s">
        <v>4743</v>
      </c>
      <c r="D2792" t="s">
        <v>4743</v>
      </c>
      <c r="G2792" t="s">
        <v>6159</v>
      </c>
    </row>
    <row r="2793" spans="1:7" x14ac:dyDescent="0.25">
      <c r="A2793" t="s">
        <v>2841</v>
      </c>
      <c r="B2793" s="5">
        <v>39874</v>
      </c>
      <c r="C2793" s="5" t="s">
        <v>4744</v>
      </c>
      <c r="D2793" t="s">
        <v>4744</v>
      </c>
      <c r="G2793" t="s">
        <v>6159</v>
      </c>
    </row>
    <row r="2794" spans="1:7" x14ac:dyDescent="0.25">
      <c r="A2794" t="s">
        <v>2815</v>
      </c>
      <c r="B2794" s="5">
        <v>39842</v>
      </c>
      <c r="C2794" s="5" t="s">
        <v>4745</v>
      </c>
      <c r="D2794" t="s">
        <v>4745</v>
      </c>
      <c r="G2794" t="s">
        <v>6159</v>
      </c>
    </row>
    <row r="2795" spans="1:7" x14ac:dyDescent="0.25">
      <c r="A2795" t="s">
        <v>324</v>
      </c>
      <c r="B2795" s="5">
        <v>39127</v>
      </c>
      <c r="C2795" s="5" t="s">
        <v>4746</v>
      </c>
      <c r="D2795" t="s">
        <v>4746</v>
      </c>
      <c r="G2795" t="s">
        <v>6159</v>
      </c>
    </row>
    <row r="2796" spans="1:7" x14ac:dyDescent="0.25">
      <c r="A2796" t="s">
        <v>350</v>
      </c>
      <c r="B2796" s="5">
        <v>39127</v>
      </c>
      <c r="C2796" s="5" t="s">
        <v>4747</v>
      </c>
      <c r="D2796" t="s">
        <v>4747</v>
      </c>
      <c r="G2796" t="s">
        <v>6159</v>
      </c>
    </row>
    <row r="2797" spans="1:7" x14ac:dyDescent="0.25">
      <c r="A2797" t="s">
        <v>342</v>
      </c>
      <c r="B2797" s="5">
        <v>39127</v>
      </c>
      <c r="C2797" s="5" t="s">
        <v>4748</v>
      </c>
      <c r="D2797" t="s">
        <v>4748</v>
      </c>
      <c r="G2797" t="s">
        <v>6159</v>
      </c>
    </row>
    <row r="2798" spans="1:7" x14ac:dyDescent="0.25">
      <c r="A2798" t="s">
        <v>320</v>
      </c>
      <c r="B2798" s="5">
        <v>39127</v>
      </c>
      <c r="C2798" s="5" t="s">
        <v>4749</v>
      </c>
      <c r="D2798" t="s">
        <v>4749</v>
      </c>
      <c r="G2798" t="s">
        <v>6159</v>
      </c>
    </row>
    <row r="2799" spans="1:7" x14ac:dyDescent="0.25">
      <c r="A2799" t="s">
        <v>2115</v>
      </c>
      <c r="B2799" s="5">
        <v>39128</v>
      </c>
      <c r="C2799" s="5" t="s">
        <v>4750</v>
      </c>
      <c r="D2799" t="s">
        <v>4750</v>
      </c>
      <c r="G2799" t="s">
        <v>6159</v>
      </c>
    </row>
    <row r="2800" spans="1:7" x14ac:dyDescent="0.25">
      <c r="A2800" t="s">
        <v>326</v>
      </c>
      <c r="B2800" s="5">
        <v>39128</v>
      </c>
      <c r="C2800" s="5" t="s">
        <v>4751</v>
      </c>
      <c r="D2800" t="s">
        <v>4751</v>
      </c>
      <c r="G2800" t="s">
        <v>6159</v>
      </c>
    </row>
    <row r="2801" spans="1:7" x14ac:dyDescent="0.25">
      <c r="A2801" t="s">
        <v>2840</v>
      </c>
      <c r="B2801" s="5">
        <v>39128</v>
      </c>
      <c r="C2801" s="5" t="s">
        <v>4752</v>
      </c>
      <c r="D2801" t="s">
        <v>4752</v>
      </c>
      <c r="G2801" t="s">
        <v>6159</v>
      </c>
    </row>
    <row r="2802" spans="1:7" x14ac:dyDescent="0.25">
      <c r="A2802" t="s">
        <v>2842</v>
      </c>
      <c r="B2802" s="5">
        <v>39129</v>
      </c>
      <c r="C2802" s="5" t="s">
        <v>4753</v>
      </c>
      <c r="D2802" t="s">
        <v>4753</v>
      </c>
      <c r="G2802" t="s">
        <v>6159</v>
      </c>
    </row>
    <row r="2803" spans="1:7" x14ac:dyDescent="0.25">
      <c r="A2803" t="s">
        <v>2844</v>
      </c>
      <c r="B2803" s="5">
        <v>39129</v>
      </c>
      <c r="C2803" s="5" t="s">
        <v>4754</v>
      </c>
      <c r="D2803" t="s">
        <v>4754</v>
      </c>
      <c r="G2803" t="s">
        <v>6159</v>
      </c>
    </row>
    <row r="2804" spans="1:7" x14ac:dyDescent="0.25">
      <c r="A2804" t="s">
        <v>2812</v>
      </c>
      <c r="B2804" s="5">
        <v>40074</v>
      </c>
      <c r="C2804" s="5" t="s">
        <v>4755</v>
      </c>
      <c r="D2804" t="s">
        <v>4755</v>
      </c>
      <c r="G2804" t="s">
        <v>6159</v>
      </c>
    </row>
    <row r="2805" spans="1:7" x14ac:dyDescent="0.25">
      <c r="A2805" t="s">
        <v>2812</v>
      </c>
      <c r="B2805" s="5">
        <v>39875</v>
      </c>
      <c r="C2805" s="5" t="s">
        <v>4756</v>
      </c>
      <c r="D2805" t="s">
        <v>4756</v>
      </c>
      <c r="G2805" t="s">
        <v>6159</v>
      </c>
    </row>
    <row r="2806" spans="1:7" x14ac:dyDescent="0.25">
      <c r="A2806" t="s">
        <v>2815</v>
      </c>
      <c r="B2806" s="5">
        <v>39874</v>
      </c>
      <c r="C2806" s="5" t="s">
        <v>4757</v>
      </c>
      <c r="D2806" t="s">
        <v>4757</v>
      </c>
      <c r="G2806" t="s">
        <v>6159</v>
      </c>
    </row>
    <row r="2807" spans="1:7" x14ac:dyDescent="0.25">
      <c r="A2807" t="s">
        <v>2812</v>
      </c>
      <c r="B2807" s="5">
        <v>39869</v>
      </c>
      <c r="C2807" s="5" t="s">
        <v>4758</v>
      </c>
      <c r="D2807" t="s">
        <v>4758</v>
      </c>
      <c r="G2807" t="s">
        <v>6159</v>
      </c>
    </row>
    <row r="2808" spans="1:7" x14ac:dyDescent="0.25">
      <c r="A2808" t="s">
        <v>2841</v>
      </c>
      <c r="B2808" s="5">
        <v>39842</v>
      </c>
      <c r="C2808" s="5" t="s">
        <v>4759</v>
      </c>
      <c r="D2808" t="s">
        <v>4759</v>
      </c>
      <c r="G2808" t="s">
        <v>6159</v>
      </c>
    </row>
    <row r="2809" spans="1:7" x14ac:dyDescent="0.25">
      <c r="A2809" t="s">
        <v>2812</v>
      </c>
      <c r="B2809" s="5">
        <v>39841</v>
      </c>
      <c r="C2809" s="5" t="s">
        <v>4760</v>
      </c>
      <c r="D2809" t="s">
        <v>4760</v>
      </c>
      <c r="G2809" t="s">
        <v>6159</v>
      </c>
    </row>
    <row r="2810" spans="1:7" x14ac:dyDescent="0.25">
      <c r="A2810" t="s">
        <v>2814</v>
      </c>
      <c r="B2810" s="5">
        <v>39841</v>
      </c>
      <c r="C2810" s="5" t="s">
        <v>4761</v>
      </c>
      <c r="D2810" t="s">
        <v>4761</v>
      </c>
      <c r="G2810" t="s">
        <v>6159</v>
      </c>
    </row>
    <row r="2811" spans="1:7" x14ac:dyDescent="0.25">
      <c r="A2811" t="s">
        <v>2841</v>
      </c>
      <c r="B2811" s="5">
        <v>39823</v>
      </c>
      <c r="C2811" s="5" t="s">
        <v>4762</v>
      </c>
      <c r="D2811" t="s">
        <v>4762</v>
      </c>
      <c r="G2811" t="s">
        <v>6159</v>
      </c>
    </row>
    <row r="2812" spans="1:7" x14ac:dyDescent="0.25">
      <c r="A2812" t="s">
        <v>131</v>
      </c>
      <c r="B2812" s="5">
        <v>38534</v>
      </c>
      <c r="C2812" s="5" t="s">
        <v>4763</v>
      </c>
      <c r="D2812" t="s">
        <v>4763</v>
      </c>
      <c r="G2812" t="s">
        <v>6159</v>
      </c>
    </row>
    <row r="2813" spans="1:7" x14ac:dyDescent="0.25">
      <c r="A2813" t="s">
        <v>2937</v>
      </c>
      <c r="B2813" s="5">
        <v>38534</v>
      </c>
      <c r="C2813" s="5" t="s">
        <v>4764</v>
      </c>
      <c r="D2813" t="s">
        <v>4764</v>
      </c>
      <c r="G2813" t="s">
        <v>6159</v>
      </c>
    </row>
    <row r="2814" spans="1:7" x14ac:dyDescent="0.25">
      <c r="A2814" t="s">
        <v>2938</v>
      </c>
      <c r="B2814" s="5">
        <v>38534</v>
      </c>
      <c r="C2814" s="5" t="s">
        <v>4765</v>
      </c>
      <c r="D2814" t="s">
        <v>4765</v>
      </c>
      <c r="G2814" t="s">
        <v>6159</v>
      </c>
    </row>
    <row r="2815" spans="1:7" x14ac:dyDescent="0.25">
      <c r="A2815" t="s">
        <v>2939</v>
      </c>
      <c r="B2815" s="5">
        <v>38534</v>
      </c>
      <c r="C2815" s="5" t="s">
        <v>4766</v>
      </c>
      <c r="D2815" t="s">
        <v>4766</v>
      </c>
      <c r="G2815" t="s">
        <v>6159</v>
      </c>
    </row>
    <row r="2816" spans="1:7" x14ac:dyDescent="0.25">
      <c r="A2816" t="s">
        <v>2940</v>
      </c>
      <c r="B2816" s="5">
        <v>38534</v>
      </c>
      <c r="C2816" s="5" t="s">
        <v>4767</v>
      </c>
      <c r="D2816" t="s">
        <v>4767</v>
      </c>
      <c r="G2816" t="s">
        <v>6159</v>
      </c>
    </row>
    <row r="2817" spans="1:7" x14ac:dyDescent="0.25">
      <c r="A2817" t="s">
        <v>172</v>
      </c>
      <c r="B2817" s="5">
        <v>38534</v>
      </c>
      <c r="C2817" s="5" t="s">
        <v>4768</v>
      </c>
      <c r="D2817" t="s">
        <v>4768</v>
      </c>
      <c r="G2817" t="s">
        <v>6159</v>
      </c>
    </row>
    <row r="2818" spans="1:7" x14ac:dyDescent="0.25">
      <c r="A2818" t="s">
        <v>2941</v>
      </c>
      <c r="B2818" s="5">
        <v>38534</v>
      </c>
      <c r="C2818" s="5" t="s">
        <v>4769</v>
      </c>
      <c r="D2818" t="s">
        <v>4769</v>
      </c>
      <c r="G2818" t="s">
        <v>6159</v>
      </c>
    </row>
    <row r="2819" spans="1:7" x14ac:dyDescent="0.25">
      <c r="A2819" t="s">
        <v>2942</v>
      </c>
      <c r="B2819" s="5">
        <v>38534</v>
      </c>
      <c r="C2819" s="5" t="s">
        <v>4770</v>
      </c>
      <c r="D2819" t="s">
        <v>4770</v>
      </c>
      <c r="G2819" t="s">
        <v>6159</v>
      </c>
    </row>
    <row r="2820" spans="1:7" x14ac:dyDescent="0.25">
      <c r="A2820" t="s">
        <v>318</v>
      </c>
      <c r="B2820" s="5">
        <v>38534</v>
      </c>
      <c r="C2820" s="5" t="s">
        <v>4771</v>
      </c>
      <c r="D2820" t="s">
        <v>4771</v>
      </c>
      <c r="G2820" t="s">
        <v>6159</v>
      </c>
    </row>
    <row r="2821" spans="1:7" x14ac:dyDescent="0.25">
      <c r="A2821" t="s">
        <v>2943</v>
      </c>
      <c r="B2821" s="5">
        <v>38534</v>
      </c>
      <c r="C2821" s="5" t="s">
        <v>4772</v>
      </c>
      <c r="D2821" t="s">
        <v>4772</v>
      </c>
      <c r="G2821" t="s">
        <v>6159</v>
      </c>
    </row>
    <row r="2822" spans="1:7" x14ac:dyDescent="0.25">
      <c r="A2822" t="s">
        <v>2944</v>
      </c>
      <c r="B2822" s="5">
        <v>38534</v>
      </c>
      <c r="C2822" s="5" t="s">
        <v>4773</v>
      </c>
      <c r="D2822" t="s">
        <v>4773</v>
      </c>
      <c r="G2822" t="s">
        <v>6159</v>
      </c>
    </row>
    <row r="2823" spans="1:7" x14ac:dyDescent="0.25">
      <c r="A2823" t="s">
        <v>2945</v>
      </c>
      <c r="B2823" s="5">
        <v>38534</v>
      </c>
      <c r="C2823" s="5" t="s">
        <v>4774</v>
      </c>
      <c r="D2823" t="s">
        <v>4774</v>
      </c>
      <c r="G2823" t="s">
        <v>6159</v>
      </c>
    </row>
    <row r="2824" spans="1:7" x14ac:dyDescent="0.25">
      <c r="A2824" t="s">
        <v>2946</v>
      </c>
      <c r="B2824" s="5">
        <v>38534</v>
      </c>
      <c r="C2824" s="5" t="s">
        <v>4775</v>
      </c>
      <c r="D2824" t="s">
        <v>4775</v>
      </c>
      <c r="G2824" t="s">
        <v>6159</v>
      </c>
    </row>
    <row r="2825" spans="1:7" x14ac:dyDescent="0.25">
      <c r="A2825" t="s">
        <v>242</v>
      </c>
      <c r="B2825" s="5">
        <v>38534</v>
      </c>
      <c r="C2825" s="5" t="s">
        <v>4776</v>
      </c>
      <c r="D2825" t="s">
        <v>4776</v>
      </c>
      <c r="G2825" t="s">
        <v>6159</v>
      </c>
    </row>
    <row r="2826" spans="1:7" x14ac:dyDescent="0.25">
      <c r="A2826" t="s">
        <v>2947</v>
      </c>
      <c r="B2826" s="5">
        <v>38534</v>
      </c>
      <c r="C2826" s="5" t="s">
        <v>4777</v>
      </c>
      <c r="D2826" t="s">
        <v>4777</v>
      </c>
      <c r="G2826" t="s">
        <v>6159</v>
      </c>
    </row>
    <row r="2827" spans="1:7" x14ac:dyDescent="0.25">
      <c r="A2827" t="s">
        <v>2948</v>
      </c>
      <c r="B2827" s="5">
        <v>38534</v>
      </c>
      <c r="C2827" s="5" t="s">
        <v>4778</v>
      </c>
      <c r="D2827" t="s">
        <v>4778</v>
      </c>
      <c r="G2827" t="s">
        <v>6159</v>
      </c>
    </row>
    <row r="2828" spans="1:7" x14ac:dyDescent="0.25">
      <c r="A2828" t="s">
        <v>2949</v>
      </c>
      <c r="B2828" s="5">
        <v>38534</v>
      </c>
      <c r="C2828" s="5" t="s">
        <v>4779</v>
      </c>
      <c r="D2828" t="s">
        <v>4779</v>
      </c>
      <c r="G2828" t="s">
        <v>6159</v>
      </c>
    </row>
    <row r="2829" spans="1:7" x14ac:dyDescent="0.25">
      <c r="A2829" t="s">
        <v>260</v>
      </c>
      <c r="B2829" s="5">
        <v>38534</v>
      </c>
      <c r="C2829" s="5" t="s">
        <v>4780</v>
      </c>
      <c r="D2829" t="s">
        <v>4780</v>
      </c>
      <c r="G2829" t="s">
        <v>6159</v>
      </c>
    </row>
    <row r="2830" spans="1:7" x14ac:dyDescent="0.25">
      <c r="A2830" t="s">
        <v>2940</v>
      </c>
      <c r="B2830" s="5">
        <v>38535</v>
      </c>
      <c r="C2830" s="5" t="s">
        <v>4781</v>
      </c>
      <c r="D2830" t="s">
        <v>4781</v>
      </c>
      <c r="G2830" t="s">
        <v>6159</v>
      </c>
    </row>
    <row r="2831" spans="1:7" x14ac:dyDescent="0.25">
      <c r="A2831" t="s">
        <v>131</v>
      </c>
      <c r="B2831" s="5">
        <v>38535</v>
      </c>
      <c r="C2831" s="5" t="s">
        <v>4782</v>
      </c>
      <c r="D2831" t="s">
        <v>4782</v>
      </c>
      <c r="G2831" t="s">
        <v>6159</v>
      </c>
    </row>
    <row r="2832" spans="1:7" x14ac:dyDescent="0.25">
      <c r="A2832" t="s">
        <v>2939</v>
      </c>
      <c r="B2832" s="5">
        <v>38535</v>
      </c>
      <c r="C2832" s="5" t="s">
        <v>4783</v>
      </c>
      <c r="D2832" t="s">
        <v>4783</v>
      </c>
      <c r="G2832" t="s">
        <v>6159</v>
      </c>
    </row>
    <row r="2833" spans="1:7" x14ac:dyDescent="0.25">
      <c r="A2833" t="s">
        <v>2937</v>
      </c>
      <c r="B2833" s="5">
        <v>38535</v>
      </c>
      <c r="C2833" s="5" t="s">
        <v>4784</v>
      </c>
      <c r="D2833" t="s">
        <v>4784</v>
      </c>
      <c r="G2833" t="s">
        <v>6159</v>
      </c>
    </row>
    <row r="2834" spans="1:7" x14ac:dyDescent="0.25">
      <c r="A2834" t="s">
        <v>2938</v>
      </c>
      <c r="B2834" s="5">
        <v>38535</v>
      </c>
      <c r="C2834" s="5" t="s">
        <v>4785</v>
      </c>
      <c r="D2834" t="s">
        <v>4785</v>
      </c>
      <c r="G2834" t="s">
        <v>6159</v>
      </c>
    </row>
    <row r="2835" spans="1:7" x14ac:dyDescent="0.25">
      <c r="A2835" t="s">
        <v>2943</v>
      </c>
      <c r="B2835" s="5">
        <v>38535</v>
      </c>
      <c r="C2835" s="5" t="s">
        <v>4786</v>
      </c>
      <c r="D2835" t="s">
        <v>4786</v>
      </c>
      <c r="G2835" t="s">
        <v>6159</v>
      </c>
    </row>
    <row r="2836" spans="1:7" x14ac:dyDescent="0.25">
      <c r="A2836" t="s">
        <v>2944</v>
      </c>
      <c r="B2836" s="5">
        <v>38535</v>
      </c>
      <c r="C2836" s="5" t="s">
        <v>4787</v>
      </c>
      <c r="D2836" t="s">
        <v>4787</v>
      </c>
      <c r="G2836" t="s">
        <v>6159</v>
      </c>
    </row>
    <row r="2837" spans="1:7" x14ac:dyDescent="0.25">
      <c r="A2837" t="s">
        <v>172</v>
      </c>
      <c r="B2837" s="5">
        <v>38535</v>
      </c>
      <c r="C2837" s="5" t="s">
        <v>4788</v>
      </c>
      <c r="D2837" t="s">
        <v>4788</v>
      </c>
      <c r="G2837" t="s">
        <v>6159</v>
      </c>
    </row>
    <row r="2838" spans="1:7" x14ac:dyDescent="0.25">
      <c r="A2838" t="s">
        <v>2941</v>
      </c>
      <c r="B2838" s="5">
        <v>38535</v>
      </c>
      <c r="C2838" s="5" t="s">
        <v>4789</v>
      </c>
      <c r="D2838" t="s">
        <v>4789</v>
      </c>
      <c r="G2838" t="s">
        <v>6159</v>
      </c>
    </row>
    <row r="2839" spans="1:7" x14ac:dyDescent="0.25">
      <c r="A2839" t="s">
        <v>2942</v>
      </c>
      <c r="B2839" s="5">
        <v>38535</v>
      </c>
      <c r="C2839" s="5" t="s">
        <v>4790</v>
      </c>
      <c r="D2839" t="s">
        <v>4790</v>
      </c>
      <c r="G2839" t="s">
        <v>6159</v>
      </c>
    </row>
    <row r="2840" spans="1:7" x14ac:dyDescent="0.25">
      <c r="A2840" t="s">
        <v>318</v>
      </c>
      <c r="B2840" s="5">
        <v>38535</v>
      </c>
      <c r="C2840" s="5" t="s">
        <v>4791</v>
      </c>
      <c r="D2840" t="s">
        <v>4791</v>
      </c>
      <c r="G2840" t="s">
        <v>6159</v>
      </c>
    </row>
    <row r="2841" spans="1:7" x14ac:dyDescent="0.25">
      <c r="A2841" t="s">
        <v>2947</v>
      </c>
      <c r="B2841" s="5">
        <v>38535</v>
      </c>
      <c r="C2841" s="5" t="s">
        <v>4792</v>
      </c>
      <c r="D2841" t="s">
        <v>4792</v>
      </c>
      <c r="G2841" t="s">
        <v>6159</v>
      </c>
    </row>
    <row r="2842" spans="1:7" x14ac:dyDescent="0.25">
      <c r="A2842" t="s">
        <v>2948</v>
      </c>
      <c r="B2842" s="5">
        <v>38535</v>
      </c>
      <c r="C2842" s="5" t="s">
        <v>4793</v>
      </c>
      <c r="D2842" t="s">
        <v>4793</v>
      </c>
      <c r="G2842" t="s">
        <v>6159</v>
      </c>
    </row>
    <row r="2843" spans="1:7" x14ac:dyDescent="0.25">
      <c r="A2843" t="s">
        <v>2949</v>
      </c>
      <c r="B2843" s="5">
        <v>38535</v>
      </c>
      <c r="C2843" s="5" t="s">
        <v>4794</v>
      </c>
      <c r="D2843" t="s">
        <v>4794</v>
      </c>
      <c r="G2843" t="s">
        <v>6159</v>
      </c>
    </row>
    <row r="2844" spans="1:7" x14ac:dyDescent="0.25">
      <c r="A2844" t="s">
        <v>260</v>
      </c>
      <c r="B2844" s="5">
        <v>38535</v>
      </c>
      <c r="C2844" s="5" t="s">
        <v>4795</v>
      </c>
      <c r="D2844" t="s">
        <v>4795</v>
      </c>
      <c r="G2844" t="s">
        <v>6159</v>
      </c>
    </row>
    <row r="2845" spans="1:7" x14ac:dyDescent="0.25">
      <c r="A2845" t="s">
        <v>242</v>
      </c>
      <c r="B2845" s="5">
        <v>38535</v>
      </c>
      <c r="C2845" s="5" t="s">
        <v>4796</v>
      </c>
      <c r="D2845" t="s">
        <v>4796</v>
      </c>
      <c r="G2845" t="s">
        <v>6159</v>
      </c>
    </row>
    <row r="2846" spans="1:7" x14ac:dyDescent="0.25">
      <c r="A2846" t="s">
        <v>2945</v>
      </c>
      <c r="B2846" s="5">
        <v>38535</v>
      </c>
      <c r="C2846" s="5" t="s">
        <v>4797</v>
      </c>
      <c r="D2846" t="s">
        <v>4797</v>
      </c>
      <c r="G2846" t="s">
        <v>6159</v>
      </c>
    </row>
    <row r="2847" spans="1:7" x14ac:dyDescent="0.25">
      <c r="A2847" t="s">
        <v>2946</v>
      </c>
      <c r="B2847" s="5">
        <v>38535</v>
      </c>
      <c r="C2847" s="5" t="s">
        <v>4798</v>
      </c>
      <c r="D2847" t="s">
        <v>4798</v>
      </c>
      <c r="G2847" t="s">
        <v>6159</v>
      </c>
    </row>
    <row r="2848" spans="1:7" x14ac:dyDescent="0.25">
      <c r="A2848" t="s">
        <v>2947</v>
      </c>
      <c r="B2848" s="5">
        <v>38536</v>
      </c>
      <c r="C2848" s="5" t="s">
        <v>4799</v>
      </c>
      <c r="D2848" t="s">
        <v>4799</v>
      </c>
      <c r="G2848" t="s">
        <v>6159</v>
      </c>
    </row>
    <row r="2849" spans="1:7" x14ac:dyDescent="0.25">
      <c r="A2849" t="s">
        <v>2948</v>
      </c>
      <c r="B2849" s="5">
        <v>38536</v>
      </c>
      <c r="C2849" s="5" t="s">
        <v>4800</v>
      </c>
      <c r="D2849" t="s">
        <v>4800</v>
      </c>
      <c r="G2849" t="s">
        <v>6159</v>
      </c>
    </row>
    <row r="2850" spans="1:7" x14ac:dyDescent="0.25">
      <c r="A2850" t="s">
        <v>2949</v>
      </c>
      <c r="B2850" s="5">
        <v>38536</v>
      </c>
      <c r="C2850" s="5" t="s">
        <v>4801</v>
      </c>
      <c r="D2850" t="s">
        <v>4801</v>
      </c>
      <c r="G2850" t="s">
        <v>6159</v>
      </c>
    </row>
    <row r="2851" spans="1:7" x14ac:dyDescent="0.25">
      <c r="A2851" t="s">
        <v>172</v>
      </c>
      <c r="B2851" s="5">
        <v>38536</v>
      </c>
      <c r="C2851" s="5" t="s">
        <v>4802</v>
      </c>
      <c r="D2851" t="s">
        <v>4802</v>
      </c>
      <c r="G2851" t="s">
        <v>6159</v>
      </c>
    </row>
    <row r="2852" spans="1:7" x14ac:dyDescent="0.25">
      <c r="A2852" t="s">
        <v>2941</v>
      </c>
      <c r="B2852" s="5">
        <v>38536</v>
      </c>
      <c r="C2852" s="5" t="s">
        <v>4803</v>
      </c>
      <c r="D2852" t="s">
        <v>4803</v>
      </c>
      <c r="G2852" t="s">
        <v>6159</v>
      </c>
    </row>
    <row r="2853" spans="1:7" x14ac:dyDescent="0.25">
      <c r="A2853" t="s">
        <v>2942</v>
      </c>
      <c r="B2853" s="5">
        <v>38536</v>
      </c>
      <c r="C2853" s="5" t="s">
        <v>4804</v>
      </c>
      <c r="D2853" t="s">
        <v>4804</v>
      </c>
      <c r="G2853" t="s">
        <v>6159</v>
      </c>
    </row>
    <row r="2854" spans="1:7" x14ac:dyDescent="0.25">
      <c r="A2854" t="s">
        <v>318</v>
      </c>
      <c r="B2854" s="5">
        <v>38536</v>
      </c>
      <c r="C2854" s="5" t="s">
        <v>4805</v>
      </c>
      <c r="D2854" t="s">
        <v>4805</v>
      </c>
      <c r="G2854" t="s">
        <v>6159</v>
      </c>
    </row>
    <row r="2855" spans="1:7" x14ac:dyDescent="0.25">
      <c r="A2855" t="s">
        <v>2943</v>
      </c>
      <c r="B2855" s="5">
        <v>38536</v>
      </c>
      <c r="C2855" s="5" t="s">
        <v>4806</v>
      </c>
      <c r="D2855" t="s">
        <v>4806</v>
      </c>
      <c r="G2855" t="s">
        <v>6159</v>
      </c>
    </row>
    <row r="2856" spans="1:7" x14ac:dyDescent="0.25">
      <c r="A2856" t="s">
        <v>2944</v>
      </c>
      <c r="B2856" s="5">
        <v>38536</v>
      </c>
      <c r="C2856" s="5" t="s">
        <v>4807</v>
      </c>
      <c r="D2856" t="s">
        <v>4807</v>
      </c>
      <c r="G2856" t="s">
        <v>6159</v>
      </c>
    </row>
    <row r="2857" spans="1:7" x14ac:dyDescent="0.25">
      <c r="A2857" t="s">
        <v>2937</v>
      </c>
      <c r="B2857" s="5">
        <v>38536</v>
      </c>
      <c r="C2857" s="5" t="s">
        <v>4808</v>
      </c>
      <c r="D2857" t="s">
        <v>4808</v>
      </c>
      <c r="G2857" t="s">
        <v>6159</v>
      </c>
    </row>
    <row r="2858" spans="1:7" x14ac:dyDescent="0.25">
      <c r="A2858" t="s">
        <v>2938</v>
      </c>
      <c r="B2858" s="5">
        <v>38536</v>
      </c>
      <c r="C2858" s="5" t="s">
        <v>4809</v>
      </c>
      <c r="D2858" t="s">
        <v>4809</v>
      </c>
      <c r="G2858" t="s">
        <v>6159</v>
      </c>
    </row>
    <row r="2859" spans="1:7" x14ac:dyDescent="0.25">
      <c r="A2859" t="s">
        <v>2939</v>
      </c>
      <c r="B2859" s="5">
        <v>38536</v>
      </c>
      <c r="C2859" s="5" t="s">
        <v>4810</v>
      </c>
      <c r="D2859" t="s">
        <v>4810</v>
      </c>
      <c r="G2859" t="s">
        <v>6159</v>
      </c>
    </row>
    <row r="2860" spans="1:7" x14ac:dyDescent="0.25">
      <c r="A2860" t="s">
        <v>2940</v>
      </c>
      <c r="B2860" s="5">
        <v>38536</v>
      </c>
      <c r="C2860" s="5" t="s">
        <v>4811</v>
      </c>
      <c r="D2860" t="s">
        <v>4811</v>
      </c>
      <c r="G2860" t="s">
        <v>6159</v>
      </c>
    </row>
    <row r="2861" spans="1:7" x14ac:dyDescent="0.25">
      <c r="A2861" t="s">
        <v>131</v>
      </c>
      <c r="B2861" s="5">
        <v>38536</v>
      </c>
      <c r="C2861" s="5" t="s">
        <v>4812</v>
      </c>
      <c r="D2861" t="s">
        <v>4812</v>
      </c>
      <c r="G2861" t="s">
        <v>6159</v>
      </c>
    </row>
    <row r="2862" spans="1:7" x14ac:dyDescent="0.25">
      <c r="A2862" t="s">
        <v>2944</v>
      </c>
      <c r="B2862" s="5">
        <v>38537</v>
      </c>
      <c r="C2862" s="5" t="s">
        <v>4813</v>
      </c>
      <c r="D2862" t="s">
        <v>4813</v>
      </c>
      <c r="G2862" t="s">
        <v>6159</v>
      </c>
    </row>
    <row r="2863" spans="1:7" x14ac:dyDescent="0.25">
      <c r="A2863" t="s">
        <v>2942</v>
      </c>
      <c r="B2863" s="5">
        <v>38537</v>
      </c>
      <c r="C2863" s="5" t="s">
        <v>4814</v>
      </c>
      <c r="D2863" t="s">
        <v>4814</v>
      </c>
      <c r="G2863" t="s">
        <v>6159</v>
      </c>
    </row>
    <row r="2864" spans="1:7" x14ac:dyDescent="0.25">
      <c r="A2864" t="s">
        <v>318</v>
      </c>
      <c r="B2864" s="5">
        <v>38537</v>
      </c>
      <c r="C2864" s="5" t="s">
        <v>4815</v>
      </c>
      <c r="D2864" t="s">
        <v>4815</v>
      </c>
      <c r="G2864" t="s">
        <v>6159</v>
      </c>
    </row>
    <row r="2865" spans="1:7" x14ac:dyDescent="0.25">
      <c r="A2865" t="s">
        <v>2943</v>
      </c>
      <c r="B2865" s="5">
        <v>38537</v>
      </c>
      <c r="C2865" s="5" t="s">
        <v>4816</v>
      </c>
      <c r="D2865" t="s">
        <v>4816</v>
      </c>
      <c r="G2865" t="s">
        <v>6159</v>
      </c>
    </row>
    <row r="2866" spans="1:7" x14ac:dyDescent="0.25">
      <c r="A2866" t="s">
        <v>2948</v>
      </c>
      <c r="B2866" s="5">
        <v>38537</v>
      </c>
      <c r="C2866" s="5" t="s">
        <v>4817</v>
      </c>
      <c r="D2866" t="s">
        <v>4817</v>
      </c>
      <c r="G2866" t="s">
        <v>6159</v>
      </c>
    </row>
    <row r="2867" spans="1:7" x14ac:dyDescent="0.25">
      <c r="A2867" t="s">
        <v>2949</v>
      </c>
      <c r="B2867" s="5">
        <v>38537</v>
      </c>
      <c r="C2867" s="5" t="s">
        <v>4818</v>
      </c>
      <c r="D2867" t="s">
        <v>4818</v>
      </c>
      <c r="G2867" t="s">
        <v>6159</v>
      </c>
    </row>
    <row r="2868" spans="1:7" x14ac:dyDescent="0.25">
      <c r="A2868" t="s">
        <v>172</v>
      </c>
      <c r="B2868" s="5">
        <v>38537</v>
      </c>
      <c r="C2868" s="5" t="s">
        <v>4819</v>
      </c>
      <c r="D2868" t="s">
        <v>4819</v>
      </c>
      <c r="G2868" t="s">
        <v>6159</v>
      </c>
    </row>
    <row r="2869" spans="1:7" x14ac:dyDescent="0.25">
      <c r="A2869" t="s">
        <v>2941</v>
      </c>
      <c r="B2869" s="5">
        <v>38537</v>
      </c>
      <c r="C2869" s="5" t="s">
        <v>4820</v>
      </c>
      <c r="D2869" t="s">
        <v>4820</v>
      </c>
      <c r="G2869" t="s">
        <v>6159</v>
      </c>
    </row>
    <row r="2870" spans="1:7" x14ac:dyDescent="0.25">
      <c r="A2870" t="s">
        <v>2947</v>
      </c>
      <c r="B2870" s="5">
        <v>38537</v>
      </c>
      <c r="C2870" s="5" t="s">
        <v>4821</v>
      </c>
      <c r="D2870" t="s">
        <v>4821</v>
      </c>
      <c r="G2870" t="s">
        <v>6159</v>
      </c>
    </row>
    <row r="2871" spans="1:7" x14ac:dyDescent="0.25">
      <c r="A2871" t="s">
        <v>2942</v>
      </c>
      <c r="B2871" s="5">
        <v>38538</v>
      </c>
      <c r="C2871" s="5" t="s">
        <v>4822</v>
      </c>
      <c r="D2871" t="s">
        <v>4822</v>
      </c>
      <c r="G2871" t="s">
        <v>6159</v>
      </c>
    </row>
    <row r="2872" spans="1:7" x14ac:dyDescent="0.25">
      <c r="A2872" t="s">
        <v>318</v>
      </c>
      <c r="B2872" s="5">
        <v>38538</v>
      </c>
      <c r="C2872" s="5" t="s">
        <v>4823</v>
      </c>
      <c r="D2872" t="s">
        <v>4823</v>
      </c>
      <c r="G2872" t="s">
        <v>6159</v>
      </c>
    </row>
    <row r="2873" spans="1:7" x14ac:dyDescent="0.25">
      <c r="A2873" t="s">
        <v>2943</v>
      </c>
      <c r="B2873" s="5">
        <v>38538</v>
      </c>
      <c r="C2873" s="5" t="s">
        <v>4824</v>
      </c>
      <c r="D2873" t="s">
        <v>4824</v>
      </c>
      <c r="G2873" t="s">
        <v>6159</v>
      </c>
    </row>
    <row r="2874" spans="1:7" x14ac:dyDescent="0.25">
      <c r="A2874" t="s">
        <v>2944</v>
      </c>
      <c r="B2874" s="5">
        <v>38538</v>
      </c>
      <c r="C2874" s="5" t="s">
        <v>4825</v>
      </c>
      <c r="D2874" t="s">
        <v>4825</v>
      </c>
      <c r="G2874" t="s">
        <v>6159</v>
      </c>
    </row>
    <row r="2875" spans="1:7" x14ac:dyDescent="0.25">
      <c r="A2875" t="s">
        <v>2947</v>
      </c>
      <c r="B2875" s="5">
        <v>38538</v>
      </c>
      <c r="C2875" s="5" t="s">
        <v>4826</v>
      </c>
      <c r="D2875" t="s">
        <v>4826</v>
      </c>
      <c r="G2875" t="s">
        <v>6159</v>
      </c>
    </row>
    <row r="2876" spans="1:7" x14ac:dyDescent="0.25">
      <c r="A2876" t="s">
        <v>2948</v>
      </c>
      <c r="B2876" s="5">
        <v>38538</v>
      </c>
      <c r="C2876" s="5" t="s">
        <v>4827</v>
      </c>
      <c r="D2876" t="s">
        <v>4827</v>
      </c>
      <c r="G2876" t="s">
        <v>6159</v>
      </c>
    </row>
    <row r="2877" spans="1:7" x14ac:dyDescent="0.25">
      <c r="A2877" t="s">
        <v>2949</v>
      </c>
      <c r="B2877" s="5">
        <v>38538</v>
      </c>
      <c r="C2877" s="5" t="s">
        <v>4828</v>
      </c>
      <c r="D2877" t="s">
        <v>4828</v>
      </c>
      <c r="G2877" t="s">
        <v>6159</v>
      </c>
    </row>
    <row r="2878" spans="1:7" x14ac:dyDescent="0.25">
      <c r="A2878" t="s">
        <v>172</v>
      </c>
      <c r="B2878" s="5">
        <v>38538</v>
      </c>
      <c r="C2878" s="5" t="s">
        <v>4829</v>
      </c>
      <c r="D2878" t="s">
        <v>4829</v>
      </c>
      <c r="G2878" t="s">
        <v>6159</v>
      </c>
    </row>
    <row r="2879" spans="1:7" x14ac:dyDescent="0.25">
      <c r="A2879" t="s">
        <v>2941</v>
      </c>
      <c r="B2879" s="5">
        <v>38538</v>
      </c>
      <c r="C2879" s="5" t="s">
        <v>4830</v>
      </c>
      <c r="D2879" t="s">
        <v>4830</v>
      </c>
      <c r="G2879" t="s">
        <v>6159</v>
      </c>
    </row>
    <row r="2880" spans="1:7" x14ac:dyDescent="0.25">
      <c r="A2880" t="s">
        <v>2821</v>
      </c>
      <c r="B2880" s="5">
        <v>38587</v>
      </c>
      <c r="C2880" s="5" t="s">
        <v>4831</v>
      </c>
      <c r="D2880" t="s">
        <v>4831</v>
      </c>
      <c r="G2880" t="s">
        <v>6159</v>
      </c>
    </row>
    <row r="2881" spans="1:7" x14ac:dyDescent="0.25">
      <c r="A2881" t="s">
        <v>2698</v>
      </c>
      <c r="B2881" s="5">
        <v>39983</v>
      </c>
      <c r="C2881" s="5" t="s">
        <v>4832</v>
      </c>
      <c r="D2881" t="s">
        <v>4832</v>
      </c>
      <c r="G2881" t="s">
        <v>6159</v>
      </c>
    </row>
    <row r="2882" spans="1:7" x14ac:dyDescent="0.25">
      <c r="A2882" t="s">
        <v>2941</v>
      </c>
      <c r="B2882" s="5">
        <v>39980</v>
      </c>
      <c r="C2882" s="5" t="s">
        <v>4833</v>
      </c>
      <c r="D2882" t="s">
        <v>4833</v>
      </c>
      <c r="G2882" t="s">
        <v>6159</v>
      </c>
    </row>
    <row r="2883" spans="1:7" x14ac:dyDescent="0.25">
      <c r="A2883" t="s">
        <v>2904</v>
      </c>
      <c r="B2883" s="5">
        <v>38761</v>
      </c>
      <c r="C2883" s="5" t="s">
        <v>4834</v>
      </c>
      <c r="D2883" t="s">
        <v>4834</v>
      </c>
      <c r="G2883" t="s">
        <v>6159</v>
      </c>
    </row>
    <row r="2884" spans="1:7" x14ac:dyDescent="0.25">
      <c r="A2884" t="s">
        <v>2950</v>
      </c>
      <c r="B2884" s="5">
        <v>40791</v>
      </c>
      <c r="C2884" s="5" t="s">
        <v>4835</v>
      </c>
      <c r="D2884" t="s">
        <v>4835</v>
      </c>
      <c r="G2884" t="s">
        <v>6159</v>
      </c>
    </row>
    <row r="2885" spans="1:7" x14ac:dyDescent="0.25">
      <c r="A2885" t="s">
        <v>2170</v>
      </c>
      <c r="B2885" s="5">
        <v>38818</v>
      </c>
      <c r="C2885" s="5" t="s">
        <v>4836</v>
      </c>
      <c r="D2885" t="s">
        <v>4836</v>
      </c>
      <c r="G2885" t="s">
        <v>6159</v>
      </c>
    </row>
    <row r="2886" spans="1:7" x14ac:dyDescent="0.25">
      <c r="A2886" t="s">
        <v>113</v>
      </c>
      <c r="B2886" s="5">
        <v>38818</v>
      </c>
      <c r="C2886" s="5" t="s">
        <v>4837</v>
      </c>
      <c r="D2886" t="s">
        <v>4837</v>
      </c>
      <c r="G2886" t="s">
        <v>6159</v>
      </c>
    </row>
    <row r="2887" spans="1:7" x14ac:dyDescent="0.25">
      <c r="A2887" t="s">
        <v>2951</v>
      </c>
      <c r="B2887" s="5">
        <v>38819</v>
      </c>
      <c r="C2887" s="5" t="s">
        <v>4838</v>
      </c>
      <c r="D2887" t="s">
        <v>4838</v>
      </c>
      <c r="G2887" t="s">
        <v>6159</v>
      </c>
    </row>
    <row r="2888" spans="1:7" x14ac:dyDescent="0.25">
      <c r="A2888" t="s">
        <v>2886</v>
      </c>
      <c r="B2888" s="5">
        <v>38819</v>
      </c>
      <c r="C2888" s="5" t="s">
        <v>4839</v>
      </c>
      <c r="D2888" t="s">
        <v>4839</v>
      </c>
      <c r="G2888" t="s">
        <v>6159</v>
      </c>
    </row>
    <row r="2889" spans="1:7" x14ac:dyDescent="0.25">
      <c r="A2889" t="s">
        <v>2745</v>
      </c>
      <c r="B2889" s="5">
        <v>38883</v>
      </c>
      <c r="C2889" s="5" t="s">
        <v>4840</v>
      </c>
      <c r="D2889" t="s">
        <v>4840</v>
      </c>
      <c r="G2889" t="s">
        <v>6159</v>
      </c>
    </row>
    <row r="2890" spans="1:7" x14ac:dyDescent="0.25">
      <c r="A2890" t="s">
        <v>2820</v>
      </c>
      <c r="B2890" s="5">
        <v>38883</v>
      </c>
      <c r="C2890" s="5" t="s">
        <v>4841</v>
      </c>
      <c r="D2890" t="s">
        <v>4841</v>
      </c>
      <c r="G2890" t="s">
        <v>6159</v>
      </c>
    </row>
    <row r="2891" spans="1:7" x14ac:dyDescent="0.25">
      <c r="A2891" t="s">
        <v>1530</v>
      </c>
      <c r="B2891" s="5">
        <v>38883</v>
      </c>
      <c r="C2891" s="5" t="s">
        <v>4842</v>
      </c>
      <c r="D2891" t="s">
        <v>4842</v>
      </c>
      <c r="G2891" t="s">
        <v>6159</v>
      </c>
    </row>
    <row r="2892" spans="1:7" x14ac:dyDescent="0.25">
      <c r="A2892" t="s">
        <v>328</v>
      </c>
      <c r="B2892" s="5">
        <v>38965</v>
      </c>
      <c r="C2892" s="5" t="s">
        <v>4843</v>
      </c>
      <c r="D2892" t="s">
        <v>4843</v>
      </c>
      <c r="G2892" t="s">
        <v>6159</v>
      </c>
    </row>
    <row r="2893" spans="1:7" x14ac:dyDescent="0.25">
      <c r="A2893" t="s">
        <v>326</v>
      </c>
      <c r="B2893" s="5">
        <v>38965</v>
      </c>
      <c r="C2893" s="5" t="s">
        <v>4844</v>
      </c>
      <c r="D2893" t="s">
        <v>4844</v>
      </c>
      <c r="G2893" t="s">
        <v>6159</v>
      </c>
    </row>
    <row r="2894" spans="1:7" x14ac:dyDescent="0.25">
      <c r="A2894" t="s">
        <v>2818</v>
      </c>
      <c r="B2894" s="5">
        <v>38966</v>
      </c>
      <c r="C2894" s="5" t="s">
        <v>4845</v>
      </c>
      <c r="D2894" t="s">
        <v>4845</v>
      </c>
      <c r="G2894" t="s">
        <v>6159</v>
      </c>
    </row>
    <row r="2895" spans="1:7" x14ac:dyDescent="0.25">
      <c r="A2895" t="s">
        <v>2115</v>
      </c>
      <c r="B2895" s="5">
        <v>38966</v>
      </c>
      <c r="C2895" s="5" t="s">
        <v>4846</v>
      </c>
      <c r="D2895" t="s">
        <v>4846</v>
      </c>
      <c r="G2895" t="s">
        <v>6159</v>
      </c>
    </row>
    <row r="2896" spans="1:7" x14ac:dyDescent="0.25">
      <c r="A2896" t="s">
        <v>320</v>
      </c>
      <c r="B2896" s="5">
        <v>38966</v>
      </c>
      <c r="C2896" s="5" t="s">
        <v>4847</v>
      </c>
      <c r="D2896" t="s">
        <v>4847</v>
      </c>
      <c r="G2896" t="s">
        <v>6159</v>
      </c>
    </row>
    <row r="2897" spans="1:7" x14ac:dyDescent="0.25">
      <c r="A2897" t="s">
        <v>2952</v>
      </c>
      <c r="B2897" s="5">
        <v>38967</v>
      </c>
      <c r="C2897" s="5" t="s">
        <v>4848</v>
      </c>
      <c r="D2897" t="s">
        <v>4848</v>
      </c>
      <c r="G2897" t="s">
        <v>6159</v>
      </c>
    </row>
    <row r="2898" spans="1:7" x14ac:dyDescent="0.25">
      <c r="A2898" t="s">
        <v>2698</v>
      </c>
      <c r="B2898" s="5">
        <v>39001</v>
      </c>
      <c r="C2898" s="5" t="s">
        <v>4849</v>
      </c>
      <c r="D2898" t="s">
        <v>4849</v>
      </c>
      <c r="G2898" t="s">
        <v>6159</v>
      </c>
    </row>
    <row r="2899" spans="1:7" x14ac:dyDescent="0.25">
      <c r="A2899" t="s">
        <v>197</v>
      </c>
      <c r="B2899" s="5">
        <v>39001</v>
      </c>
      <c r="C2899" s="5" t="s">
        <v>4850</v>
      </c>
      <c r="D2899" t="s">
        <v>4850</v>
      </c>
      <c r="G2899" t="s">
        <v>6159</v>
      </c>
    </row>
    <row r="2900" spans="1:7" x14ac:dyDescent="0.25">
      <c r="A2900" t="s">
        <v>2953</v>
      </c>
      <c r="B2900" s="5">
        <v>39001</v>
      </c>
      <c r="C2900" s="5" t="s">
        <v>4851</v>
      </c>
      <c r="D2900" t="s">
        <v>4851</v>
      </c>
      <c r="G2900" t="s">
        <v>6159</v>
      </c>
    </row>
    <row r="2901" spans="1:7" x14ac:dyDescent="0.25">
      <c r="A2901" t="s">
        <v>2954</v>
      </c>
      <c r="B2901" s="5">
        <v>39001</v>
      </c>
      <c r="C2901" s="5" t="s">
        <v>4852</v>
      </c>
      <c r="D2901" t="s">
        <v>4852</v>
      </c>
      <c r="G2901" t="s">
        <v>6159</v>
      </c>
    </row>
    <row r="2902" spans="1:7" x14ac:dyDescent="0.25">
      <c r="A2902" t="s">
        <v>53</v>
      </c>
      <c r="B2902" s="5">
        <v>39001</v>
      </c>
      <c r="C2902" s="5" t="s">
        <v>4853</v>
      </c>
      <c r="D2902" t="s">
        <v>4853</v>
      </c>
      <c r="G2902" t="s">
        <v>6159</v>
      </c>
    </row>
    <row r="2903" spans="1:7" x14ac:dyDescent="0.25">
      <c r="A2903" t="s">
        <v>2955</v>
      </c>
      <c r="B2903" s="5">
        <v>39001</v>
      </c>
      <c r="C2903" s="5" t="s">
        <v>4854</v>
      </c>
      <c r="D2903" t="s">
        <v>4854</v>
      </c>
      <c r="G2903" t="s">
        <v>6159</v>
      </c>
    </row>
    <row r="2904" spans="1:7" x14ac:dyDescent="0.25">
      <c r="A2904" t="s">
        <v>17</v>
      </c>
      <c r="B2904" s="5">
        <v>39001</v>
      </c>
      <c r="C2904" s="5" t="s">
        <v>4855</v>
      </c>
      <c r="D2904" t="s">
        <v>4855</v>
      </c>
      <c r="G2904" t="s">
        <v>6159</v>
      </c>
    </row>
    <row r="2905" spans="1:7" x14ac:dyDescent="0.25">
      <c r="A2905" t="s">
        <v>2203</v>
      </c>
      <c r="B2905" s="5">
        <v>39001</v>
      </c>
      <c r="C2905" s="5" t="s">
        <v>4856</v>
      </c>
      <c r="D2905" t="s">
        <v>4856</v>
      </c>
      <c r="G2905" t="s">
        <v>6159</v>
      </c>
    </row>
    <row r="2906" spans="1:7" x14ac:dyDescent="0.25">
      <c r="A2906" t="s">
        <v>2698</v>
      </c>
      <c r="B2906" s="5">
        <v>39014</v>
      </c>
      <c r="C2906" s="5" t="s">
        <v>4857</v>
      </c>
      <c r="D2906" t="s">
        <v>4857</v>
      </c>
      <c r="G2906" t="s">
        <v>6159</v>
      </c>
    </row>
    <row r="2907" spans="1:7" x14ac:dyDescent="0.25">
      <c r="A2907" t="s">
        <v>197</v>
      </c>
      <c r="B2907" s="5">
        <v>39014</v>
      </c>
      <c r="C2907" s="5" t="s">
        <v>4858</v>
      </c>
      <c r="D2907" t="s">
        <v>4858</v>
      </c>
      <c r="G2907" t="s">
        <v>6159</v>
      </c>
    </row>
    <row r="2908" spans="1:7" x14ac:dyDescent="0.25">
      <c r="A2908" t="s">
        <v>2953</v>
      </c>
      <c r="B2908" s="5">
        <v>39014</v>
      </c>
      <c r="C2908" s="5" t="s">
        <v>4859</v>
      </c>
      <c r="D2908" t="s">
        <v>4859</v>
      </c>
      <c r="G2908" t="s">
        <v>6159</v>
      </c>
    </row>
    <row r="2909" spans="1:7" x14ac:dyDescent="0.25">
      <c r="A2909" t="s">
        <v>2954</v>
      </c>
      <c r="B2909" s="5">
        <v>39014</v>
      </c>
      <c r="C2909" s="5" t="s">
        <v>4860</v>
      </c>
      <c r="D2909" t="s">
        <v>4860</v>
      </c>
      <c r="G2909" t="s">
        <v>6159</v>
      </c>
    </row>
    <row r="2910" spans="1:7" x14ac:dyDescent="0.25">
      <c r="A2910" t="s">
        <v>53</v>
      </c>
      <c r="B2910" s="5">
        <v>39014</v>
      </c>
      <c r="C2910" s="5" t="s">
        <v>4861</v>
      </c>
      <c r="D2910" t="s">
        <v>4861</v>
      </c>
      <c r="G2910" t="s">
        <v>6159</v>
      </c>
    </row>
    <row r="2911" spans="1:7" x14ac:dyDescent="0.25">
      <c r="A2911" t="s">
        <v>2955</v>
      </c>
      <c r="B2911" s="5">
        <v>39014</v>
      </c>
      <c r="C2911" s="5" t="s">
        <v>4862</v>
      </c>
      <c r="D2911" t="s">
        <v>4862</v>
      </c>
      <c r="G2911" t="s">
        <v>6159</v>
      </c>
    </row>
    <row r="2912" spans="1:7" x14ac:dyDescent="0.25">
      <c r="A2912" t="s">
        <v>17</v>
      </c>
      <c r="B2912" s="5">
        <v>39014</v>
      </c>
      <c r="C2912" s="5" t="s">
        <v>4863</v>
      </c>
      <c r="D2912" t="s">
        <v>4863</v>
      </c>
      <c r="G2912" t="s">
        <v>6159</v>
      </c>
    </row>
    <row r="2913" spans="1:7" x14ac:dyDescent="0.25">
      <c r="A2913" t="s">
        <v>2203</v>
      </c>
      <c r="B2913" s="5">
        <v>39014</v>
      </c>
      <c r="C2913" s="5" t="s">
        <v>4864</v>
      </c>
      <c r="D2913" t="s">
        <v>4864</v>
      </c>
      <c r="G2913" t="s">
        <v>6159</v>
      </c>
    </row>
    <row r="2914" spans="1:7" x14ac:dyDescent="0.25">
      <c r="A2914" t="s">
        <v>2930</v>
      </c>
      <c r="B2914" s="5">
        <v>39092</v>
      </c>
      <c r="C2914" s="5" t="s">
        <v>4865</v>
      </c>
      <c r="D2914" t="s">
        <v>4865</v>
      </c>
      <c r="G2914" t="s">
        <v>6159</v>
      </c>
    </row>
    <row r="2915" spans="1:7" x14ac:dyDescent="0.25">
      <c r="A2915" t="s">
        <v>2956</v>
      </c>
      <c r="B2915" s="5">
        <v>39121</v>
      </c>
      <c r="C2915" s="5" t="s">
        <v>4866</v>
      </c>
      <c r="D2915" t="s">
        <v>4866</v>
      </c>
      <c r="G2915" t="s">
        <v>6159</v>
      </c>
    </row>
    <row r="2916" spans="1:7" x14ac:dyDescent="0.25">
      <c r="A2916" t="s">
        <v>2957</v>
      </c>
      <c r="B2916" s="5">
        <v>39121</v>
      </c>
      <c r="C2916" s="5" t="s">
        <v>4867</v>
      </c>
      <c r="D2916" t="s">
        <v>4867</v>
      </c>
      <c r="G2916" t="s">
        <v>6159</v>
      </c>
    </row>
    <row r="2917" spans="1:7" x14ac:dyDescent="0.25">
      <c r="A2917" t="s">
        <v>192</v>
      </c>
      <c r="B2917" s="5">
        <v>39126</v>
      </c>
      <c r="C2917" s="5" t="s">
        <v>4868</v>
      </c>
      <c r="D2917" t="s">
        <v>4868</v>
      </c>
      <c r="G2917" t="s">
        <v>6159</v>
      </c>
    </row>
    <row r="2918" spans="1:7" x14ac:dyDescent="0.25">
      <c r="A2918" t="s">
        <v>2905</v>
      </c>
      <c r="B2918" s="5">
        <v>39126</v>
      </c>
      <c r="C2918" s="5" t="s">
        <v>4869</v>
      </c>
      <c r="D2918" t="s">
        <v>4869</v>
      </c>
      <c r="G2918" t="s">
        <v>6159</v>
      </c>
    </row>
    <row r="2919" spans="1:7" x14ac:dyDescent="0.25">
      <c r="A2919" t="s">
        <v>2861</v>
      </c>
      <c r="B2919" s="5">
        <v>39126</v>
      </c>
      <c r="C2919" s="5" t="s">
        <v>4870</v>
      </c>
      <c r="D2919" t="s">
        <v>4870</v>
      </c>
      <c r="G2919" t="s">
        <v>6159</v>
      </c>
    </row>
    <row r="2920" spans="1:7" x14ac:dyDescent="0.25">
      <c r="A2920" t="s">
        <v>2936</v>
      </c>
      <c r="B2920" s="5">
        <v>39712</v>
      </c>
      <c r="C2920" s="5" t="s">
        <v>4871</v>
      </c>
      <c r="D2920" t="s">
        <v>4871</v>
      </c>
      <c r="G2920" t="s">
        <v>6159</v>
      </c>
    </row>
    <row r="2921" spans="1:7" x14ac:dyDescent="0.25">
      <c r="A2921" t="s">
        <v>197</v>
      </c>
      <c r="B2921" s="5">
        <v>39694</v>
      </c>
      <c r="C2921" s="5" t="s">
        <v>4872</v>
      </c>
      <c r="D2921" t="s">
        <v>4872</v>
      </c>
      <c r="G2921" t="s">
        <v>6159</v>
      </c>
    </row>
    <row r="2922" spans="1:7" x14ac:dyDescent="0.25">
      <c r="A2922" t="s">
        <v>2698</v>
      </c>
      <c r="B2922" s="5">
        <v>39694</v>
      </c>
      <c r="C2922" s="5" t="s">
        <v>4873</v>
      </c>
      <c r="D2922" t="s">
        <v>4873</v>
      </c>
      <c r="G2922" t="s">
        <v>6159</v>
      </c>
    </row>
    <row r="2923" spans="1:7" x14ac:dyDescent="0.25">
      <c r="A2923" t="s">
        <v>2203</v>
      </c>
      <c r="B2923" s="5">
        <v>39672</v>
      </c>
      <c r="C2923" s="5" t="s">
        <v>4874</v>
      </c>
      <c r="D2923" t="s">
        <v>4874</v>
      </c>
      <c r="G2923" t="s">
        <v>6159</v>
      </c>
    </row>
    <row r="2924" spans="1:7" x14ac:dyDescent="0.25">
      <c r="A2924" t="s">
        <v>2698</v>
      </c>
      <c r="B2924" s="5">
        <v>39672</v>
      </c>
      <c r="C2924" s="5" t="s">
        <v>4875</v>
      </c>
      <c r="D2924" t="s">
        <v>4875</v>
      </c>
      <c r="G2924" t="s">
        <v>6159</v>
      </c>
    </row>
    <row r="2925" spans="1:7" x14ac:dyDescent="0.25">
      <c r="A2925" t="s">
        <v>2927</v>
      </c>
      <c r="B2925" s="5">
        <v>39672</v>
      </c>
      <c r="C2925" s="5" t="s">
        <v>4876</v>
      </c>
      <c r="D2925" t="s">
        <v>4876</v>
      </c>
      <c r="G2925" t="s">
        <v>6159</v>
      </c>
    </row>
    <row r="2926" spans="1:7" x14ac:dyDescent="0.25">
      <c r="A2926" t="s">
        <v>2904</v>
      </c>
      <c r="B2926" s="5">
        <v>39184</v>
      </c>
      <c r="C2926" s="5" t="s">
        <v>4877</v>
      </c>
      <c r="D2926" t="s">
        <v>4877</v>
      </c>
      <c r="G2926" t="s">
        <v>6159</v>
      </c>
    </row>
    <row r="2927" spans="1:7" x14ac:dyDescent="0.25">
      <c r="A2927" t="s">
        <v>2905</v>
      </c>
      <c r="B2927" s="5">
        <v>39184</v>
      </c>
      <c r="C2927" s="5" t="s">
        <v>4878</v>
      </c>
      <c r="D2927" t="s">
        <v>4878</v>
      </c>
      <c r="G2927" t="s">
        <v>6159</v>
      </c>
    </row>
    <row r="2928" spans="1:7" x14ac:dyDescent="0.25">
      <c r="A2928" t="s">
        <v>2861</v>
      </c>
      <c r="B2928" s="5">
        <v>39184</v>
      </c>
      <c r="C2928" s="5" t="s">
        <v>4879</v>
      </c>
      <c r="D2928" t="s">
        <v>4879</v>
      </c>
      <c r="G2928" t="s">
        <v>6159</v>
      </c>
    </row>
    <row r="2929" spans="1:7" x14ac:dyDescent="0.25">
      <c r="A2929" t="s">
        <v>192</v>
      </c>
      <c r="B2929" s="5">
        <v>39184</v>
      </c>
      <c r="C2929" s="5" t="s">
        <v>4880</v>
      </c>
      <c r="D2929" t="s">
        <v>4880</v>
      </c>
      <c r="G2929" t="s">
        <v>6159</v>
      </c>
    </row>
    <row r="2930" spans="1:7" x14ac:dyDescent="0.25">
      <c r="A2930" t="s">
        <v>17</v>
      </c>
      <c r="B2930" s="5">
        <v>39637</v>
      </c>
      <c r="C2930" s="5" t="s">
        <v>4881</v>
      </c>
      <c r="D2930" t="s">
        <v>4881</v>
      </c>
      <c r="G2930" t="s">
        <v>6159</v>
      </c>
    </row>
    <row r="2931" spans="1:7" x14ac:dyDescent="0.25">
      <c r="A2931" t="s">
        <v>2203</v>
      </c>
      <c r="B2931" s="5">
        <v>39636</v>
      </c>
      <c r="C2931" s="5" t="s">
        <v>4882</v>
      </c>
      <c r="D2931" t="s">
        <v>4882</v>
      </c>
      <c r="G2931" t="s">
        <v>6159</v>
      </c>
    </row>
    <row r="2932" spans="1:7" x14ac:dyDescent="0.25">
      <c r="A2932" t="s">
        <v>104</v>
      </c>
      <c r="B2932" s="5">
        <v>40283</v>
      </c>
      <c r="C2932" s="5" t="s">
        <v>4883</v>
      </c>
      <c r="D2932" t="s">
        <v>4883</v>
      </c>
      <c r="G2932" t="s">
        <v>6159</v>
      </c>
    </row>
    <row r="2933" spans="1:7" x14ac:dyDescent="0.25">
      <c r="A2933" t="s">
        <v>2203</v>
      </c>
      <c r="B2933" s="5">
        <v>39624</v>
      </c>
      <c r="C2933" s="5" t="s">
        <v>4884</v>
      </c>
      <c r="D2933" t="s">
        <v>4884</v>
      </c>
      <c r="G2933" t="s">
        <v>6159</v>
      </c>
    </row>
    <row r="2934" spans="1:7" x14ac:dyDescent="0.25">
      <c r="A2934" t="s">
        <v>17</v>
      </c>
      <c r="B2934" s="5">
        <v>39624</v>
      </c>
      <c r="C2934" s="5" t="s">
        <v>4885</v>
      </c>
      <c r="D2934" t="s">
        <v>4885</v>
      </c>
      <c r="G2934" t="s">
        <v>6159</v>
      </c>
    </row>
    <row r="2935" spans="1:7" x14ac:dyDescent="0.25">
      <c r="A2935" t="s">
        <v>51</v>
      </c>
      <c r="B2935" s="5">
        <v>39624</v>
      </c>
      <c r="C2935" s="5" t="s">
        <v>4886</v>
      </c>
      <c r="D2935" t="s">
        <v>4886</v>
      </c>
      <c r="G2935" t="s">
        <v>6159</v>
      </c>
    </row>
    <row r="2936" spans="1:7" x14ac:dyDescent="0.25">
      <c r="A2936" t="s">
        <v>2958</v>
      </c>
      <c r="B2936" s="5">
        <v>39624</v>
      </c>
      <c r="C2936" s="5" t="s">
        <v>4887</v>
      </c>
      <c r="D2936" t="s">
        <v>4887</v>
      </c>
      <c r="G2936" t="s">
        <v>6159</v>
      </c>
    </row>
    <row r="2937" spans="1:7" x14ac:dyDescent="0.25">
      <c r="A2937" t="s">
        <v>170</v>
      </c>
      <c r="B2937" s="5">
        <v>39624</v>
      </c>
      <c r="C2937" s="5" t="s">
        <v>4888</v>
      </c>
      <c r="D2937" t="s">
        <v>4888</v>
      </c>
      <c r="G2937" t="s">
        <v>6159</v>
      </c>
    </row>
    <row r="2938" spans="1:7" x14ac:dyDescent="0.25">
      <c r="A2938" t="s">
        <v>2954</v>
      </c>
      <c r="B2938" s="5">
        <v>39624</v>
      </c>
      <c r="C2938" s="5" t="s">
        <v>4889</v>
      </c>
      <c r="D2938" t="s">
        <v>4889</v>
      </c>
      <c r="G2938" t="s">
        <v>6159</v>
      </c>
    </row>
    <row r="2939" spans="1:7" x14ac:dyDescent="0.25">
      <c r="A2939" t="s">
        <v>2928</v>
      </c>
      <c r="B2939" s="5">
        <v>39623</v>
      </c>
      <c r="C2939" s="5" t="s">
        <v>4890</v>
      </c>
      <c r="D2939" t="s">
        <v>4890</v>
      </c>
      <c r="G2939" t="s">
        <v>6159</v>
      </c>
    </row>
    <row r="2940" spans="1:7" x14ac:dyDescent="0.25">
      <c r="A2940" t="s">
        <v>2445</v>
      </c>
      <c r="B2940" s="5">
        <v>39623</v>
      </c>
      <c r="C2940" s="5" t="s">
        <v>4891</v>
      </c>
      <c r="D2940" t="s">
        <v>4891</v>
      </c>
      <c r="G2940" t="s">
        <v>6159</v>
      </c>
    </row>
    <row r="2941" spans="1:7" x14ac:dyDescent="0.25">
      <c r="A2941" t="s">
        <v>2950</v>
      </c>
      <c r="B2941" s="5">
        <v>39623</v>
      </c>
      <c r="C2941" s="5" t="s">
        <v>4892</v>
      </c>
      <c r="D2941" t="s">
        <v>4892</v>
      </c>
      <c r="G2941" t="s">
        <v>6159</v>
      </c>
    </row>
    <row r="2942" spans="1:7" x14ac:dyDescent="0.25">
      <c r="A2942" t="s">
        <v>2953</v>
      </c>
      <c r="B2942" s="5">
        <v>39623</v>
      </c>
      <c r="C2942" s="5" t="s">
        <v>4893</v>
      </c>
      <c r="D2942" t="s">
        <v>4893</v>
      </c>
      <c r="G2942" t="s">
        <v>6159</v>
      </c>
    </row>
    <row r="2943" spans="1:7" x14ac:dyDescent="0.25">
      <c r="A2943" t="s">
        <v>2929</v>
      </c>
      <c r="B2943" s="5">
        <v>39623</v>
      </c>
      <c r="C2943" s="5" t="s">
        <v>4894</v>
      </c>
      <c r="D2943" t="s">
        <v>4894</v>
      </c>
      <c r="G2943" t="s">
        <v>6159</v>
      </c>
    </row>
    <row r="2944" spans="1:7" x14ac:dyDescent="0.25">
      <c r="A2944" t="s">
        <v>2927</v>
      </c>
      <c r="B2944" s="5">
        <v>39623</v>
      </c>
      <c r="C2944" s="5" t="s">
        <v>4895</v>
      </c>
      <c r="D2944" t="s">
        <v>4895</v>
      </c>
      <c r="G2944" t="s">
        <v>6159</v>
      </c>
    </row>
    <row r="2945" spans="1:7" x14ac:dyDescent="0.25">
      <c r="A2945" t="s">
        <v>2698</v>
      </c>
      <c r="B2945" s="5">
        <v>39623</v>
      </c>
      <c r="C2945" s="5" t="s">
        <v>4896</v>
      </c>
      <c r="D2945" t="s">
        <v>4896</v>
      </c>
      <c r="G2945" t="s">
        <v>6159</v>
      </c>
    </row>
    <row r="2946" spans="1:7" x14ac:dyDescent="0.25">
      <c r="A2946" t="s">
        <v>2814</v>
      </c>
      <c r="B2946" s="5">
        <v>40211</v>
      </c>
      <c r="C2946" s="5" t="s">
        <v>4897</v>
      </c>
      <c r="D2946" t="s">
        <v>4897</v>
      </c>
      <c r="G2946" t="s">
        <v>6159</v>
      </c>
    </row>
    <row r="2947" spans="1:7" x14ac:dyDescent="0.25">
      <c r="A2947" t="s">
        <v>197</v>
      </c>
      <c r="B2947" s="5">
        <v>39623</v>
      </c>
      <c r="C2947" s="5" t="s">
        <v>4898</v>
      </c>
      <c r="D2947" t="s">
        <v>4898</v>
      </c>
      <c r="G2947" t="s">
        <v>6159</v>
      </c>
    </row>
    <row r="2948" spans="1:7" x14ac:dyDescent="0.25">
      <c r="A2948" t="s">
        <v>1530</v>
      </c>
      <c r="B2948" s="5">
        <v>39611</v>
      </c>
      <c r="C2948" s="5" t="s">
        <v>4899</v>
      </c>
      <c r="D2948" t="s">
        <v>4899</v>
      </c>
      <c r="G2948" t="s">
        <v>6159</v>
      </c>
    </row>
    <row r="2949" spans="1:7" x14ac:dyDescent="0.25">
      <c r="A2949" t="s">
        <v>52</v>
      </c>
      <c r="B2949" s="5">
        <v>39611</v>
      </c>
      <c r="C2949" s="5" t="s">
        <v>4900</v>
      </c>
      <c r="D2949" t="s">
        <v>4900</v>
      </c>
      <c r="G2949" t="s">
        <v>6159</v>
      </c>
    </row>
    <row r="2950" spans="1:7" x14ac:dyDescent="0.25">
      <c r="A2950" t="s">
        <v>17</v>
      </c>
      <c r="B2950" s="5">
        <v>40087</v>
      </c>
      <c r="C2950" s="5" t="s">
        <v>4901</v>
      </c>
      <c r="D2950" t="s">
        <v>4901</v>
      </c>
      <c r="G2950" t="s">
        <v>6159</v>
      </c>
    </row>
    <row r="2951" spans="1:7" x14ac:dyDescent="0.25">
      <c r="A2951" t="s">
        <v>197</v>
      </c>
      <c r="B2951" s="5">
        <v>40086</v>
      </c>
      <c r="C2951" s="5" t="s">
        <v>4902</v>
      </c>
      <c r="D2951" t="s">
        <v>4902</v>
      </c>
      <c r="G2951" t="s">
        <v>6159</v>
      </c>
    </row>
    <row r="2952" spans="1:7" x14ac:dyDescent="0.25">
      <c r="A2952" t="s">
        <v>2959</v>
      </c>
      <c r="B2952" s="5">
        <v>39603</v>
      </c>
      <c r="C2952" s="5" t="s">
        <v>4903</v>
      </c>
      <c r="D2952" t="s">
        <v>4903</v>
      </c>
      <c r="G2952" t="s">
        <v>6159</v>
      </c>
    </row>
    <row r="2953" spans="1:7" x14ac:dyDescent="0.25">
      <c r="A2953" t="s">
        <v>2203</v>
      </c>
      <c r="B2953" s="5">
        <v>39596</v>
      </c>
      <c r="C2953" s="5" t="s">
        <v>4904</v>
      </c>
      <c r="D2953" t="s">
        <v>4904</v>
      </c>
      <c r="G2953" t="s">
        <v>6159</v>
      </c>
    </row>
    <row r="2954" spans="1:7" x14ac:dyDescent="0.25">
      <c r="A2954" t="s">
        <v>17</v>
      </c>
      <c r="B2954" s="5">
        <v>39596</v>
      </c>
      <c r="C2954" s="5" t="s">
        <v>4905</v>
      </c>
      <c r="D2954" t="s">
        <v>4905</v>
      </c>
      <c r="G2954" t="s">
        <v>6159</v>
      </c>
    </row>
    <row r="2955" spans="1:7" x14ac:dyDescent="0.25">
      <c r="A2955" t="s">
        <v>51</v>
      </c>
      <c r="B2955" s="5">
        <v>39596</v>
      </c>
      <c r="C2955" s="5" t="s">
        <v>4906</v>
      </c>
      <c r="D2955" t="s">
        <v>4906</v>
      </c>
      <c r="G2955" t="s">
        <v>6159</v>
      </c>
    </row>
    <row r="2956" spans="1:7" x14ac:dyDescent="0.25">
      <c r="A2956" t="s">
        <v>2958</v>
      </c>
      <c r="B2956" s="5">
        <v>39596</v>
      </c>
      <c r="C2956" s="5" t="s">
        <v>4907</v>
      </c>
      <c r="D2956" t="s">
        <v>4907</v>
      </c>
      <c r="G2956" t="s">
        <v>6159</v>
      </c>
    </row>
    <row r="2957" spans="1:7" x14ac:dyDescent="0.25">
      <c r="A2957" t="s">
        <v>170</v>
      </c>
      <c r="B2957" s="5">
        <v>39596</v>
      </c>
      <c r="C2957" s="5" t="s">
        <v>4908</v>
      </c>
      <c r="D2957" t="s">
        <v>4908</v>
      </c>
      <c r="G2957" t="s">
        <v>6159</v>
      </c>
    </row>
    <row r="2958" spans="1:7" x14ac:dyDescent="0.25">
      <c r="A2958" t="s">
        <v>2954</v>
      </c>
      <c r="B2958" s="5">
        <v>39596</v>
      </c>
      <c r="C2958" s="5" t="s">
        <v>4909</v>
      </c>
      <c r="D2958" t="s">
        <v>4909</v>
      </c>
      <c r="G2958" t="s">
        <v>6159</v>
      </c>
    </row>
    <row r="2959" spans="1:7" x14ac:dyDescent="0.25">
      <c r="A2959" t="s">
        <v>2928</v>
      </c>
      <c r="B2959" s="5">
        <v>39596</v>
      </c>
      <c r="C2959" s="5" t="s">
        <v>4910</v>
      </c>
      <c r="D2959" t="s">
        <v>4910</v>
      </c>
      <c r="G2959" t="s">
        <v>6159</v>
      </c>
    </row>
    <row r="2960" spans="1:7" x14ac:dyDescent="0.25">
      <c r="A2960" t="s">
        <v>2445</v>
      </c>
      <c r="B2960" s="5">
        <v>39595</v>
      </c>
      <c r="C2960" s="5" t="s">
        <v>4911</v>
      </c>
      <c r="D2960" t="s">
        <v>4911</v>
      </c>
      <c r="G2960" t="s">
        <v>6159</v>
      </c>
    </row>
    <row r="2961" spans="1:7" x14ac:dyDescent="0.25">
      <c r="A2961" t="s">
        <v>2950</v>
      </c>
      <c r="B2961" s="5">
        <v>39595</v>
      </c>
      <c r="C2961" s="5" t="s">
        <v>4912</v>
      </c>
      <c r="D2961" t="s">
        <v>4912</v>
      </c>
      <c r="G2961" t="s">
        <v>6159</v>
      </c>
    </row>
    <row r="2962" spans="1:7" x14ac:dyDescent="0.25">
      <c r="A2962" t="s">
        <v>2953</v>
      </c>
      <c r="B2962" s="5">
        <v>39595</v>
      </c>
      <c r="C2962" s="5" t="s">
        <v>4913</v>
      </c>
      <c r="D2962" t="s">
        <v>4913</v>
      </c>
      <c r="G2962" t="s">
        <v>6159</v>
      </c>
    </row>
    <row r="2963" spans="1:7" x14ac:dyDescent="0.25">
      <c r="A2963" t="s">
        <v>2927</v>
      </c>
      <c r="B2963" s="5">
        <v>39595</v>
      </c>
      <c r="C2963" s="5" t="s">
        <v>4914</v>
      </c>
      <c r="D2963" t="s">
        <v>4914</v>
      </c>
      <c r="G2963" t="s">
        <v>6159</v>
      </c>
    </row>
    <row r="2964" spans="1:7" x14ac:dyDescent="0.25">
      <c r="A2964" t="s">
        <v>2929</v>
      </c>
      <c r="B2964" s="5">
        <v>39595</v>
      </c>
      <c r="C2964" s="5" t="s">
        <v>4915</v>
      </c>
      <c r="D2964" t="s">
        <v>4915</v>
      </c>
      <c r="G2964" t="s">
        <v>6159</v>
      </c>
    </row>
    <row r="2965" spans="1:7" x14ac:dyDescent="0.25">
      <c r="A2965" t="s">
        <v>2698</v>
      </c>
      <c r="B2965" s="5">
        <v>39595</v>
      </c>
      <c r="C2965" s="5" t="s">
        <v>4916</v>
      </c>
      <c r="D2965" t="s">
        <v>4916</v>
      </c>
      <c r="G2965" t="s">
        <v>6159</v>
      </c>
    </row>
    <row r="2966" spans="1:7" x14ac:dyDescent="0.25">
      <c r="A2966" t="s">
        <v>197</v>
      </c>
      <c r="B2966" s="5">
        <v>39595</v>
      </c>
      <c r="C2966" s="5" t="s">
        <v>4917</v>
      </c>
      <c r="D2966" t="s">
        <v>4917</v>
      </c>
      <c r="G2966" t="s">
        <v>6159</v>
      </c>
    </row>
    <row r="2967" spans="1:7" x14ac:dyDescent="0.25">
      <c r="A2967" t="s">
        <v>104</v>
      </c>
      <c r="B2967" s="5">
        <v>39589</v>
      </c>
      <c r="C2967" s="5" t="s">
        <v>4918</v>
      </c>
      <c r="D2967" t="s">
        <v>4918</v>
      </c>
      <c r="G2967" t="s">
        <v>6159</v>
      </c>
    </row>
    <row r="2968" spans="1:7" x14ac:dyDescent="0.25">
      <c r="A2968" t="s">
        <v>68</v>
      </c>
      <c r="B2968" s="5">
        <v>39589</v>
      </c>
      <c r="C2968" s="5" t="s">
        <v>4919</v>
      </c>
      <c r="D2968" t="s">
        <v>4919</v>
      </c>
      <c r="G2968" t="s">
        <v>6159</v>
      </c>
    </row>
    <row r="2969" spans="1:7" x14ac:dyDescent="0.25">
      <c r="A2969" t="s">
        <v>2817</v>
      </c>
      <c r="B2969" s="5">
        <v>39589</v>
      </c>
      <c r="C2969" s="5" t="s">
        <v>4920</v>
      </c>
      <c r="D2969" t="s">
        <v>4920</v>
      </c>
      <c r="G2969" t="s">
        <v>6159</v>
      </c>
    </row>
    <row r="2970" spans="1:7" x14ac:dyDescent="0.25">
      <c r="A2970" t="s">
        <v>2960</v>
      </c>
      <c r="B2970" s="5">
        <v>39588</v>
      </c>
      <c r="C2970" s="5" t="s">
        <v>4921</v>
      </c>
      <c r="D2970" t="s">
        <v>4921</v>
      </c>
      <c r="G2970" t="s">
        <v>6159</v>
      </c>
    </row>
    <row r="2971" spans="1:7" x14ac:dyDescent="0.25">
      <c r="A2971" t="s">
        <v>2886</v>
      </c>
      <c r="B2971" s="5">
        <v>39588</v>
      </c>
      <c r="C2971" s="5" t="s">
        <v>4922</v>
      </c>
      <c r="D2971" t="s">
        <v>4922</v>
      </c>
      <c r="G2971" t="s">
        <v>6159</v>
      </c>
    </row>
    <row r="2972" spans="1:7" x14ac:dyDescent="0.25">
      <c r="A2972" t="s">
        <v>2901</v>
      </c>
      <c r="B2972" s="5">
        <v>39588</v>
      </c>
      <c r="C2972" s="5" t="s">
        <v>4923</v>
      </c>
      <c r="D2972" t="s">
        <v>4923</v>
      </c>
      <c r="G2972" t="s">
        <v>6159</v>
      </c>
    </row>
    <row r="2973" spans="1:7" x14ac:dyDescent="0.25">
      <c r="A2973" t="s">
        <v>2961</v>
      </c>
      <c r="B2973" s="5">
        <v>39588</v>
      </c>
      <c r="C2973" s="5" t="s">
        <v>4924</v>
      </c>
      <c r="D2973" t="s">
        <v>4924</v>
      </c>
      <c r="G2973" t="s">
        <v>6159</v>
      </c>
    </row>
    <row r="2974" spans="1:7" x14ac:dyDescent="0.25">
      <c r="A2974" t="s">
        <v>128</v>
      </c>
      <c r="B2974" s="5">
        <v>39588</v>
      </c>
      <c r="C2974" s="5" t="s">
        <v>4925</v>
      </c>
      <c r="D2974" t="s">
        <v>4925</v>
      </c>
      <c r="G2974" t="s">
        <v>6159</v>
      </c>
    </row>
    <row r="2975" spans="1:7" x14ac:dyDescent="0.25">
      <c r="A2975" t="s">
        <v>2203</v>
      </c>
      <c r="B2975" s="5">
        <v>39570</v>
      </c>
      <c r="C2975" s="5" t="s">
        <v>4926</v>
      </c>
      <c r="D2975" t="s">
        <v>4926</v>
      </c>
      <c r="G2975" t="s">
        <v>6159</v>
      </c>
    </row>
    <row r="2976" spans="1:7" x14ac:dyDescent="0.25">
      <c r="A2976" t="s">
        <v>17</v>
      </c>
      <c r="B2976" s="5">
        <v>39570</v>
      </c>
      <c r="C2976" s="5" t="s">
        <v>4927</v>
      </c>
      <c r="D2976" t="s">
        <v>4927</v>
      </c>
      <c r="G2976" t="s">
        <v>6159</v>
      </c>
    </row>
    <row r="2977" spans="1:7" x14ac:dyDescent="0.25">
      <c r="A2977" t="s">
        <v>51</v>
      </c>
      <c r="B2977" s="5">
        <v>39570</v>
      </c>
      <c r="C2977" s="5" t="s">
        <v>4928</v>
      </c>
      <c r="D2977" t="s">
        <v>4928</v>
      </c>
      <c r="G2977" t="s">
        <v>6159</v>
      </c>
    </row>
    <row r="2978" spans="1:7" x14ac:dyDescent="0.25">
      <c r="A2978" t="s">
        <v>2958</v>
      </c>
      <c r="B2978" s="5">
        <v>39570</v>
      </c>
      <c r="C2978" s="5" t="s">
        <v>4929</v>
      </c>
      <c r="D2978" t="s">
        <v>4929</v>
      </c>
      <c r="G2978" t="s">
        <v>6159</v>
      </c>
    </row>
    <row r="2979" spans="1:7" x14ac:dyDescent="0.25">
      <c r="A2979" t="s">
        <v>170</v>
      </c>
      <c r="B2979" s="5">
        <v>39570</v>
      </c>
      <c r="C2979" s="5" t="s">
        <v>4930</v>
      </c>
      <c r="D2979" t="s">
        <v>4930</v>
      </c>
      <c r="G2979" t="s">
        <v>6159</v>
      </c>
    </row>
    <row r="2980" spans="1:7" x14ac:dyDescent="0.25">
      <c r="A2980" t="s">
        <v>2954</v>
      </c>
      <c r="B2980" s="5">
        <v>39570</v>
      </c>
      <c r="C2980" s="5" t="s">
        <v>4931</v>
      </c>
      <c r="D2980" t="s">
        <v>4931</v>
      </c>
      <c r="G2980" t="s">
        <v>6159</v>
      </c>
    </row>
    <row r="2981" spans="1:7" x14ac:dyDescent="0.25">
      <c r="A2981" t="s">
        <v>2928</v>
      </c>
      <c r="B2981" s="5">
        <v>39569</v>
      </c>
      <c r="C2981" s="5" t="s">
        <v>4932</v>
      </c>
      <c r="D2981" t="s">
        <v>4932</v>
      </c>
      <c r="G2981" t="s">
        <v>6159</v>
      </c>
    </row>
    <row r="2982" spans="1:7" x14ac:dyDescent="0.25">
      <c r="A2982" t="s">
        <v>2445</v>
      </c>
      <c r="B2982" s="5">
        <v>39569</v>
      </c>
      <c r="C2982" s="5" t="s">
        <v>4933</v>
      </c>
      <c r="D2982" t="s">
        <v>4933</v>
      </c>
      <c r="G2982" t="s">
        <v>6159</v>
      </c>
    </row>
    <row r="2983" spans="1:7" x14ac:dyDescent="0.25">
      <c r="A2983" t="s">
        <v>2950</v>
      </c>
      <c r="B2983" s="5">
        <v>39569</v>
      </c>
      <c r="C2983" s="5" t="s">
        <v>4934</v>
      </c>
      <c r="D2983" t="s">
        <v>4934</v>
      </c>
      <c r="G2983" t="s">
        <v>6159</v>
      </c>
    </row>
    <row r="2984" spans="1:7" x14ac:dyDescent="0.25">
      <c r="A2984" t="s">
        <v>2953</v>
      </c>
      <c r="B2984" s="5">
        <v>39569</v>
      </c>
      <c r="C2984" s="5" t="s">
        <v>4935</v>
      </c>
      <c r="D2984" t="s">
        <v>4935</v>
      </c>
      <c r="G2984" t="s">
        <v>6159</v>
      </c>
    </row>
    <row r="2985" spans="1:7" x14ac:dyDescent="0.25">
      <c r="A2985" t="s">
        <v>2929</v>
      </c>
      <c r="B2985" s="5">
        <v>39569</v>
      </c>
      <c r="C2985" s="5" t="s">
        <v>4936</v>
      </c>
      <c r="D2985" t="s">
        <v>4936</v>
      </c>
      <c r="G2985" t="s">
        <v>6159</v>
      </c>
    </row>
    <row r="2986" spans="1:7" x14ac:dyDescent="0.25">
      <c r="A2986" t="s">
        <v>2927</v>
      </c>
      <c r="B2986" s="5">
        <v>39569</v>
      </c>
      <c r="C2986" s="5" t="s">
        <v>4937</v>
      </c>
      <c r="D2986" t="s">
        <v>4937</v>
      </c>
      <c r="G2986" t="s">
        <v>6159</v>
      </c>
    </row>
    <row r="2987" spans="1:7" x14ac:dyDescent="0.25">
      <c r="A2987" t="s">
        <v>2698</v>
      </c>
      <c r="B2987" s="5">
        <v>39569</v>
      </c>
      <c r="C2987" s="5" t="s">
        <v>4938</v>
      </c>
      <c r="D2987" t="s">
        <v>4938</v>
      </c>
      <c r="G2987" t="s">
        <v>6159</v>
      </c>
    </row>
    <row r="2988" spans="1:7" x14ac:dyDescent="0.25">
      <c r="A2988" t="s">
        <v>197</v>
      </c>
      <c r="B2988" s="5">
        <v>39569</v>
      </c>
      <c r="C2988" s="5" t="s">
        <v>4939</v>
      </c>
      <c r="D2988" t="s">
        <v>4939</v>
      </c>
      <c r="G2988" t="s">
        <v>6159</v>
      </c>
    </row>
    <row r="2989" spans="1:7" x14ac:dyDescent="0.25">
      <c r="A2989" t="s">
        <v>2962</v>
      </c>
      <c r="B2989" s="5">
        <v>39562</v>
      </c>
      <c r="C2989" s="5" t="s">
        <v>4940</v>
      </c>
      <c r="D2989" t="s">
        <v>4940</v>
      </c>
      <c r="G2989" t="s">
        <v>6159</v>
      </c>
    </row>
    <row r="2990" spans="1:7" x14ac:dyDescent="0.25">
      <c r="A2990" t="s">
        <v>172</v>
      </c>
      <c r="B2990" s="5">
        <v>39562</v>
      </c>
      <c r="C2990" s="5" t="s">
        <v>4941</v>
      </c>
      <c r="D2990" t="s">
        <v>4941</v>
      </c>
      <c r="G2990" t="s">
        <v>6159</v>
      </c>
    </row>
    <row r="2991" spans="1:7" x14ac:dyDescent="0.25">
      <c r="A2991" t="s">
        <v>2963</v>
      </c>
      <c r="B2991" s="5">
        <v>39562</v>
      </c>
      <c r="C2991" s="5" t="s">
        <v>4942</v>
      </c>
      <c r="D2991" t="s">
        <v>4942</v>
      </c>
      <c r="G2991" t="s">
        <v>6159</v>
      </c>
    </row>
    <row r="2992" spans="1:7" x14ac:dyDescent="0.25">
      <c r="A2992" t="s">
        <v>2948</v>
      </c>
      <c r="B2992" s="5">
        <v>39562</v>
      </c>
      <c r="C2992" s="5" t="s">
        <v>4943</v>
      </c>
      <c r="D2992" t="s">
        <v>4943</v>
      </c>
      <c r="G2992" t="s">
        <v>6159</v>
      </c>
    </row>
    <row r="2993" spans="1:7" x14ac:dyDescent="0.25">
      <c r="A2993" t="s">
        <v>2940</v>
      </c>
      <c r="B2993" s="5">
        <v>39562</v>
      </c>
      <c r="C2993" s="5" t="s">
        <v>4944</v>
      </c>
      <c r="D2993" t="s">
        <v>4944</v>
      </c>
      <c r="G2993" t="s">
        <v>6159</v>
      </c>
    </row>
    <row r="2994" spans="1:7" x14ac:dyDescent="0.25">
      <c r="A2994" t="s">
        <v>2936</v>
      </c>
      <c r="B2994" s="5">
        <v>39553</v>
      </c>
      <c r="C2994" s="5" t="s">
        <v>4945</v>
      </c>
      <c r="D2994" t="s">
        <v>4945</v>
      </c>
      <c r="G2994" t="s">
        <v>6159</v>
      </c>
    </row>
    <row r="2995" spans="1:7" x14ac:dyDescent="0.25">
      <c r="A2995" t="s">
        <v>2813</v>
      </c>
      <c r="B2995" s="5">
        <v>39553</v>
      </c>
      <c r="C2995" s="5" t="s">
        <v>4946</v>
      </c>
      <c r="D2995" t="s">
        <v>4946</v>
      </c>
      <c r="G2995" t="s">
        <v>6159</v>
      </c>
    </row>
    <row r="2996" spans="1:7" x14ac:dyDescent="0.25">
      <c r="A2996" t="s">
        <v>2932</v>
      </c>
      <c r="B2996" s="5">
        <v>39553</v>
      </c>
      <c r="C2996" s="5" t="s">
        <v>4947</v>
      </c>
      <c r="D2996" t="s">
        <v>4947</v>
      </c>
      <c r="G2996" t="s">
        <v>6159</v>
      </c>
    </row>
    <row r="2997" spans="1:7" x14ac:dyDescent="0.25">
      <c r="A2997" t="s">
        <v>2934</v>
      </c>
      <c r="B2997" s="5">
        <v>39553</v>
      </c>
      <c r="C2997" s="5" t="s">
        <v>4948</v>
      </c>
      <c r="D2997" t="s">
        <v>4948</v>
      </c>
      <c r="G2997" t="s">
        <v>6159</v>
      </c>
    </row>
    <row r="2998" spans="1:7" x14ac:dyDescent="0.25">
      <c r="A2998" t="s">
        <v>2933</v>
      </c>
      <c r="B2998" s="5">
        <v>39553</v>
      </c>
      <c r="C2998" s="5" t="s">
        <v>4949</v>
      </c>
      <c r="D2998" t="s">
        <v>4949</v>
      </c>
      <c r="G2998" t="s">
        <v>6159</v>
      </c>
    </row>
    <row r="2999" spans="1:7" x14ac:dyDescent="0.25">
      <c r="A2999" t="s">
        <v>104</v>
      </c>
      <c r="B2999" s="5">
        <v>39535</v>
      </c>
      <c r="C2999" s="5" t="s">
        <v>4950</v>
      </c>
      <c r="D2999" t="s">
        <v>4950</v>
      </c>
      <c r="G2999" t="s">
        <v>6159</v>
      </c>
    </row>
    <row r="3000" spans="1:7" x14ac:dyDescent="0.25">
      <c r="A3000" t="s">
        <v>68</v>
      </c>
      <c r="B3000" s="5">
        <v>39535</v>
      </c>
      <c r="C3000" s="5" t="s">
        <v>4951</v>
      </c>
      <c r="D3000" t="s">
        <v>4951</v>
      </c>
      <c r="G3000" t="s">
        <v>6159</v>
      </c>
    </row>
    <row r="3001" spans="1:7" x14ac:dyDescent="0.25">
      <c r="A3001" t="s">
        <v>2817</v>
      </c>
      <c r="B3001" s="5">
        <v>39535</v>
      </c>
      <c r="C3001" s="5" t="s">
        <v>4952</v>
      </c>
      <c r="D3001" t="s">
        <v>4952</v>
      </c>
      <c r="G3001" t="s">
        <v>6159</v>
      </c>
    </row>
    <row r="3002" spans="1:7" x14ac:dyDescent="0.25">
      <c r="A3002" t="s">
        <v>2960</v>
      </c>
      <c r="B3002" s="5">
        <v>39534</v>
      </c>
      <c r="C3002" s="5" t="s">
        <v>4953</v>
      </c>
      <c r="D3002" t="s">
        <v>4953</v>
      </c>
      <c r="G3002" t="s">
        <v>6159</v>
      </c>
    </row>
    <row r="3003" spans="1:7" x14ac:dyDescent="0.25">
      <c r="A3003" t="s">
        <v>2886</v>
      </c>
      <c r="B3003" s="5">
        <v>39534</v>
      </c>
      <c r="C3003" s="5" t="s">
        <v>4954</v>
      </c>
      <c r="D3003" t="s">
        <v>4954</v>
      </c>
      <c r="G3003" t="s">
        <v>6159</v>
      </c>
    </row>
    <row r="3004" spans="1:7" x14ac:dyDescent="0.25">
      <c r="A3004" t="s">
        <v>128</v>
      </c>
      <c r="B3004" s="5">
        <v>39534</v>
      </c>
      <c r="C3004" s="5" t="s">
        <v>4955</v>
      </c>
      <c r="D3004" t="s">
        <v>4955</v>
      </c>
      <c r="G3004" t="s">
        <v>6159</v>
      </c>
    </row>
    <row r="3005" spans="1:7" x14ac:dyDescent="0.25">
      <c r="A3005" t="s">
        <v>2901</v>
      </c>
      <c r="B3005" s="5">
        <v>39534</v>
      </c>
      <c r="C3005" s="5" t="s">
        <v>4956</v>
      </c>
      <c r="D3005" t="s">
        <v>4956</v>
      </c>
      <c r="G3005" t="s">
        <v>6159</v>
      </c>
    </row>
    <row r="3006" spans="1:7" x14ac:dyDescent="0.25">
      <c r="A3006" t="s">
        <v>2964</v>
      </c>
      <c r="B3006" s="5">
        <v>40674</v>
      </c>
      <c r="C3006" s="5" t="s">
        <v>4957</v>
      </c>
      <c r="D3006" t="s">
        <v>4957</v>
      </c>
      <c r="G3006" t="s">
        <v>6159</v>
      </c>
    </row>
    <row r="3007" spans="1:7" x14ac:dyDescent="0.25">
      <c r="A3007" t="s">
        <v>2955</v>
      </c>
      <c r="B3007" s="5">
        <v>39526</v>
      </c>
      <c r="C3007" s="5" t="s">
        <v>4958</v>
      </c>
      <c r="D3007" t="s">
        <v>4958</v>
      </c>
      <c r="G3007" t="s">
        <v>6159</v>
      </c>
    </row>
    <row r="3008" spans="1:7" x14ac:dyDescent="0.25">
      <c r="A3008" t="s">
        <v>2958</v>
      </c>
      <c r="B3008" s="5">
        <v>39526</v>
      </c>
      <c r="C3008" s="5" t="s">
        <v>4959</v>
      </c>
      <c r="D3008" t="s">
        <v>4959</v>
      </c>
      <c r="G3008" t="s">
        <v>6159</v>
      </c>
    </row>
    <row r="3009" spans="1:7" x14ac:dyDescent="0.25">
      <c r="A3009" t="s">
        <v>2886</v>
      </c>
      <c r="B3009" s="5">
        <v>39520</v>
      </c>
      <c r="C3009" s="5" t="s">
        <v>4960</v>
      </c>
      <c r="D3009" t="s">
        <v>4960</v>
      </c>
      <c r="G3009" t="s">
        <v>6159</v>
      </c>
    </row>
    <row r="3010" spans="1:7" x14ac:dyDescent="0.25">
      <c r="A3010" t="s">
        <v>2960</v>
      </c>
      <c r="B3010" s="5">
        <v>39520</v>
      </c>
      <c r="C3010" s="5" t="s">
        <v>4961</v>
      </c>
      <c r="D3010" t="s">
        <v>4961</v>
      </c>
      <c r="G3010" t="s">
        <v>6159</v>
      </c>
    </row>
    <row r="3011" spans="1:7" x14ac:dyDescent="0.25">
      <c r="A3011" t="s">
        <v>2961</v>
      </c>
      <c r="B3011" s="5">
        <v>39520</v>
      </c>
      <c r="C3011" s="5" t="s">
        <v>4962</v>
      </c>
      <c r="D3011" t="s">
        <v>4962</v>
      </c>
      <c r="G3011" t="s">
        <v>6159</v>
      </c>
    </row>
    <row r="3012" spans="1:7" x14ac:dyDescent="0.25">
      <c r="A3012" t="s">
        <v>68</v>
      </c>
      <c r="B3012" s="5">
        <v>39520</v>
      </c>
      <c r="C3012" s="5" t="s">
        <v>4963</v>
      </c>
      <c r="D3012" t="s">
        <v>4963</v>
      </c>
      <c r="G3012" t="s">
        <v>6159</v>
      </c>
    </row>
    <row r="3013" spans="1:7" x14ac:dyDescent="0.25">
      <c r="A3013" t="s">
        <v>128</v>
      </c>
      <c r="B3013" s="5">
        <v>39520</v>
      </c>
      <c r="C3013" s="5" t="s">
        <v>4964</v>
      </c>
      <c r="D3013" t="s">
        <v>4964</v>
      </c>
      <c r="G3013" t="s">
        <v>6159</v>
      </c>
    </row>
    <row r="3014" spans="1:7" x14ac:dyDescent="0.25">
      <c r="A3014" t="s">
        <v>104</v>
      </c>
      <c r="B3014" s="5">
        <v>39520</v>
      </c>
      <c r="C3014" s="5" t="s">
        <v>4965</v>
      </c>
      <c r="D3014" t="s">
        <v>4965</v>
      </c>
      <c r="G3014" t="s">
        <v>6159</v>
      </c>
    </row>
    <row r="3015" spans="1:7" x14ac:dyDescent="0.25">
      <c r="A3015" t="s">
        <v>2901</v>
      </c>
      <c r="B3015" s="5">
        <v>39520</v>
      </c>
      <c r="C3015" s="5" t="s">
        <v>4966</v>
      </c>
      <c r="D3015" t="s">
        <v>4966</v>
      </c>
      <c r="G3015" t="s">
        <v>6159</v>
      </c>
    </row>
    <row r="3016" spans="1:7" x14ac:dyDescent="0.25">
      <c r="A3016" t="s">
        <v>2950</v>
      </c>
      <c r="B3016" s="5">
        <v>39511</v>
      </c>
      <c r="C3016" s="5" t="s">
        <v>4967</v>
      </c>
      <c r="D3016" t="s">
        <v>4967</v>
      </c>
      <c r="G3016" t="s">
        <v>6159</v>
      </c>
    </row>
    <row r="3017" spans="1:7" x14ac:dyDescent="0.25">
      <c r="A3017" t="s">
        <v>2953</v>
      </c>
      <c r="B3017" s="5">
        <v>39511</v>
      </c>
      <c r="C3017" s="5" t="s">
        <v>4968</v>
      </c>
      <c r="D3017" t="s">
        <v>4968</v>
      </c>
      <c r="G3017" t="s">
        <v>6159</v>
      </c>
    </row>
    <row r="3018" spans="1:7" x14ac:dyDescent="0.25">
      <c r="A3018" t="s">
        <v>51</v>
      </c>
      <c r="B3018" s="5">
        <v>39511</v>
      </c>
      <c r="C3018" s="5" t="s">
        <v>4969</v>
      </c>
      <c r="D3018" t="s">
        <v>4969</v>
      </c>
      <c r="G3018" t="s">
        <v>6159</v>
      </c>
    </row>
    <row r="3019" spans="1:7" x14ac:dyDescent="0.25">
      <c r="A3019" t="s">
        <v>2955</v>
      </c>
      <c r="B3019" s="5">
        <v>39511</v>
      </c>
      <c r="C3019" s="5" t="s">
        <v>4970</v>
      </c>
      <c r="D3019" t="s">
        <v>4970</v>
      </c>
      <c r="G3019" t="s">
        <v>6159</v>
      </c>
    </row>
    <row r="3020" spans="1:7" x14ac:dyDescent="0.25">
      <c r="A3020" t="s">
        <v>2816</v>
      </c>
      <c r="B3020" s="5">
        <v>39510</v>
      </c>
      <c r="C3020" s="5" t="s">
        <v>4971</v>
      </c>
      <c r="D3020" t="s">
        <v>4971</v>
      </c>
      <c r="G3020" t="s">
        <v>6159</v>
      </c>
    </row>
    <row r="3021" spans="1:7" x14ac:dyDescent="0.25">
      <c r="A3021" t="s">
        <v>2953</v>
      </c>
      <c r="B3021" s="5">
        <v>41507</v>
      </c>
      <c r="C3021" s="5" t="s">
        <v>4972</v>
      </c>
      <c r="D3021" t="s">
        <v>4972</v>
      </c>
      <c r="G3021" t="s">
        <v>6159</v>
      </c>
    </row>
    <row r="3022" spans="1:7" x14ac:dyDescent="0.25">
      <c r="A3022" t="s">
        <v>2953</v>
      </c>
      <c r="B3022" s="5">
        <v>41463</v>
      </c>
      <c r="C3022" s="5" t="s">
        <v>4973</v>
      </c>
      <c r="D3022" t="s">
        <v>4973</v>
      </c>
      <c r="G3022" t="s">
        <v>6159</v>
      </c>
    </row>
    <row r="3023" spans="1:7" x14ac:dyDescent="0.25">
      <c r="A3023" t="s">
        <v>2962</v>
      </c>
      <c r="B3023" s="5">
        <v>39387</v>
      </c>
      <c r="C3023" s="5" t="s">
        <v>4974</v>
      </c>
      <c r="D3023" t="s">
        <v>4974</v>
      </c>
      <c r="G3023" t="s">
        <v>6159</v>
      </c>
    </row>
    <row r="3024" spans="1:7" x14ac:dyDescent="0.25">
      <c r="A3024" t="s">
        <v>2965</v>
      </c>
      <c r="B3024" s="5">
        <v>39387</v>
      </c>
      <c r="C3024" s="5" t="s">
        <v>4975</v>
      </c>
      <c r="D3024" t="s">
        <v>4975</v>
      </c>
      <c r="G3024" t="s">
        <v>6159</v>
      </c>
    </row>
    <row r="3025" spans="1:7" x14ac:dyDescent="0.25">
      <c r="A3025" t="s">
        <v>172</v>
      </c>
      <c r="B3025" s="5">
        <v>39387</v>
      </c>
      <c r="C3025" s="5" t="s">
        <v>4976</v>
      </c>
      <c r="D3025" t="s">
        <v>4976</v>
      </c>
      <c r="G3025" t="s">
        <v>6159</v>
      </c>
    </row>
    <row r="3026" spans="1:7" x14ac:dyDescent="0.25">
      <c r="A3026" t="s">
        <v>182</v>
      </c>
      <c r="B3026" s="5">
        <v>39364</v>
      </c>
      <c r="C3026" s="5" t="s">
        <v>4977</v>
      </c>
      <c r="D3026" t="s">
        <v>4977</v>
      </c>
      <c r="G3026" t="s">
        <v>6159</v>
      </c>
    </row>
    <row r="3027" spans="1:7" x14ac:dyDescent="0.25">
      <c r="A3027" t="s">
        <v>201</v>
      </c>
      <c r="B3027" s="5">
        <v>40408</v>
      </c>
      <c r="C3027" s="5" t="s">
        <v>4978</v>
      </c>
      <c r="D3027" t="s">
        <v>4978</v>
      </c>
      <c r="G3027" t="s">
        <v>6159</v>
      </c>
    </row>
    <row r="3028" spans="1:7" x14ac:dyDescent="0.25">
      <c r="A3028" t="s">
        <v>2954</v>
      </c>
      <c r="B3028" s="5">
        <v>41906</v>
      </c>
      <c r="C3028" s="5" t="s">
        <v>4979</v>
      </c>
      <c r="D3028" t="s">
        <v>4979</v>
      </c>
      <c r="G3028" t="s">
        <v>6159</v>
      </c>
    </row>
    <row r="3029" spans="1:7" x14ac:dyDescent="0.25">
      <c r="A3029" t="s">
        <v>2898</v>
      </c>
      <c r="B3029" s="5">
        <v>39989</v>
      </c>
      <c r="C3029" s="5" t="s">
        <v>4980</v>
      </c>
      <c r="D3029" t="s">
        <v>4980</v>
      </c>
      <c r="G3029" t="s">
        <v>6159</v>
      </c>
    </row>
    <row r="3030" spans="1:7" x14ac:dyDescent="0.25">
      <c r="A3030" t="s">
        <v>238</v>
      </c>
      <c r="B3030" s="5">
        <v>39989</v>
      </c>
      <c r="C3030" s="5" t="s">
        <v>4981</v>
      </c>
      <c r="D3030" t="s">
        <v>4981</v>
      </c>
      <c r="G3030" t="s">
        <v>6159</v>
      </c>
    </row>
    <row r="3031" spans="1:7" x14ac:dyDescent="0.25">
      <c r="A3031" t="s">
        <v>197</v>
      </c>
      <c r="B3031" s="5">
        <v>39983</v>
      </c>
      <c r="C3031" s="5" t="s">
        <v>4982</v>
      </c>
      <c r="D3031" t="s">
        <v>4982</v>
      </c>
      <c r="G3031" t="s">
        <v>6159</v>
      </c>
    </row>
    <row r="3032" spans="1:7" x14ac:dyDescent="0.25">
      <c r="A3032" t="s">
        <v>2954</v>
      </c>
      <c r="B3032" s="5">
        <v>39983</v>
      </c>
      <c r="C3032" s="5" t="s">
        <v>4983</v>
      </c>
      <c r="D3032" t="s">
        <v>4983</v>
      </c>
      <c r="G3032" t="s">
        <v>6159</v>
      </c>
    </row>
    <row r="3033" spans="1:7" x14ac:dyDescent="0.25">
      <c r="A3033" t="s">
        <v>170</v>
      </c>
      <c r="B3033" s="5">
        <v>39983</v>
      </c>
      <c r="C3033" s="5" t="s">
        <v>4984</v>
      </c>
      <c r="D3033" t="s">
        <v>4984</v>
      </c>
      <c r="G3033" t="s">
        <v>6159</v>
      </c>
    </row>
    <row r="3034" spans="1:7" x14ac:dyDescent="0.25">
      <c r="A3034" t="s">
        <v>2953</v>
      </c>
      <c r="B3034" s="5">
        <v>39983</v>
      </c>
      <c r="C3034" s="5" t="s">
        <v>4985</v>
      </c>
      <c r="D3034" t="s">
        <v>4985</v>
      </c>
      <c r="G3034" t="s">
        <v>6159</v>
      </c>
    </row>
    <row r="3035" spans="1:7" x14ac:dyDescent="0.25">
      <c r="A3035" t="s">
        <v>2445</v>
      </c>
      <c r="B3035" s="5">
        <v>39983</v>
      </c>
      <c r="C3035" s="5" t="s">
        <v>4986</v>
      </c>
      <c r="D3035" t="s">
        <v>4986</v>
      </c>
      <c r="G3035" t="s">
        <v>6159</v>
      </c>
    </row>
    <row r="3036" spans="1:7" x14ac:dyDescent="0.25">
      <c r="A3036" t="s">
        <v>304</v>
      </c>
      <c r="B3036" s="5">
        <v>39980</v>
      </c>
      <c r="C3036" s="5" t="s">
        <v>4987</v>
      </c>
      <c r="D3036" t="s">
        <v>4987</v>
      </c>
      <c r="G3036" t="s">
        <v>6159</v>
      </c>
    </row>
    <row r="3037" spans="1:7" x14ac:dyDescent="0.25">
      <c r="A3037" t="s">
        <v>2940</v>
      </c>
      <c r="B3037" s="5">
        <v>39980</v>
      </c>
      <c r="C3037" s="5" t="s">
        <v>4988</v>
      </c>
      <c r="D3037" t="s">
        <v>4988</v>
      </c>
      <c r="G3037" t="s">
        <v>6159</v>
      </c>
    </row>
    <row r="3038" spans="1:7" x14ac:dyDescent="0.25">
      <c r="A3038" t="s">
        <v>2946</v>
      </c>
      <c r="B3038" s="5">
        <v>39980</v>
      </c>
      <c r="C3038" s="5" t="s">
        <v>4989</v>
      </c>
      <c r="D3038" t="s">
        <v>4989</v>
      </c>
      <c r="G3038" t="s">
        <v>6159</v>
      </c>
    </row>
    <row r="3039" spans="1:7" x14ac:dyDescent="0.25">
      <c r="A3039" t="s">
        <v>2963</v>
      </c>
      <c r="B3039" s="5">
        <v>39980</v>
      </c>
      <c r="C3039" s="5" t="s">
        <v>4990</v>
      </c>
      <c r="D3039" t="s">
        <v>4990</v>
      </c>
      <c r="G3039" t="s">
        <v>6159</v>
      </c>
    </row>
    <row r="3040" spans="1:7" x14ac:dyDescent="0.25">
      <c r="A3040" t="s">
        <v>2966</v>
      </c>
      <c r="B3040" s="5">
        <v>39980</v>
      </c>
      <c r="C3040" s="5" t="s">
        <v>4991</v>
      </c>
      <c r="D3040" t="s">
        <v>4991</v>
      </c>
      <c r="G3040" t="s">
        <v>6159</v>
      </c>
    </row>
    <row r="3041" spans="1:7" x14ac:dyDescent="0.25">
      <c r="A3041" t="s">
        <v>2698</v>
      </c>
      <c r="B3041" s="5">
        <v>41891</v>
      </c>
      <c r="C3041" s="5" t="s">
        <v>4992</v>
      </c>
      <c r="D3041" t="s">
        <v>4992</v>
      </c>
      <c r="G3041" t="s">
        <v>6159</v>
      </c>
    </row>
    <row r="3042" spans="1:7" x14ac:dyDescent="0.25">
      <c r="A3042" t="s">
        <v>2927</v>
      </c>
      <c r="B3042" s="5">
        <v>41891</v>
      </c>
      <c r="C3042" s="5" t="s">
        <v>4993</v>
      </c>
      <c r="D3042" t="s">
        <v>4993</v>
      </c>
      <c r="G3042" t="s">
        <v>6159</v>
      </c>
    </row>
    <row r="3043" spans="1:7" x14ac:dyDescent="0.25">
      <c r="A3043" t="s">
        <v>2203</v>
      </c>
      <c r="B3043" s="5">
        <v>39932</v>
      </c>
      <c r="C3043" s="5" t="s">
        <v>4994</v>
      </c>
      <c r="D3043" t="s">
        <v>4994</v>
      </c>
      <c r="G3043" t="s">
        <v>6159</v>
      </c>
    </row>
    <row r="3044" spans="1:7" x14ac:dyDescent="0.25">
      <c r="A3044" t="s">
        <v>2953</v>
      </c>
      <c r="B3044" s="5">
        <v>39932</v>
      </c>
      <c r="C3044" s="5" t="s">
        <v>4995</v>
      </c>
      <c r="D3044" t="s">
        <v>4995</v>
      </c>
      <c r="G3044" t="s">
        <v>6159</v>
      </c>
    </row>
    <row r="3045" spans="1:7" x14ac:dyDescent="0.25">
      <c r="A3045" t="s">
        <v>197</v>
      </c>
      <c r="B3045" s="5">
        <v>39932</v>
      </c>
      <c r="C3045" s="5" t="s">
        <v>4996</v>
      </c>
      <c r="D3045" t="s">
        <v>4996</v>
      </c>
      <c r="G3045" t="s">
        <v>6159</v>
      </c>
    </row>
    <row r="3046" spans="1:7" x14ac:dyDescent="0.25">
      <c r="A3046" t="s">
        <v>2698</v>
      </c>
      <c r="B3046" s="5">
        <v>39932</v>
      </c>
      <c r="C3046" s="5" t="s">
        <v>4997</v>
      </c>
      <c r="D3046" t="s">
        <v>4997</v>
      </c>
      <c r="G3046" t="s">
        <v>6159</v>
      </c>
    </row>
    <row r="3047" spans="1:7" x14ac:dyDescent="0.25">
      <c r="A3047" t="s">
        <v>2953</v>
      </c>
      <c r="B3047" s="5">
        <v>41856</v>
      </c>
      <c r="C3047" s="5" t="s">
        <v>4998</v>
      </c>
      <c r="D3047" t="s">
        <v>4998</v>
      </c>
      <c r="G3047" t="s">
        <v>6159</v>
      </c>
    </row>
    <row r="3048" spans="1:7" x14ac:dyDescent="0.25">
      <c r="A3048" t="s">
        <v>51</v>
      </c>
      <c r="B3048" s="5">
        <v>40827</v>
      </c>
      <c r="C3048" s="5" t="s">
        <v>4999</v>
      </c>
      <c r="D3048" t="s">
        <v>4999</v>
      </c>
      <c r="G3048" t="s">
        <v>6159</v>
      </c>
    </row>
    <row r="3049" spans="1:7" x14ac:dyDescent="0.25">
      <c r="A3049" t="s">
        <v>17</v>
      </c>
      <c r="B3049" s="5">
        <v>40827</v>
      </c>
      <c r="C3049" s="5" t="s">
        <v>5000</v>
      </c>
      <c r="D3049" t="s">
        <v>5000</v>
      </c>
      <c r="G3049" t="s">
        <v>6159</v>
      </c>
    </row>
    <row r="3050" spans="1:7" x14ac:dyDescent="0.25">
      <c r="A3050" t="s">
        <v>2960</v>
      </c>
      <c r="B3050" s="5">
        <v>39897</v>
      </c>
      <c r="C3050" s="5" t="s">
        <v>5001</v>
      </c>
      <c r="D3050" t="s">
        <v>5001</v>
      </c>
      <c r="G3050" t="s">
        <v>6159</v>
      </c>
    </row>
    <row r="3051" spans="1:7" x14ac:dyDescent="0.25">
      <c r="A3051" t="s">
        <v>2817</v>
      </c>
      <c r="B3051" s="5">
        <v>39897</v>
      </c>
      <c r="C3051" s="5" t="s">
        <v>5002</v>
      </c>
      <c r="D3051" t="s">
        <v>5002</v>
      </c>
      <c r="G3051" t="s">
        <v>6159</v>
      </c>
    </row>
    <row r="3052" spans="1:7" x14ac:dyDescent="0.25">
      <c r="A3052" t="s">
        <v>68</v>
      </c>
      <c r="B3052" s="5">
        <v>39897</v>
      </c>
      <c r="C3052" s="5" t="s">
        <v>5003</v>
      </c>
      <c r="D3052" t="s">
        <v>5003</v>
      </c>
      <c r="G3052" t="s">
        <v>6159</v>
      </c>
    </row>
    <row r="3053" spans="1:7" x14ac:dyDescent="0.25">
      <c r="A3053" t="s">
        <v>104</v>
      </c>
      <c r="B3053" s="5">
        <v>39897</v>
      </c>
      <c r="C3053" s="5" t="s">
        <v>5004</v>
      </c>
      <c r="D3053" t="s">
        <v>5004</v>
      </c>
      <c r="G3053" t="s">
        <v>6159</v>
      </c>
    </row>
    <row r="3054" spans="1:7" x14ac:dyDescent="0.25">
      <c r="A3054" t="s">
        <v>170</v>
      </c>
      <c r="B3054" s="5">
        <v>40793</v>
      </c>
      <c r="C3054" s="5" t="s">
        <v>5005</v>
      </c>
      <c r="D3054" t="s">
        <v>5005</v>
      </c>
      <c r="G3054" t="s">
        <v>6159</v>
      </c>
    </row>
    <row r="3055" spans="1:7" x14ac:dyDescent="0.25">
      <c r="A3055" t="s">
        <v>2958</v>
      </c>
      <c r="B3055" s="5">
        <v>40793</v>
      </c>
      <c r="C3055" s="5" t="s">
        <v>5006</v>
      </c>
      <c r="D3055" t="s">
        <v>5006</v>
      </c>
      <c r="G3055" t="s">
        <v>6159</v>
      </c>
    </row>
    <row r="3056" spans="1:7" x14ac:dyDescent="0.25">
      <c r="A3056" t="s">
        <v>2901</v>
      </c>
      <c r="B3056" s="5">
        <v>39896</v>
      </c>
      <c r="C3056" s="5" t="s">
        <v>5007</v>
      </c>
      <c r="D3056" t="s">
        <v>5007</v>
      </c>
      <c r="G3056" t="s">
        <v>6159</v>
      </c>
    </row>
    <row r="3057" spans="1:7" x14ac:dyDescent="0.25">
      <c r="A3057" t="s">
        <v>2886</v>
      </c>
      <c r="B3057" s="5">
        <v>39896</v>
      </c>
      <c r="C3057" s="5" t="s">
        <v>5008</v>
      </c>
      <c r="D3057" t="s">
        <v>5008</v>
      </c>
      <c r="G3057" t="s">
        <v>6159</v>
      </c>
    </row>
    <row r="3058" spans="1:7" x14ac:dyDescent="0.25">
      <c r="A3058" t="s">
        <v>197</v>
      </c>
      <c r="B3058" s="5">
        <v>39891</v>
      </c>
      <c r="C3058" s="5" t="s">
        <v>5009</v>
      </c>
      <c r="D3058" t="s">
        <v>5009</v>
      </c>
      <c r="G3058" t="s">
        <v>6159</v>
      </c>
    </row>
    <row r="3059" spans="1:7" x14ac:dyDescent="0.25">
      <c r="A3059" t="s">
        <v>2954</v>
      </c>
      <c r="B3059" s="5">
        <v>39891</v>
      </c>
      <c r="C3059" s="5" t="s">
        <v>5010</v>
      </c>
      <c r="D3059" t="s">
        <v>5010</v>
      </c>
      <c r="G3059" t="s">
        <v>6159</v>
      </c>
    </row>
    <row r="3060" spans="1:7" x14ac:dyDescent="0.25">
      <c r="A3060" t="s">
        <v>2203</v>
      </c>
      <c r="B3060" s="5">
        <v>39891</v>
      </c>
      <c r="C3060" s="5" t="s">
        <v>5011</v>
      </c>
      <c r="D3060" t="s">
        <v>5011</v>
      </c>
      <c r="G3060" t="s">
        <v>6159</v>
      </c>
    </row>
    <row r="3061" spans="1:7" x14ac:dyDescent="0.25">
      <c r="A3061" t="s">
        <v>2967</v>
      </c>
      <c r="B3061" s="5">
        <v>39800</v>
      </c>
      <c r="C3061" s="5" t="s">
        <v>5012</v>
      </c>
      <c r="D3061" t="s">
        <v>5012</v>
      </c>
      <c r="G3061" t="s">
        <v>6159</v>
      </c>
    </row>
    <row r="3062" spans="1:7" x14ac:dyDescent="0.25">
      <c r="A3062" t="s">
        <v>2946</v>
      </c>
      <c r="B3062" s="5">
        <v>39800</v>
      </c>
      <c r="C3062" s="5" t="s">
        <v>5013</v>
      </c>
      <c r="D3062" t="s">
        <v>5013</v>
      </c>
      <c r="G3062" t="s">
        <v>6159</v>
      </c>
    </row>
    <row r="3063" spans="1:7" x14ac:dyDescent="0.25">
      <c r="A3063" t="s">
        <v>2940</v>
      </c>
      <c r="B3063" s="5">
        <v>39800</v>
      </c>
      <c r="C3063" s="5" t="s">
        <v>5014</v>
      </c>
      <c r="D3063" t="s">
        <v>5014</v>
      </c>
      <c r="G3063" t="s">
        <v>6159</v>
      </c>
    </row>
    <row r="3064" spans="1:7" x14ac:dyDescent="0.25">
      <c r="A3064" t="s">
        <v>304</v>
      </c>
      <c r="B3064" s="5">
        <v>39800</v>
      </c>
      <c r="C3064" s="5" t="s">
        <v>5015</v>
      </c>
      <c r="D3064" t="s">
        <v>5015</v>
      </c>
      <c r="G3064" t="s">
        <v>6159</v>
      </c>
    </row>
    <row r="3065" spans="1:7" x14ac:dyDescent="0.25">
      <c r="A3065" t="s">
        <v>2943</v>
      </c>
      <c r="B3065" s="5">
        <v>39800</v>
      </c>
      <c r="C3065" s="5" t="s">
        <v>5016</v>
      </c>
      <c r="D3065" t="s">
        <v>5016</v>
      </c>
      <c r="G3065" t="s">
        <v>6159</v>
      </c>
    </row>
    <row r="3066" spans="1:7" x14ac:dyDescent="0.25">
      <c r="A3066" t="s">
        <v>182</v>
      </c>
      <c r="B3066" s="5">
        <v>39765</v>
      </c>
      <c r="C3066" s="5" t="s">
        <v>5017</v>
      </c>
      <c r="D3066" t="s">
        <v>5017</v>
      </c>
      <c r="G3066" t="s">
        <v>6159</v>
      </c>
    </row>
    <row r="3067" spans="1:7" x14ac:dyDescent="0.25">
      <c r="A3067" t="s">
        <v>319</v>
      </c>
      <c r="B3067" s="5">
        <v>39756</v>
      </c>
      <c r="C3067" s="5" t="s">
        <v>5018</v>
      </c>
      <c r="D3067" t="s">
        <v>5018</v>
      </c>
      <c r="G3067" t="s">
        <v>6159</v>
      </c>
    </row>
    <row r="3068" spans="1:7" x14ac:dyDescent="0.25">
      <c r="A3068" t="s">
        <v>2813</v>
      </c>
      <c r="B3068" s="5">
        <v>39712</v>
      </c>
      <c r="C3068" s="5" t="s">
        <v>5019</v>
      </c>
      <c r="D3068" t="s">
        <v>5019</v>
      </c>
      <c r="G3068" t="s">
        <v>6159</v>
      </c>
    </row>
    <row r="3069" spans="1:7" x14ac:dyDescent="0.25">
      <c r="A3069" t="s">
        <v>2932</v>
      </c>
      <c r="B3069" s="5">
        <v>39712</v>
      </c>
      <c r="C3069" s="5" t="s">
        <v>5020</v>
      </c>
      <c r="D3069" t="s">
        <v>5020</v>
      </c>
      <c r="G3069" t="s">
        <v>6159</v>
      </c>
    </row>
    <row r="3070" spans="1:7" x14ac:dyDescent="0.25">
      <c r="A3070" t="s">
        <v>2934</v>
      </c>
      <c r="B3070" s="5">
        <v>39712</v>
      </c>
      <c r="C3070" s="5" t="s">
        <v>5021</v>
      </c>
      <c r="D3070" t="s">
        <v>5021</v>
      </c>
      <c r="G3070" t="s">
        <v>6159</v>
      </c>
    </row>
    <row r="3071" spans="1:7" x14ac:dyDescent="0.25">
      <c r="A3071" t="s">
        <v>2933</v>
      </c>
      <c r="B3071" s="5">
        <v>39712</v>
      </c>
      <c r="C3071" s="5" t="s">
        <v>5022</v>
      </c>
      <c r="D3071" t="s">
        <v>5022</v>
      </c>
      <c r="G3071" t="s">
        <v>6159</v>
      </c>
    </row>
    <row r="3072" spans="1:7" x14ac:dyDescent="0.25">
      <c r="A3072" t="s">
        <v>2928</v>
      </c>
      <c r="B3072" s="5">
        <v>39695</v>
      </c>
      <c r="C3072" s="5" t="s">
        <v>5023</v>
      </c>
      <c r="D3072" t="s">
        <v>5023</v>
      </c>
      <c r="G3072" t="s">
        <v>6159</v>
      </c>
    </row>
    <row r="3073" spans="1:7" x14ac:dyDescent="0.25">
      <c r="A3073" t="s">
        <v>2954</v>
      </c>
      <c r="B3073" s="5">
        <v>39695</v>
      </c>
      <c r="C3073" s="5" t="s">
        <v>5024</v>
      </c>
      <c r="D3073" t="s">
        <v>5024</v>
      </c>
      <c r="G3073" t="s">
        <v>6159</v>
      </c>
    </row>
    <row r="3074" spans="1:7" x14ac:dyDescent="0.25">
      <c r="A3074" t="s">
        <v>170</v>
      </c>
      <c r="B3074" s="5">
        <v>39695</v>
      </c>
      <c r="C3074" s="5" t="s">
        <v>5025</v>
      </c>
      <c r="D3074" t="s">
        <v>5025</v>
      </c>
      <c r="G3074" t="s">
        <v>6159</v>
      </c>
    </row>
    <row r="3075" spans="1:7" x14ac:dyDescent="0.25">
      <c r="A3075" t="s">
        <v>2958</v>
      </c>
      <c r="B3075" s="5">
        <v>39695</v>
      </c>
      <c r="C3075" s="5" t="s">
        <v>5026</v>
      </c>
      <c r="D3075" t="s">
        <v>5026</v>
      </c>
      <c r="G3075" t="s">
        <v>6159</v>
      </c>
    </row>
    <row r="3076" spans="1:7" x14ac:dyDescent="0.25">
      <c r="A3076" t="s">
        <v>51</v>
      </c>
      <c r="B3076" s="5">
        <v>39695</v>
      </c>
      <c r="C3076" s="5" t="s">
        <v>5027</v>
      </c>
      <c r="D3076" t="s">
        <v>5027</v>
      </c>
      <c r="G3076" t="s">
        <v>6159</v>
      </c>
    </row>
    <row r="3077" spans="1:7" x14ac:dyDescent="0.25">
      <c r="A3077" t="s">
        <v>17</v>
      </c>
      <c r="B3077" s="5">
        <v>39695</v>
      </c>
      <c r="C3077" s="5" t="s">
        <v>5028</v>
      </c>
      <c r="D3077" t="s">
        <v>5028</v>
      </c>
      <c r="G3077" t="s">
        <v>6159</v>
      </c>
    </row>
    <row r="3078" spans="1:7" x14ac:dyDescent="0.25">
      <c r="A3078" t="s">
        <v>2203</v>
      </c>
      <c r="B3078" s="5">
        <v>39695</v>
      </c>
      <c r="C3078" s="5" t="s">
        <v>5029</v>
      </c>
      <c r="D3078" t="s">
        <v>5029</v>
      </c>
      <c r="G3078" t="s">
        <v>6159</v>
      </c>
    </row>
    <row r="3079" spans="1:7" x14ac:dyDescent="0.25">
      <c r="A3079" t="s">
        <v>2927</v>
      </c>
      <c r="B3079" s="5">
        <v>39694</v>
      </c>
      <c r="C3079" s="5" t="s">
        <v>5030</v>
      </c>
      <c r="D3079" t="s">
        <v>5030</v>
      </c>
      <c r="G3079" t="s">
        <v>6159</v>
      </c>
    </row>
    <row r="3080" spans="1:7" x14ac:dyDescent="0.25">
      <c r="A3080" t="s">
        <v>2929</v>
      </c>
      <c r="B3080" s="5">
        <v>39694</v>
      </c>
      <c r="C3080" s="5" t="s">
        <v>5031</v>
      </c>
      <c r="D3080" t="s">
        <v>5031</v>
      </c>
      <c r="G3080" t="s">
        <v>6159</v>
      </c>
    </row>
    <row r="3081" spans="1:7" x14ac:dyDescent="0.25">
      <c r="A3081" t="s">
        <v>2953</v>
      </c>
      <c r="B3081" s="5">
        <v>39694</v>
      </c>
      <c r="C3081" s="5" t="s">
        <v>5032</v>
      </c>
      <c r="D3081" t="s">
        <v>5032</v>
      </c>
      <c r="G3081" t="s">
        <v>6159</v>
      </c>
    </row>
    <row r="3082" spans="1:7" x14ac:dyDescent="0.25">
      <c r="A3082" t="s">
        <v>2950</v>
      </c>
      <c r="B3082" s="5">
        <v>39694</v>
      </c>
      <c r="C3082" s="5" t="s">
        <v>5033</v>
      </c>
      <c r="D3082" t="s">
        <v>5033</v>
      </c>
      <c r="G3082" t="s">
        <v>6159</v>
      </c>
    </row>
    <row r="3083" spans="1:7" x14ac:dyDescent="0.25">
      <c r="A3083" t="s">
        <v>2445</v>
      </c>
      <c r="B3083" s="5">
        <v>39694</v>
      </c>
      <c r="C3083" s="5" t="s">
        <v>5034</v>
      </c>
      <c r="D3083" t="s">
        <v>5034</v>
      </c>
      <c r="G3083" t="s">
        <v>6159</v>
      </c>
    </row>
    <row r="3084" spans="1:7" x14ac:dyDescent="0.25">
      <c r="A3084" t="s">
        <v>2968</v>
      </c>
      <c r="B3084" s="5">
        <v>39694</v>
      </c>
      <c r="C3084" s="5" t="s">
        <v>5035</v>
      </c>
      <c r="D3084" t="s">
        <v>5035</v>
      </c>
      <c r="G3084" t="s">
        <v>6159</v>
      </c>
    </row>
    <row r="3085" spans="1:7" x14ac:dyDescent="0.25">
      <c r="A3085" t="s">
        <v>2928</v>
      </c>
      <c r="B3085" s="5">
        <v>39673</v>
      </c>
      <c r="C3085" s="5" t="s">
        <v>5036</v>
      </c>
      <c r="D3085" t="s">
        <v>5036</v>
      </c>
      <c r="G3085" t="s">
        <v>6159</v>
      </c>
    </row>
    <row r="3086" spans="1:7" x14ac:dyDescent="0.25">
      <c r="A3086" t="s">
        <v>2954</v>
      </c>
      <c r="B3086" s="5">
        <v>39673</v>
      </c>
      <c r="C3086" s="5" t="s">
        <v>5037</v>
      </c>
      <c r="D3086" t="s">
        <v>5037</v>
      </c>
      <c r="G3086" t="s">
        <v>6159</v>
      </c>
    </row>
    <row r="3087" spans="1:7" x14ac:dyDescent="0.25">
      <c r="A3087" t="s">
        <v>170</v>
      </c>
      <c r="B3087" s="5">
        <v>39673</v>
      </c>
      <c r="C3087" s="5" t="s">
        <v>5038</v>
      </c>
      <c r="D3087" t="s">
        <v>5038</v>
      </c>
      <c r="G3087" t="s">
        <v>6159</v>
      </c>
    </row>
    <row r="3088" spans="1:7" x14ac:dyDescent="0.25">
      <c r="A3088" t="s">
        <v>2958</v>
      </c>
      <c r="B3088" s="5">
        <v>39673</v>
      </c>
      <c r="C3088" s="5" t="s">
        <v>5039</v>
      </c>
      <c r="D3088" t="s">
        <v>5039</v>
      </c>
      <c r="G3088" t="s">
        <v>6159</v>
      </c>
    </row>
    <row r="3089" spans="1:7" x14ac:dyDescent="0.25">
      <c r="A3089" t="s">
        <v>51</v>
      </c>
      <c r="B3089" s="5">
        <v>39673</v>
      </c>
      <c r="C3089" s="5" t="s">
        <v>5040</v>
      </c>
      <c r="D3089" t="s">
        <v>5040</v>
      </c>
      <c r="G3089" t="s">
        <v>6159</v>
      </c>
    </row>
    <row r="3090" spans="1:7" x14ac:dyDescent="0.25">
      <c r="A3090" t="s">
        <v>17</v>
      </c>
      <c r="B3090" s="5">
        <v>39673</v>
      </c>
      <c r="C3090" s="5" t="s">
        <v>5041</v>
      </c>
      <c r="D3090" t="s">
        <v>5041</v>
      </c>
      <c r="G3090" t="s">
        <v>6159</v>
      </c>
    </row>
    <row r="3091" spans="1:7" x14ac:dyDescent="0.25">
      <c r="A3091" t="s">
        <v>197</v>
      </c>
      <c r="B3091" s="5">
        <v>39672</v>
      </c>
      <c r="C3091" s="5" t="s">
        <v>5042</v>
      </c>
      <c r="D3091" t="s">
        <v>5042</v>
      </c>
      <c r="G3091" t="s">
        <v>6159</v>
      </c>
    </row>
    <row r="3092" spans="1:7" x14ac:dyDescent="0.25">
      <c r="A3092" t="s">
        <v>2929</v>
      </c>
      <c r="B3092" s="5">
        <v>39672</v>
      </c>
      <c r="C3092" s="5" t="s">
        <v>5043</v>
      </c>
      <c r="D3092" t="s">
        <v>5043</v>
      </c>
      <c r="G3092" t="s">
        <v>6159</v>
      </c>
    </row>
    <row r="3093" spans="1:7" x14ac:dyDescent="0.25">
      <c r="A3093" t="s">
        <v>2953</v>
      </c>
      <c r="B3093" s="5">
        <v>39672</v>
      </c>
      <c r="C3093" s="5" t="s">
        <v>5044</v>
      </c>
      <c r="D3093" t="s">
        <v>5044</v>
      </c>
      <c r="G3093" t="s">
        <v>6159</v>
      </c>
    </row>
    <row r="3094" spans="1:7" x14ac:dyDescent="0.25">
      <c r="A3094" t="s">
        <v>2950</v>
      </c>
      <c r="B3094" s="5">
        <v>39672</v>
      </c>
      <c r="C3094" s="5" t="s">
        <v>5045</v>
      </c>
      <c r="D3094" t="s">
        <v>5045</v>
      </c>
      <c r="G3094" t="s">
        <v>6159</v>
      </c>
    </row>
    <row r="3095" spans="1:7" x14ac:dyDescent="0.25">
      <c r="A3095" t="s">
        <v>2445</v>
      </c>
      <c r="B3095" s="5">
        <v>39672</v>
      </c>
      <c r="C3095" s="5" t="s">
        <v>5046</v>
      </c>
      <c r="D3095" t="s">
        <v>5046</v>
      </c>
      <c r="G3095" t="s">
        <v>6159</v>
      </c>
    </row>
    <row r="3096" spans="1:7" x14ac:dyDescent="0.25">
      <c r="A3096" t="s">
        <v>197</v>
      </c>
      <c r="B3096" s="5">
        <v>41409</v>
      </c>
      <c r="C3096" s="5" t="s">
        <v>5047</v>
      </c>
      <c r="D3096" t="s">
        <v>5047</v>
      </c>
      <c r="G3096" t="s">
        <v>6159</v>
      </c>
    </row>
    <row r="3097" spans="1:7" x14ac:dyDescent="0.25">
      <c r="A3097" t="s">
        <v>2954</v>
      </c>
      <c r="B3097" s="5">
        <v>41409</v>
      </c>
      <c r="C3097" s="5" t="s">
        <v>5048</v>
      </c>
      <c r="D3097" t="s">
        <v>5048</v>
      </c>
      <c r="G3097" t="s">
        <v>6159</v>
      </c>
    </row>
    <row r="3098" spans="1:7" x14ac:dyDescent="0.25">
      <c r="A3098" t="s">
        <v>51</v>
      </c>
      <c r="B3098" s="5">
        <v>41410</v>
      </c>
      <c r="C3098" s="5" t="s">
        <v>5049</v>
      </c>
      <c r="D3098" t="s">
        <v>5049</v>
      </c>
      <c r="G3098" t="s">
        <v>6159</v>
      </c>
    </row>
    <row r="3099" spans="1:7" x14ac:dyDescent="0.25">
      <c r="A3099" t="s">
        <v>17</v>
      </c>
      <c r="B3099" s="5">
        <v>41410</v>
      </c>
      <c r="C3099" s="5" t="s">
        <v>5050</v>
      </c>
      <c r="D3099" t="s">
        <v>5050</v>
      </c>
      <c r="G3099" t="s">
        <v>6159</v>
      </c>
    </row>
    <row r="3100" spans="1:7" x14ac:dyDescent="0.25">
      <c r="A3100" t="s">
        <v>2929</v>
      </c>
      <c r="B3100" s="5">
        <v>41422</v>
      </c>
      <c r="C3100" s="5" t="s">
        <v>5051</v>
      </c>
      <c r="D3100" t="s">
        <v>5051</v>
      </c>
      <c r="G3100" t="s">
        <v>6159</v>
      </c>
    </row>
    <row r="3101" spans="1:7" x14ac:dyDescent="0.25">
      <c r="A3101" t="s">
        <v>2445</v>
      </c>
      <c r="B3101" s="5">
        <v>41409</v>
      </c>
      <c r="C3101" s="5" t="s">
        <v>5052</v>
      </c>
      <c r="D3101" t="s">
        <v>5052</v>
      </c>
      <c r="G3101" t="s">
        <v>6159</v>
      </c>
    </row>
    <row r="3102" spans="1:7" x14ac:dyDescent="0.25">
      <c r="A3102" t="s">
        <v>2445</v>
      </c>
      <c r="B3102" s="5">
        <v>41422</v>
      </c>
      <c r="C3102" s="5" t="s">
        <v>5053</v>
      </c>
      <c r="D3102" t="s">
        <v>5053</v>
      </c>
      <c r="G3102" t="s">
        <v>6159</v>
      </c>
    </row>
    <row r="3103" spans="1:7" x14ac:dyDescent="0.25">
      <c r="A3103" t="s">
        <v>2936</v>
      </c>
      <c r="B3103" s="5">
        <v>39644</v>
      </c>
      <c r="C3103" s="5" t="s">
        <v>5054</v>
      </c>
      <c r="D3103" t="s">
        <v>5054</v>
      </c>
      <c r="G3103" t="s">
        <v>6159</v>
      </c>
    </row>
    <row r="3104" spans="1:7" x14ac:dyDescent="0.25">
      <c r="A3104" t="s">
        <v>2934</v>
      </c>
      <c r="B3104" s="5">
        <v>39644</v>
      </c>
      <c r="C3104" s="5" t="s">
        <v>5055</v>
      </c>
      <c r="D3104" t="s">
        <v>5055</v>
      </c>
      <c r="G3104" t="s">
        <v>6159</v>
      </c>
    </row>
    <row r="3105" spans="1:7" x14ac:dyDescent="0.25">
      <c r="A3105" t="s">
        <v>2933</v>
      </c>
      <c r="B3105" s="5">
        <v>39644</v>
      </c>
      <c r="C3105" s="5" t="s">
        <v>5056</v>
      </c>
      <c r="D3105" t="s">
        <v>5056</v>
      </c>
      <c r="G3105" t="s">
        <v>6159</v>
      </c>
    </row>
    <row r="3106" spans="1:7" x14ac:dyDescent="0.25">
      <c r="A3106" t="s">
        <v>2932</v>
      </c>
      <c r="B3106" s="5">
        <v>39644</v>
      </c>
      <c r="C3106" s="5" t="s">
        <v>5057</v>
      </c>
      <c r="D3106" t="s">
        <v>5057</v>
      </c>
      <c r="G3106" t="s">
        <v>6159</v>
      </c>
    </row>
    <row r="3107" spans="1:7" x14ac:dyDescent="0.25">
      <c r="A3107" t="s">
        <v>2813</v>
      </c>
      <c r="B3107" s="5">
        <v>39644</v>
      </c>
      <c r="C3107" s="5" t="s">
        <v>5058</v>
      </c>
      <c r="D3107" t="s">
        <v>5058</v>
      </c>
      <c r="G3107" t="s">
        <v>6159</v>
      </c>
    </row>
    <row r="3108" spans="1:7" x14ac:dyDescent="0.25">
      <c r="A3108" t="s">
        <v>2895</v>
      </c>
      <c r="B3108" s="5">
        <v>40619</v>
      </c>
      <c r="C3108" s="5" t="s">
        <v>5059</v>
      </c>
      <c r="D3108" t="s">
        <v>5059</v>
      </c>
      <c r="G3108" t="s">
        <v>6159</v>
      </c>
    </row>
    <row r="3109" spans="1:7" x14ac:dyDescent="0.25">
      <c r="A3109" t="s">
        <v>2969</v>
      </c>
      <c r="B3109" s="5">
        <v>40619</v>
      </c>
      <c r="C3109" s="5" t="s">
        <v>5060</v>
      </c>
      <c r="D3109" t="s">
        <v>5060</v>
      </c>
      <c r="G3109" t="s">
        <v>6159</v>
      </c>
    </row>
    <row r="3110" spans="1:7" x14ac:dyDescent="0.25">
      <c r="A3110" t="s">
        <v>2927</v>
      </c>
      <c r="B3110" s="5">
        <v>41436</v>
      </c>
      <c r="C3110" s="5" t="s">
        <v>5061</v>
      </c>
      <c r="D3110" t="s">
        <v>5061</v>
      </c>
      <c r="G3110" t="s">
        <v>6159</v>
      </c>
    </row>
    <row r="3111" spans="1:7" x14ac:dyDescent="0.25">
      <c r="A3111" t="s">
        <v>2928</v>
      </c>
      <c r="B3111" s="5">
        <v>39637</v>
      </c>
      <c r="C3111" s="5" t="s">
        <v>5062</v>
      </c>
      <c r="D3111" t="s">
        <v>5062</v>
      </c>
      <c r="G3111" t="s">
        <v>6159</v>
      </c>
    </row>
    <row r="3112" spans="1:7" x14ac:dyDescent="0.25">
      <c r="A3112" t="s">
        <v>2954</v>
      </c>
      <c r="B3112" s="5">
        <v>39637</v>
      </c>
      <c r="C3112" s="5" t="s">
        <v>5063</v>
      </c>
      <c r="D3112" t="s">
        <v>5063</v>
      </c>
      <c r="G3112" t="s">
        <v>6159</v>
      </c>
    </row>
    <row r="3113" spans="1:7" x14ac:dyDescent="0.25">
      <c r="A3113" t="s">
        <v>170</v>
      </c>
      <c r="B3113" s="5">
        <v>39637</v>
      </c>
      <c r="C3113" s="5" t="s">
        <v>5064</v>
      </c>
      <c r="D3113" t="s">
        <v>5064</v>
      </c>
      <c r="G3113" t="s">
        <v>6159</v>
      </c>
    </row>
    <row r="3114" spans="1:7" x14ac:dyDescent="0.25">
      <c r="A3114" t="s">
        <v>2958</v>
      </c>
      <c r="B3114" s="5">
        <v>39637</v>
      </c>
      <c r="C3114" s="5" t="s">
        <v>5065</v>
      </c>
      <c r="D3114" t="s">
        <v>5065</v>
      </c>
      <c r="G3114" t="s">
        <v>6159</v>
      </c>
    </row>
    <row r="3115" spans="1:7" x14ac:dyDescent="0.25">
      <c r="A3115" t="s">
        <v>51</v>
      </c>
      <c r="B3115" s="5">
        <v>39637</v>
      </c>
      <c r="C3115" s="5" t="s">
        <v>5066</v>
      </c>
      <c r="D3115" t="s">
        <v>5066</v>
      </c>
      <c r="G3115" t="s">
        <v>6159</v>
      </c>
    </row>
    <row r="3116" spans="1:7" x14ac:dyDescent="0.25">
      <c r="A3116" t="s">
        <v>197</v>
      </c>
      <c r="B3116" s="5">
        <v>39636</v>
      </c>
      <c r="C3116" s="5" t="s">
        <v>5067</v>
      </c>
      <c r="D3116" t="s">
        <v>5067</v>
      </c>
      <c r="G3116" t="s">
        <v>6159</v>
      </c>
    </row>
    <row r="3117" spans="1:7" x14ac:dyDescent="0.25">
      <c r="A3117" t="s">
        <v>2698</v>
      </c>
      <c r="B3117" s="5">
        <v>39636</v>
      </c>
      <c r="C3117" s="5" t="s">
        <v>5068</v>
      </c>
      <c r="D3117" t="s">
        <v>5068</v>
      </c>
      <c r="G3117" t="s">
        <v>6159</v>
      </c>
    </row>
    <row r="3118" spans="1:7" x14ac:dyDescent="0.25">
      <c r="A3118" t="s">
        <v>2927</v>
      </c>
      <c r="B3118" s="5">
        <v>39636</v>
      </c>
      <c r="C3118" s="5" t="s">
        <v>5069</v>
      </c>
      <c r="D3118" t="s">
        <v>5069</v>
      </c>
      <c r="G3118" t="s">
        <v>6159</v>
      </c>
    </row>
    <row r="3119" spans="1:7" x14ac:dyDescent="0.25">
      <c r="A3119" t="s">
        <v>2929</v>
      </c>
      <c r="B3119" s="5">
        <v>39636</v>
      </c>
      <c r="C3119" s="5" t="s">
        <v>5070</v>
      </c>
      <c r="D3119" t="s">
        <v>5070</v>
      </c>
      <c r="G3119" t="s">
        <v>6159</v>
      </c>
    </row>
    <row r="3120" spans="1:7" x14ac:dyDescent="0.25">
      <c r="A3120" t="s">
        <v>2953</v>
      </c>
      <c r="B3120" s="5">
        <v>39636</v>
      </c>
      <c r="C3120" s="5" t="s">
        <v>5071</v>
      </c>
      <c r="D3120" t="s">
        <v>5071</v>
      </c>
      <c r="G3120" t="s">
        <v>6159</v>
      </c>
    </row>
    <row r="3121" spans="1:7" x14ac:dyDescent="0.25">
      <c r="A3121" t="s">
        <v>2950</v>
      </c>
      <c r="B3121" s="5">
        <v>39636</v>
      </c>
      <c r="C3121" s="5" t="s">
        <v>5072</v>
      </c>
      <c r="D3121" t="s">
        <v>5072</v>
      </c>
      <c r="G3121" t="s">
        <v>6159</v>
      </c>
    </row>
    <row r="3122" spans="1:7" x14ac:dyDescent="0.25">
      <c r="A3122" t="s">
        <v>2445</v>
      </c>
      <c r="B3122" s="5">
        <v>39636</v>
      </c>
      <c r="C3122" s="5" t="s">
        <v>5073</v>
      </c>
      <c r="D3122" t="s">
        <v>5073</v>
      </c>
      <c r="G3122" t="s">
        <v>6159</v>
      </c>
    </row>
    <row r="3123" spans="1:7" x14ac:dyDescent="0.25">
      <c r="A3123" t="s">
        <v>2927</v>
      </c>
      <c r="B3123" s="5">
        <v>41451</v>
      </c>
      <c r="C3123" s="5" t="s">
        <v>5074</v>
      </c>
      <c r="D3123" t="s">
        <v>5074</v>
      </c>
      <c r="G3123" t="s">
        <v>6159</v>
      </c>
    </row>
    <row r="3124" spans="1:7" x14ac:dyDescent="0.25">
      <c r="A3124" t="s">
        <v>2954</v>
      </c>
      <c r="B3124" s="5">
        <v>41452</v>
      </c>
      <c r="C3124" s="5" t="s">
        <v>5075</v>
      </c>
      <c r="D3124" t="s">
        <v>5075</v>
      </c>
      <c r="G3124" t="s">
        <v>6159</v>
      </c>
    </row>
    <row r="3125" spans="1:7" x14ac:dyDescent="0.25">
      <c r="A3125" t="s">
        <v>170</v>
      </c>
      <c r="B3125" s="5">
        <v>41452</v>
      </c>
      <c r="C3125" s="5" t="s">
        <v>5076</v>
      </c>
      <c r="D3125" t="s">
        <v>5076</v>
      </c>
      <c r="G3125" t="s">
        <v>6159</v>
      </c>
    </row>
    <row r="3126" spans="1:7" x14ac:dyDescent="0.25">
      <c r="A3126" t="s">
        <v>17</v>
      </c>
      <c r="B3126" s="5">
        <v>41452</v>
      </c>
      <c r="C3126" s="5" t="s">
        <v>5077</v>
      </c>
      <c r="D3126" t="s">
        <v>5077</v>
      </c>
      <c r="G3126" t="s">
        <v>6159</v>
      </c>
    </row>
    <row r="3127" spans="1:7" x14ac:dyDescent="0.25">
      <c r="A3127" t="s">
        <v>2203</v>
      </c>
      <c r="B3127" s="5">
        <v>41452</v>
      </c>
      <c r="C3127" s="5" t="s">
        <v>5078</v>
      </c>
      <c r="D3127" t="s">
        <v>5078</v>
      </c>
      <c r="G3127" t="s">
        <v>6159</v>
      </c>
    </row>
    <row r="3128" spans="1:7" x14ac:dyDescent="0.25">
      <c r="A3128" t="s">
        <v>2953</v>
      </c>
      <c r="B3128" s="5">
        <v>41492</v>
      </c>
      <c r="C3128" s="5" t="s">
        <v>5079</v>
      </c>
      <c r="D3128" t="s">
        <v>5079</v>
      </c>
      <c r="G3128" t="s">
        <v>6159</v>
      </c>
    </row>
    <row r="3129" spans="1:7" x14ac:dyDescent="0.25">
      <c r="A3129" t="s">
        <v>2970</v>
      </c>
      <c r="B3129" s="5">
        <v>40332</v>
      </c>
      <c r="C3129" s="5" t="s">
        <v>5080</v>
      </c>
      <c r="D3129" t="s">
        <v>5080</v>
      </c>
      <c r="G3129" t="s">
        <v>6159</v>
      </c>
    </row>
    <row r="3130" spans="1:7" x14ac:dyDescent="0.25">
      <c r="A3130" t="s">
        <v>104</v>
      </c>
      <c r="B3130" s="5">
        <v>40331</v>
      </c>
      <c r="C3130" s="5" t="s">
        <v>5081</v>
      </c>
      <c r="D3130" t="s">
        <v>5081</v>
      </c>
      <c r="G3130" t="s">
        <v>6159</v>
      </c>
    </row>
    <row r="3131" spans="1:7" x14ac:dyDescent="0.25">
      <c r="A3131" t="s">
        <v>2971</v>
      </c>
      <c r="B3131" s="5">
        <v>40331</v>
      </c>
      <c r="C3131" s="5" t="s">
        <v>5082</v>
      </c>
      <c r="D3131" t="s">
        <v>5082</v>
      </c>
      <c r="G3131" t="s">
        <v>6159</v>
      </c>
    </row>
    <row r="3132" spans="1:7" x14ac:dyDescent="0.25">
      <c r="A3132" t="s">
        <v>2838</v>
      </c>
      <c r="B3132" s="5">
        <v>40330</v>
      </c>
      <c r="C3132" s="5" t="s">
        <v>5083</v>
      </c>
      <c r="D3132" t="s">
        <v>5083</v>
      </c>
      <c r="G3132" t="s">
        <v>6159</v>
      </c>
    </row>
    <row r="3133" spans="1:7" x14ac:dyDescent="0.25">
      <c r="A3133" t="s">
        <v>2929</v>
      </c>
      <c r="B3133" s="5">
        <v>41463</v>
      </c>
      <c r="C3133" s="5" t="s">
        <v>5084</v>
      </c>
      <c r="D3133" t="s">
        <v>5084</v>
      </c>
      <c r="G3133" t="s">
        <v>6159</v>
      </c>
    </row>
    <row r="3134" spans="1:7" x14ac:dyDescent="0.25">
      <c r="A3134" t="s">
        <v>2951</v>
      </c>
      <c r="B3134" s="5">
        <v>40295</v>
      </c>
      <c r="C3134" s="5" t="s">
        <v>5085</v>
      </c>
      <c r="D3134" t="s">
        <v>5085</v>
      </c>
      <c r="G3134" t="s">
        <v>6159</v>
      </c>
    </row>
    <row r="3135" spans="1:7" x14ac:dyDescent="0.25">
      <c r="A3135" t="s">
        <v>2972</v>
      </c>
      <c r="B3135" s="5">
        <v>40295</v>
      </c>
      <c r="C3135" s="5" t="s">
        <v>5086</v>
      </c>
      <c r="D3135" t="s">
        <v>5086</v>
      </c>
      <c r="G3135" t="s">
        <v>6159</v>
      </c>
    </row>
    <row r="3136" spans="1:7" x14ac:dyDescent="0.25">
      <c r="A3136" t="s">
        <v>68</v>
      </c>
      <c r="B3136" s="5">
        <v>40295</v>
      </c>
      <c r="C3136" s="5" t="s">
        <v>5087</v>
      </c>
      <c r="D3136" t="s">
        <v>5087</v>
      </c>
      <c r="G3136" t="s">
        <v>6159</v>
      </c>
    </row>
    <row r="3137" spans="1:7" x14ac:dyDescent="0.25">
      <c r="A3137" t="s">
        <v>104</v>
      </c>
      <c r="B3137" s="5">
        <v>40295</v>
      </c>
      <c r="C3137" s="5" t="s">
        <v>5088</v>
      </c>
      <c r="D3137" t="s">
        <v>5088</v>
      </c>
      <c r="G3137" t="s">
        <v>6159</v>
      </c>
    </row>
    <row r="3138" spans="1:7" x14ac:dyDescent="0.25">
      <c r="A3138" t="s">
        <v>2901</v>
      </c>
      <c r="B3138" s="5">
        <v>40294</v>
      </c>
      <c r="C3138" s="5" t="s">
        <v>5089</v>
      </c>
      <c r="D3138" t="s">
        <v>5089</v>
      </c>
      <c r="G3138" t="s">
        <v>6159</v>
      </c>
    </row>
    <row r="3139" spans="1:7" x14ac:dyDescent="0.25">
      <c r="A3139" t="s">
        <v>2970</v>
      </c>
      <c r="B3139" s="5">
        <v>40294</v>
      </c>
      <c r="C3139" s="5" t="s">
        <v>5090</v>
      </c>
      <c r="D3139" t="s">
        <v>5090</v>
      </c>
      <c r="G3139" t="s">
        <v>6159</v>
      </c>
    </row>
    <row r="3140" spans="1:7" x14ac:dyDescent="0.25">
      <c r="A3140" t="s">
        <v>2926</v>
      </c>
      <c r="B3140" s="5">
        <v>40294</v>
      </c>
      <c r="C3140" s="5" t="s">
        <v>5091</v>
      </c>
      <c r="D3140" t="s">
        <v>5091</v>
      </c>
      <c r="G3140" t="s">
        <v>6159</v>
      </c>
    </row>
    <row r="3141" spans="1:7" x14ac:dyDescent="0.25">
      <c r="A3141" t="s">
        <v>2973</v>
      </c>
      <c r="B3141" s="5">
        <v>40294</v>
      </c>
      <c r="C3141" s="5" t="s">
        <v>5092</v>
      </c>
      <c r="D3141" t="s">
        <v>5092</v>
      </c>
      <c r="G3141" t="s">
        <v>6159</v>
      </c>
    </row>
    <row r="3142" spans="1:7" x14ac:dyDescent="0.25">
      <c r="A3142" t="s">
        <v>2203</v>
      </c>
      <c r="B3142" s="5">
        <v>40430</v>
      </c>
      <c r="C3142" s="5" t="s">
        <v>5093</v>
      </c>
      <c r="D3142" t="s">
        <v>5093</v>
      </c>
      <c r="G3142" t="s">
        <v>6159</v>
      </c>
    </row>
    <row r="3143" spans="1:7" x14ac:dyDescent="0.25">
      <c r="A3143" t="s">
        <v>2951</v>
      </c>
      <c r="B3143" s="5">
        <v>40283</v>
      </c>
      <c r="C3143" s="5" t="s">
        <v>5094</v>
      </c>
      <c r="D3143" t="s">
        <v>5094</v>
      </c>
      <c r="G3143" t="s">
        <v>6159</v>
      </c>
    </row>
    <row r="3144" spans="1:7" x14ac:dyDescent="0.25">
      <c r="A3144" t="s">
        <v>2817</v>
      </c>
      <c r="B3144" s="5">
        <v>40283</v>
      </c>
      <c r="C3144" s="5" t="s">
        <v>5095</v>
      </c>
      <c r="D3144" t="s">
        <v>5095</v>
      </c>
      <c r="G3144" t="s">
        <v>6159</v>
      </c>
    </row>
    <row r="3145" spans="1:7" x14ac:dyDescent="0.25">
      <c r="A3145" t="s">
        <v>68</v>
      </c>
      <c r="B3145" s="5">
        <v>40283</v>
      </c>
      <c r="C3145" s="5" t="s">
        <v>5096</v>
      </c>
      <c r="D3145" t="s">
        <v>5096</v>
      </c>
      <c r="G3145" t="s">
        <v>6159</v>
      </c>
    </row>
    <row r="3146" spans="1:7" x14ac:dyDescent="0.25">
      <c r="A3146" t="s">
        <v>2816</v>
      </c>
      <c r="B3146" s="5">
        <v>40282</v>
      </c>
      <c r="C3146" s="5" t="s">
        <v>5097</v>
      </c>
      <c r="D3146" t="s">
        <v>5097</v>
      </c>
      <c r="G3146" t="s">
        <v>6159</v>
      </c>
    </row>
    <row r="3147" spans="1:7" x14ac:dyDescent="0.25">
      <c r="A3147" t="s">
        <v>2901</v>
      </c>
      <c r="B3147" s="5">
        <v>40282</v>
      </c>
      <c r="C3147" s="5" t="s">
        <v>5098</v>
      </c>
      <c r="D3147" t="s">
        <v>5098</v>
      </c>
      <c r="G3147" t="s">
        <v>6159</v>
      </c>
    </row>
    <row r="3148" spans="1:7" x14ac:dyDescent="0.25">
      <c r="A3148" t="s">
        <v>2970</v>
      </c>
      <c r="B3148" s="5">
        <v>40282</v>
      </c>
      <c r="C3148" s="5" t="s">
        <v>5099</v>
      </c>
      <c r="D3148" t="s">
        <v>5099</v>
      </c>
      <c r="G3148" t="s">
        <v>6159</v>
      </c>
    </row>
    <row r="3149" spans="1:7" x14ac:dyDescent="0.25">
      <c r="A3149" t="s">
        <v>2926</v>
      </c>
      <c r="B3149" s="5">
        <v>40282</v>
      </c>
      <c r="C3149" s="5" t="s">
        <v>5100</v>
      </c>
      <c r="D3149" t="s">
        <v>5100</v>
      </c>
      <c r="G3149" t="s">
        <v>6159</v>
      </c>
    </row>
    <row r="3150" spans="1:7" x14ac:dyDescent="0.25">
      <c r="A3150" t="s">
        <v>2974</v>
      </c>
      <c r="B3150" s="5">
        <v>40282</v>
      </c>
      <c r="C3150" s="5" t="s">
        <v>5101</v>
      </c>
      <c r="D3150" t="s">
        <v>5101</v>
      </c>
      <c r="G3150" t="s">
        <v>6159</v>
      </c>
    </row>
    <row r="3151" spans="1:7" x14ac:dyDescent="0.25">
      <c r="A3151" t="s">
        <v>2814</v>
      </c>
      <c r="B3151" s="5">
        <v>40254</v>
      </c>
      <c r="C3151" s="5" t="s">
        <v>5102</v>
      </c>
      <c r="D3151" t="s">
        <v>5102</v>
      </c>
      <c r="G3151" t="s">
        <v>6159</v>
      </c>
    </row>
    <row r="3152" spans="1:7" x14ac:dyDescent="0.25">
      <c r="A3152" t="s">
        <v>2812</v>
      </c>
      <c r="B3152" s="5">
        <v>40254</v>
      </c>
      <c r="C3152" s="5" t="s">
        <v>5103</v>
      </c>
      <c r="D3152" t="s">
        <v>5103</v>
      </c>
      <c r="G3152" t="s">
        <v>6159</v>
      </c>
    </row>
    <row r="3153" spans="1:7" x14ac:dyDescent="0.25">
      <c r="A3153" t="s">
        <v>2812</v>
      </c>
      <c r="B3153" s="5">
        <v>40221</v>
      </c>
      <c r="C3153" s="5" t="s">
        <v>5104</v>
      </c>
      <c r="D3153" t="s">
        <v>5104</v>
      </c>
      <c r="G3153" t="s">
        <v>6159</v>
      </c>
    </row>
    <row r="3154" spans="1:7" x14ac:dyDescent="0.25">
      <c r="A3154" t="s">
        <v>2841</v>
      </c>
      <c r="B3154" s="5">
        <v>40221</v>
      </c>
      <c r="C3154" s="5" t="s">
        <v>5105</v>
      </c>
      <c r="D3154" t="s">
        <v>5105</v>
      </c>
      <c r="G3154" t="s">
        <v>6159</v>
      </c>
    </row>
    <row r="3155" spans="1:7" x14ac:dyDescent="0.25">
      <c r="A3155" t="s">
        <v>2841</v>
      </c>
      <c r="B3155" s="5">
        <v>40211</v>
      </c>
      <c r="C3155" s="5" t="s">
        <v>5106</v>
      </c>
      <c r="D3155" t="s">
        <v>5106</v>
      </c>
      <c r="G3155" t="s">
        <v>6159</v>
      </c>
    </row>
    <row r="3156" spans="1:7" x14ac:dyDescent="0.25">
      <c r="A3156" t="s">
        <v>2812</v>
      </c>
      <c r="B3156" s="5">
        <v>40211</v>
      </c>
      <c r="C3156" s="5" t="s">
        <v>5107</v>
      </c>
      <c r="D3156" t="s">
        <v>5107</v>
      </c>
      <c r="G3156" t="s">
        <v>6159</v>
      </c>
    </row>
    <row r="3157" spans="1:7" x14ac:dyDescent="0.25">
      <c r="A3157" t="s">
        <v>2958</v>
      </c>
      <c r="B3157" s="5">
        <v>40372</v>
      </c>
      <c r="C3157" s="5" t="s">
        <v>5108</v>
      </c>
      <c r="D3157" t="s">
        <v>5108</v>
      </c>
      <c r="G3157" t="s">
        <v>6159</v>
      </c>
    </row>
    <row r="3158" spans="1:7" x14ac:dyDescent="0.25">
      <c r="A3158" t="s">
        <v>2901</v>
      </c>
      <c r="B3158" s="5">
        <v>40092</v>
      </c>
      <c r="C3158" s="5" t="s">
        <v>5109</v>
      </c>
      <c r="D3158" t="s">
        <v>5109</v>
      </c>
      <c r="G3158" t="s">
        <v>6159</v>
      </c>
    </row>
    <row r="3159" spans="1:7" x14ac:dyDescent="0.25">
      <c r="A3159" t="s">
        <v>2817</v>
      </c>
      <c r="B3159" s="5">
        <v>40091</v>
      </c>
      <c r="C3159" s="5" t="s">
        <v>5110</v>
      </c>
      <c r="D3159" t="s">
        <v>5110</v>
      </c>
      <c r="G3159" t="s">
        <v>6159</v>
      </c>
    </row>
    <row r="3160" spans="1:7" x14ac:dyDescent="0.25">
      <c r="A3160" t="s">
        <v>104</v>
      </c>
      <c r="B3160" s="5">
        <v>40091</v>
      </c>
      <c r="C3160" s="5" t="s">
        <v>5111</v>
      </c>
      <c r="D3160" t="s">
        <v>5111</v>
      </c>
      <c r="G3160" t="s">
        <v>6159</v>
      </c>
    </row>
    <row r="3161" spans="1:7" x14ac:dyDescent="0.25">
      <c r="A3161" t="s">
        <v>68</v>
      </c>
      <c r="B3161" s="5">
        <v>40091</v>
      </c>
      <c r="C3161" s="5" t="s">
        <v>5112</v>
      </c>
      <c r="D3161" t="s">
        <v>5112</v>
      </c>
      <c r="G3161" t="s">
        <v>6159</v>
      </c>
    </row>
    <row r="3162" spans="1:7" x14ac:dyDescent="0.25">
      <c r="A3162" t="s">
        <v>2445</v>
      </c>
      <c r="B3162" s="5">
        <v>40086</v>
      </c>
      <c r="C3162" s="5" t="s">
        <v>5113</v>
      </c>
      <c r="D3162" t="s">
        <v>5113</v>
      </c>
      <c r="G3162" t="s">
        <v>6159</v>
      </c>
    </row>
    <row r="3163" spans="1:7" x14ac:dyDescent="0.25">
      <c r="A3163" t="s">
        <v>2953</v>
      </c>
      <c r="B3163" s="5">
        <v>40086</v>
      </c>
      <c r="C3163" s="5" t="s">
        <v>5114</v>
      </c>
      <c r="D3163" t="s">
        <v>5114</v>
      </c>
      <c r="G3163" t="s">
        <v>6159</v>
      </c>
    </row>
    <row r="3164" spans="1:7" x14ac:dyDescent="0.25">
      <c r="A3164" t="s">
        <v>2698</v>
      </c>
      <c r="B3164" s="5">
        <v>40086</v>
      </c>
      <c r="C3164" s="5" t="s">
        <v>5115</v>
      </c>
      <c r="D3164" t="s">
        <v>5115</v>
      </c>
      <c r="G3164" t="s">
        <v>6159</v>
      </c>
    </row>
    <row r="3165" spans="1:7" x14ac:dyDescent="0.25">
      <c r="A3165" t="s">
        <v>2954</v>
      </c>
      <c r="B3165" s="5">
        <v>40086</v>
      </c>
      <c r="C3165" s="5" t="s">
        <v>5116</v>
      </c>
      <c r="D3165" t="s">
        <v>5116</v>
      </c>
      <c r="G3165" t="s">
        <v>6159</v>
      </c>
    </row>
    <row r="3166" spans="1:7" x14ac:dyDescent="0.25">
      <c r="A3166" t="s">
        <v>170</v>
      </c>
      <c r="B3166" s="5">
        <v>40086</v>
      </c>
      <c r="C3166" s="5" t="s">
        <v>5117</v>
      </c>
      <c r="D3166" t="s">
        <v>5117</v>
      </c>
      <c r="G3166" t="s">
        <v>6159</v>
      </c>
    </row>
    <row r="3167" spans="1:7" x14ac:dyDescent="0.25">
      <c r="A3167" t="s">
        <v>2812</v>
      </c>
      <c r="B3167" s="5">
        <v>40080</v>
      </c>
      <c r="C3167" s="5" t="s">
        <v>5118</v>
      </c>
      <c r="D3167" t="s">
        <v>5118</v>
      </c>
      <c r="G3167" t="s">
        <v>6159</v>
      </c>
    </row>
    <row r="3168" spans="1:7" x14ac:dyDescent="0.25">
      <c r="A3168" t="s">
        <v>331</v>
      </c>
      <c r="B3168" s="5">
        <v>40051</v>
      </c>
      <c r="C3168" s="5" t="s">
        <v>5119</v>
      </c>
      <c r="D3168" t="s">
        <v>5119</v>
      </c>
      <c r="G3168" t="s">
        <v>6159</v>
      </c>
    </row>
    <row r="3169" spans="1:7" x14ac:dyDescent="0.25">
      <c r="A3169" t="s">
        <v>2975</v>
      </c>
      <c r="B3169" s="5">
        <v>40051</v>
      </c>
      <c r="C3169" s="5" t="s">
        <v>5120</v>
      </c>
      <c r="D3169" t="s">
        <v>5120</v>
      </c>
      <c r="G3169" t="s">
        <v>6159</v>
      </c>
    </row>
    <row r="3170" spans="1:7" x14ac:dyDescent="0.25">
      <c r="A3170" t="s">
        <v>2203</v>
      </c>
      <c r="B3170" s="5">
        <v>40039</v>
      </c>
      <c r="C3170" s="5" t="s">
        <v>5121</v>
      </c>
      <c r="D3170" t="s">
        <v>5121</v>
      </c>
      <c r="G3170" t="s">
        <v>6159</v>
      </c>
    </row>
    <row r="3171" spans="1:7" x14ac:dyDescent="0.25">
      <c r="A3171" t="s">
        <v>17</v>
      </c>
      <c r="B3171" s="5">
        <v>40039</v>
      </c>
      <c r="C3171" s="5" t="s">
        <v>5122</v>
      </c>
      <c r="D3171" t="s">
        <v>5122</v>
      </c>
      <c r="G3171" t="s">
        <v>6159</v>
      </c>
    </row>
    <row r="3172" spans="1:7" x14ac:dyDescent="0.25">
      <c r="A3172" t="s">
        <v>51</v>
      </c>
      <c r="B3172" s="5">
        <v>40039</v>
      </c>
      <c r="C3172" s="5" t="s">
        <v>5123</v>
      </c>
      <c r="D3172" t="s">
        <v>5123</v>
      </c>
      <c r="G3172" t="s">
        <v>6159</v>
      </c>
    </row>
    <row r="3173" spans="1:7" x14ac:dyDescent="0.25">
      <c r="A3173" t="s">
        <v>2958</v>
      </c>
      <c r="B3173" s="5">
        <v>40039</v>
      </c>
      <c r="C3173" s="5" t="s">
        <v>5124</v>
      </c>
      <c r="D3173" t="s">
        <v>5124</v>
      </c>
      <c r="G3173" t="s">
        <v>6159</v>
      </c>
    </row>
    <row r="3174" spans="1:7" x14ac:dyDescent="0.25">
      <c r="A3174" t="s">
        <v>170</v>
      </c>
      <c r="B3174" s="5">
        <v>40039</v>
      </c>
      <c r="C3174" s="5" t="s">
        <v>5125</v>
      </c>
      <c r="D3174" t="s">
        <v>5125</v>
      </c>
      <c r="G3174" t="s">
        <v>6159</v>
      </c>
    </row>
    <row r="3175" spans="1:7" x14ac:dyDescent="0.25">
      <c r="A3175" t="s">
        <v>2954</v>
      </c>
      <c r="B3175" s="5">
        <v>40039</v>
      </c>
      <c r="C3175" s="5" t="s">
        <v>5126</v>
      </c>
      <c r="D3175" t="s">
        <v>5126</v>
      </c>
      <c r="G3175" t="s">
        <v>6159</v>
      </c>
    </row>
    <row r="3176" spans="1:7" x14ac:dyDescent="0.25">
      <c r="A3176" t="s">
        <v>2928</v>
      </c>
      <c r="B3176" s="5">
        <v>40039</v>
      </c>
      <c r="C3176" s="5" t="s">
        <v>5127</v>
      </c>
      <c r="D3176" t="s">
        <v>5127</v>
      </c>
      <c r="G3176" t="s">
        <v>6159</v>
      </c>
    </row>
    <row r="3177" spans="1:7" x14ac:dyDescent="0.25">
      <c r="A3177" t="s">
        <v>2445</v>
      </c>
      <c r="B3177" s="5">
        <v>40039</v>
      </c>
      <c r="C3177" s="5" t="s">
        <v>5128</v>
      </c>
      <c r="D3177" t="s">
        <v>5128</v>
      </c>
      <c r="G3177" t="s">
        <v>6159</v>
      </c>
    </row>
    <row r="3178" spans="1:7" x14ac:dyDescent="0.25">
      <c r="A3178" t="s">
        <v>2929</v>
      </c>
      <c r="B3178" s="5">
        <v>40038</v>
      </c>
      <c r="C3178" s="5" t="s">
        <v>5129</v>
      </c>
      <c r="D3178" t="s">
        <v>5129</v>
      </c>
      <c r="G3178" t="s">
        <v>6159</v>
      </c>
    </row>
    <row r="3179" spans="1:7" x14ac:dyDescent="0.25">
      <c r="A3179" t="s">
        <v>2698</v>
      </c>
      <c r="B3179" s="5">
        <v>40038</v>
      </c>
      <c r="C3179" s="5" t="s">
        <v>5130</v>
      </c>
      <c r="D3179" t="s">
        <v>5130</v>
      </c>
      <c r="G3179" t="s">
        <v>6159</v>
      </c>
    </row>
    <row r="3180" spans="1:7" x14ac:dyDescent="0.25">
      <c r="A3180" t="s">
        <v>197</v>
      </c>
      <c r="B3180" s="5">
        <v>40038</v>
      </c>
      <c r="C3180" s="5" t="s">
        <v>5131</v>
      </c>
      <c r="D3180" t="s">
        <v>5131</v>
      </c>
      <c r="G3180" t="s">
        <v>6159</v>
      </c>
    </row>
    <row r="3181" spans="1:7" x14ac:dyDescent="0.25">
      <c r="A3181" t="s">
        <v>2927</v>
      </c>
      <c r="B3181" s="5">
        <v>40038</v>
      </c>
      <c r="C3181" s="5" t="s">
        <v>5132</v>
      </c>
      <c r="D3181" t="s">
        <v>5132</v>
      </c>
      <c r="G3181" t="s">
        <v>6159</v>
      </c>
    </row>
    <row r="3182" spans="1:7" x14ac:dyDescent="0.25">
      <c r="A3182" t="s">
        <v>2953</v>
      </c>
      <c r="B3182" s="5">
        <v>40038</v>
      </c>
      <c r="C3182" s="5" t="s">
        <v>5133</v>
      </c>
      <c r="D3182" t="s">
        <v>5133</v>
      </c>
      <c r="G3182" t="s">
        <v>6159</v>
      </c>
    </row>
    <row r="3183" spans="1:7" x14ac:dyDescent="0.25">
      <c r="A3183" t="s">
        <v>2950</v>
      </c>
      <c r="B3183" s="5">
        <v>40038</v>
      </c>
      <c r="C3183" s="5" t="s">
        <v>5134</v>
      </c>
      <c r="D3183" t="s">
        <v>5134</v>
      </c>
      <c r="G3183" t="s">
        <v>6159</v>
      </c>
    </row>
    <row r="3184" spans="1:7" x14ac:dyDescent="0.25">
      <c r="A3184" t="s">
        <v>2836</v>
      </c>
      <c r="B3184" s="5">
        <v>41652</v>
      </c>
      <c r="C3184" s="5" t="s">
        <v>5135</v>
      </c>
      <c r="D3184" t="s">
        <v>5135</v>
      </c>
      <c r="G3184" t="s">
        <v>6159</v>
      </c>
    </row>
    <row r="3185" spans="1:7" x14ac:dyDescent="0.25">
      <c r="A3185" t="s">
        <v>2812</v>
      </c>
      <c r="B3185" s="5">
        <v>40001</v>
      </c>
      <c r="C3185" s="5" t="s">
        <v>5136</v>
      </c>
      <c r="D3185" t="s">
        <v>5136</v>
      </c>
      <c r="G3185" t="s">
        <v>6159</v>
      </c>
    </row>
    <row r="3186" spans="1:7" x14ac:dyDescent="0.25">
      <c r="A3186" t="s">
        <v>186</v>
      </c>
      <c r="B3186" s="5">
        <v>40716</v>
      </c>
      <c r="C3186" s="5" t="s">
        <v>5137</v>
      </c>
      <c r="D3186" t="s">
        <v>5137</v>
      </c>
      <c r="G3186" t="s">
        <v>6159</v>
      </c>
    </row>
    <row r="3187" spans="1:7" x14ac:dyDescent="0.25">
      <c r="A3187" t="s">
        <v>197</v>
      </c>
      <c r="B3187" s="5">
        <v>41891</v>
      </c>
      <c r="C3187" s="5" t="s">
        <v>5138</v>
      </c>
      <c r="D3187" t="s">
        <v>5138</v>
      </c>
      <c r="G3187" t="s">
        <v>6159</v>
      </c>
    </row>
    <row r="3188" spans="1:7" x14ac:dyDescent="0.25">
      <c r="A3188" t="s">
        <v>2976</v>
      </c>
      <c r="B3188" s="5">
        <v>40674</v>
      </c>
      <c r="C3188" s="5" t="s">
        <v>5139</v>
      </c>
      <c r="D3188" t="s">
        <v>5139</v>
      </c>
      <c r="G3188" t="s">
        <v>6159</v>
      </c>
    </row>
    <row r="3189" spans="1:7" x14ac:dyDescent="0.25">
      <c r="A3189" t="s">
        <v>170</v>
      </c>
      <c r="B3189" s="5">
        <v>41878</v>
      </c>
      <c r="C3189" s="5" t="s">
        <v>5140</v>
      </c>
      <c r="D3189" t="s">
        <v>5140</v>
      </c>
      <c r="G3189" t="s">
        <v>6159</v>
      </c>
    </row>
    <row r="3190" spans="1:7" x14ac:dyDescent="0.25">
      <c r="A3190" t="s">
        <v>2203</v>
      </c>
      <c r="B3190" s="5">
        <v>41543</v>
      </c>
      <c r="C3190" s="5" t="s">
        <v>5141</v>
      </c>
      <c r="D3190" t="s">
        <v>5141</v>
      </c>
      <c r="G3190" t="s">
        <v>6159</v>
      </c>
    </row>
    <row r="3191" spans="1:7" x14ac:dyDescent="0.25">
      <c r="A3191" t="s">
        <v>2445</v>
      </c>
      <c r="B3191" s="5">
        <v>41877</v>
      </c>
      <c r="C3191" s="5" t="s">
        <v>5142</v>
      </c>
      <c r="D3191" t="s">
        <v>5142</v>
      </c>
      <c r="G3191" t="s">
        <v>6159</v>
      </c>
    </row>
    <row r="3192" spans="1:7" x14ac:dyDescent="0.25">
      <c r="A3192" t="s">
        <v>2698</v>
      </c>
      <c r="B3192" s="5">
        <v>41542</v>
      </c>
      <c r="C3192" s="5" t="s">
        <v>5143</v>
      </c>
      <c r="D3192" t="s">
        <v>5143</v>
      </c>
      <c r="G3192" t="s">
        <v>6159</v>
      </c>
    </row>
    <row r="3193" spans="1:7" x14ac:dyDescent="0.25">
      <c r="A3193" t="s">
        <v>2927</v>
      </c>
      <c r="B3193" s="5">
        <v>41542</v>
      </c>
      <c r="C3193" s="5" t="s">
        <v>5144</v>
      </c>
      <c r="D3193" t="s">
        <v>5144</v>
      </c>
      <c r="G3193" t="s">
        <v>6159</v>
      </c>
    </row>
    <row r="3194" spans="1:7" x14ac:dyDescent="0.25">
      <c r="A3194" t="s">
        <v>2445</v>
      </c>
      <c r="B3194" s="5">
        <v>41542</v>
      </c>
      <c r="C3194" s="5" t="s">
        <v>5145</v>
      </c>
      <c r="D3194" t="s">
        <v>5145</v>
      </c>
      <c r="G3194" t="s">
        <v>6159</v>
      </c>
    </row>
    <row r="3195" spans="1:7" x14ac:dyDescent="0.25">
      <c r="A3195" t="s">
        <v>2950</v>
      </c>
      <c r="B3195" s="5">
        <v>41856</v>
      </c>
      <c r="C3195" s="5" t="s">
        <v>5146</v>
      </c>
      <c r="D3195" t="s">
        <v>5146</v>
      </c>
      <c r="G3195" t="s">
        <v>6159</v>
      </c>
    </row>
    <row r="3196" spans="1:7" x14ac:dyDescent="0.25">
      <c r="A3196" t="s">
        <v>2698</v>
      </c>
      <c r="B3196" s="5">
        <v>41842</v>
      </c>
      <c r="C3196" s="5" t="s">
        <v>5147</v>
      </c>
      <c r="D3196" t="s">
        <v>5147</v>
      </c>
      <c r="G3196" t="s">
        <v>6159</v>
      </c>
    </row>
    <row r="3197" spans="1:7" x14ac:dyDescent="0.25">
      <c r="A3197" t="s">
        <v>2977</v>
      </c>
      <c r="B3197" s="5">
        <v>40619</v>
      </c>
      <c r="C3197" s="5" t="s">
        <v>5148</v>
      </c>
      <c r="D3197" t="s">
        <v>5148</v>
      </c>
      <c r="G3197" t="s">
        <v>6159</v>
      </c>
    </row>
    <row r="3198" spans="1:7" x14ac:dyDescent="0.25">
      <c r="A3198" t="s">
        <v>2926</v>
      </c>
      <c r="B3198" s="5">
        <v>40619</v>
      </c>
      <c r="C3198" s="5" t="s">
        <v>5149</v>
      </c>
      <c r="D3198" t="s">
        <v>5149</v>
      </c>
      <c r="G3198" t="s">
        <v>6159</v>
      </c>
    </row>
    <row r="3199" spans="1:7" x14ac:dyDescent="0.25">
      <c r="A3199" t="s">
        <v>51</v>
      </c>
      <c r="B3199" s="5">
        <v>41528</v>
      </c>
      <c r="C3199" s="5" t="s">
        <v>5150</v>
      </c>
      <c r="D3199" t="s">
        <v>5150</v>
      </c>
      <c r="G3199" t="s">
        <v>6159</v>
      </c>
    </row>
    <row r="3200" spans="1:7" x14ac:dyDescent="0.25">
      <c r="A3200" t="s">
        <v>2927</v>
      </c>
      <c r="B3200" s="5">
        <v>41527</v>
      </c>
      <c r="C3200" s="5" t="s">
        <v>5151</v>
      </c>
      <c r="D3200" t="s">
        <v>5151</v>
      </c>
      <c r="G3200" t="s">
        <v>6159</v>
      </c>
    </row>
    <row r="3201" spans="1:7" x14ac:dyDescent="0.25">
      <c r="A3201" t="s">
        <v>2929</v>
      </c>
      <c r="B3201" s="5">
        <v>41527</v>
      </c>
      <c r="C3201" s="5" t="s">
        <v>5152</v>
      </c>
      <c r="D3201" t="s">
        <v>5152</v>
      </c>
      <c r="G3201" t="s">
        <v>6159</v>
      </c>
    </row>
    <row r="3202" spans="1:7" x14ac:dyDescent="0.25">
      <c r="A3202" t="s">
        <v>2950</v>
      </c>
      <c r="B3202" s="5">
        <v>40792</v>
      </c>
      <c r="C3202" s="5" t="s">
        <v>5153</v>
      </c>
      <c r="D3202" t="s">
        <v>5153</v>
      </c>
      <c r="G3202" t="s">
        <v>6159</v>
      </c>
    </row>
    <row r="3203" spans="1:7" x14ac:dyDescent="0.25">
      <c r="A3203" t="s">
        <v>2929</v>
      </c>
      <c r="B3203" s="5">
        <v>40792</v>
      </c>
      <c r="C3203" s="5" t="s">
        <v>5154</v>
      </c>
      <c r="D3203" t="s">
        <v>5154</v>
      </c>
      <c r="G3203" t="s">
        <v>6159</v>
      </c>
    </row>
    <row r="3204" spans="1:7" x14ac:dyDescent="0.25">
      <c r="A3204" t="s">
        <v>2836</v>
      </c>
      <c r="B3204" s="5">
        <v>41512</v>
      </c>
      <c r="C3204" s="5" t="s">
        <v>5155</v>
      </c>
      <c r="D3204" t="s">
        <v>5155</v>
      </c>
      <c r="G3204" t="s">
        <v>6159</v>
      </c>
    </row>
    <row r="3205" spans="1:7" x14ac:dyDescent="0.25">
      <c r="A3205" t="s">
        <v>2976</v>
      </c>
      <c r="B3205" s="5">
        <v>40522</v>
      </c>
      <c r="C3205" s="5" t="s">
        <v>5156</v>
      </c>
      <c r="D3205" t="s">
        <v>5156</v>
      </c>
      <c r="G3205" t="s">
        <v>6159</v>
      </c>
    </row>
    <row r="3206" spans="1:7" x14ac:dyDescent="0.25">
      <c r="A3206" t="s">
        <v>197</v>
      </c>
      <c r="B3206" s="5">
        <v>41507</v>
      </c>
      <c r="C3206" s="5" t="s">
        <v>5157</v>
      </c>
      <c r="D3206" t="s">
        <v>5157</v>
      </c>
      <c r="G3206" t="s">
        <v>6159</v>
      </c>
    </row>
    <row r="3207" spans="1:7" x14ac:dyDescent="0.25">
      <c r="A3207" t="s">
        <v>2445</v>
      </c>
      <c r="B3207" s="5">
        <v>41507</v>
      </c>
      <c r="C3207" s="5" t="s">
        <v>5158</v>
      </c>
      <c r="D3207" t="s">
        <v>5158</v>
      </c>
      <c r="G3207" t="s">
        <v>6159</v>
      </c>
    </row>
    <row r="3208" spans="1:7" x14ac:dyDescent="0.25">
      <c r="A3208" t="s">
        <v>1817</v>
      </c>
      <c r="B3208" s="5">
        <v>40501</v>
      </c>
      <c r="C3208" s="5" t="s">
        <v>5159</v>
      </c>
      <c r="D3208" t="s">
        <v>5159</v>
      </c>
      <c r="G3208" t="s">
        <v>6159</v>
      </c>
    </row>
    <row r="3209" spans="1:7" x14ac:dyDescent="0.25">
      <c r="A3209" t="s">
        <v>17</v>
      </c>
      <c r="B3209" s="5">
        <v>41493</v>
      </c>
      <c r="C3209" s="5" t="s">
        <v>5160</v>
      </c>
      <c r="D3209" t="s">
        <v>5160</v>
      </c>
      <c r="G3209" t="s">
        <v>6159</v>
      </c>
    </row>
    <row r="3210" spans="1:7" x14ac:dyDescent="0.25">
      <c r="A3210" t="s">
        <v>2203</v>
      </c>
      <c r="B3210" s="5">
        <v>41493</v>
      </c>
      <c r="C3210" s="5" t="s">
        <v>5161</v>
      </c>
      <c r="D3210" t="s">
        <v>5161</v>
      </c>
      <c r="G3210" t="s">
        <v>6159</v>
      </c>
    </row>
    <row r="3211" spans="1:7" x14ac:dyDescent="0.25">
      <c r="A3211" t="s">
        <v>2978</v>
      </c>
      <c r="B3211" s="5">
        <v>40492</v>
      </c>
      <c r="C3211" s="5" t="s">
        <v>5162</v>
      </c>
      <c r="D3211" t="s">
        <v>5162</v>
      </c>
      <c r="G3211" t="s">
        <v>6159</v>
      </c>
    </row>
    <row r="3212" spans="1:7" x14ac:dyDescent="0.25">
      <c r="A3212" t="s">
        <v>2628</v>
      </c>
      <c r="B3212" s="5">
        <v>40492</v>
      </c>
      <c r="C3212" s="5" t="s">
        <v>5163</v>
      </c>
      <c r="D3212" t="s">
        <v>5163</v>
      </c>
      <c r="G3212" t="s">
        <v>6159</v>
      </c>
    </row>
    <row r="3213" spans="1:7" x14ac:dyDescent="0.25">
      <c r="A3213" t="s">
        <v>170</v>
      </c>
      <c r="B3213" s="5">
        <v>41480</v>
      </c>
      <c r="C3213" s="5" t="s">
        <v>5164</v>
      </c>
      <c r="D3213" t="s">
        <v>5164</v>
      </c>
      <c r="G3213" t="s">
        <v>6159</v>
      </c>
    </row>
    <row r="3214" spans="1:7" x14ac:dyDescent="0.25">
      <c r="A3214" t="s">
        <v>197</v>
      </c>
      <c r="B3214" s="5">
        <v>41479</v>
      </c>
      <c r="C3214" s="5" t="s">
        <v>5165</v>
      </c>
      <c r="D3214" t="s">
        <v>5165</v>
      </c>
      <c r="G3214" t="s">
        <v>6159</v>
      </c>
    </row>
    <row r="3215" spans="1:7" x14ac:dyDescent="0.25">
      <c r="A3215" t="s">
        <v>2929</v>
      </c>
      <c r="B3215" s="5">
        <v>41479</v>
      </c>
      <c r="C3215" s="5" t="s">
        <v>5166</v>
      </c>
      <c r="D3215" t="s">
        <v>5166</v>
      </c>
      <c r="G3215" t="s">
        <v>6159</v>
      </c>
    </row>
    <row r="3216" spans="1:7" x14ac:dyDescent="0.25">
      <c r="A3216" t="s">
        <v>2445</v>
      </c>
      <c r="B3216" s="5">
        <v>41479</v>
      </c>
      <c r="C3216" s="5" t="s">
        <v>5167</v>
      </c>
      <c r="D3216" t="s">
        <v>5167</v>
      </c>
      <c r="G3216" t="s">
        <v>6159</v>
      </c>
    </row>
    <row r="3217" spans="1:7" x14ac:dyDescent="0.25">
      <c r="A3217" t="s">
        <v>17</v>
      </c>
      <c r="B3217" s="5">
        <v>41464</v>
      </c>
      <c r="C3217" s="5" t="s">
        <v>5168</v>
      </c>
      <c r="D3217" t="s">
        <v>5168</v>
      </c>
      <c r="G3217" t="s">
        <v>6159</v>
      </c>
    </row>
    <row r="3218" spans="1:7" x14ac:dyDescent="0.25">
      <c r="A3218" t="s">
        <v>2698</v>
      </c>
      <c r="B3218" s="5">
        <v>41463</v>
      </c>
      <c r="C3218" s="5" t="s">
        <v>5169</v>
      </c>
      <c r="D3218" t="s">
        <v>5169</v>
      </c>
      <c r="G3218" t="s">
        <v>6159</v>
      </c>
    </row>
    <row r="3219" spans="1:7" x14ac:dyDescent="0.25">
      <c r="A3219" t="s">
        <v>2979</v>
      </c>
      <c r="B3219" s="5">
        <v>40450</v>
      </c>
      <c r="C3219" s="5" t="s">
        <v>5170</v>
      </c>
      <c r="D3219" t="s">
        <v>5170</v>
      </c>
      <c r="G3219" t="s">
        <v>6159</v>
      </c>
    </row>
    <row r="3220" spans="1:7" x14ac:dyDescent="0.25">
      <c r="A3220" t="s">
        <v>2961</v>
      </c>
      <c r="B3220" s="5">
        <v>42164</v>
      </c>
      <c r="C3220" s="5" t="s">
        <v>5171</v>
      </c>
      <c r="D3220" t="s">
        <v>5171</v>
      </c>
      <c r="G3220" t="s">
        <v>6159</v>
      </c>
    </row>
    <row r="3221" spans="1:7" x14ac:dyDescent="0.25">
      <c r="A3221" t="s">
        <v>2928</v>
      </c>
      <c r="B3221" s="5">
        <v>40430</v>
      </c>
      <c r="C3221" s="5" t="s">
        <v>5172</v>
      </c>
      <c r="D3221" t="s">
        <v>5172</v>
      </c>
      <c r="G3221" t="s">
        <v>6159</v>
      </c>
    </row>
    <row r="3222" spans="1:7" x14ac:dyDescent="0.25">
      <c r="A3222" t="s">
        <v>17</v>
      </c>
      <c r="B3222" s="5">
        <v>40430</v>
      </c>
      <c r="C3222" s="5" t="s">
        <v>5173</v>
      </c>
      <c r="D3222" t="s">
        <v>5173</v>
      </c>
      <c r="G3222" t="s">
        <v>6159</v>
      </c>
    </row>
    <row r="3223" spans="1:7" x14ac:dyDescent="0.25">
      <c r="A3223" t="s">
        <v>51</v>
      </c>
      <c r="B3223" s="5">
        <v>40430</v>
      </c>
      <c r="C3223" s="5" t="s">
        <v>5174</v>
      </c>
      <c r="D3223" t="s">
        <v>5174</v>
      </c>
      <c r="G3223" t="s">
        <v>6159</v>
      </c>
    </row>
    <row r="3224" spans="1:7" x14ac:dyDescent="0.25">
      <c r="A3224" t="s">
        <v>2958</v>
      </c>
      <c r="B3224" s="5">
        <v>40430</v>
      </c>
      <c r="C3224" s="5" t="s">
        <v>5175</v>
      </c>
      <c r="D3224" t="s">
        <v>5175</v>
      </c>
      <c r="G3224" t="s">
        <v>6159</v>
      </c>
    </row>
    <row r="3225" spans="1:7" x14ac:dyDescent="0.25">
      <c r="A3225" t="s">
        <v>170</v>
      </c>
      <c r="B3225" s="5">
        <v>40430</v>
      </c>
      <c r="C3225" s="5" t="s">
        <v>5176</v>
      </c>
      <c r="D3225" t="s">
        <v>5176</v>
      </c>
      <c r="G3225" t="s">
        <v>6159</v>
      </c>
    </row>
    <row r="3226" spans="1:7" x14ac:dyDescent="0.25">
      <c r="A3226" t="s">
        <v>2954</v>
      </c>
      <c r="B3226" s="5">
        <v>40430</v>
      </c>
      <c r="C3226" s="5" t="s">
        <v>5177</v>
      </c>
      <c r="D3226" t="s">
        <v>5177</v>
      </c>
      <c r="G3226" t="s">
        <v>6159</v>
      </c>
    </row>
    <row r="3227" spans="1:7" x14ac:dyDescent="0.25">
      <c r="A3227" t="s">
        <v>2927</v>
      </c>
      <c r="B3227" s="5">
        <v>40429</v>
      </c>
      <c r="C3227" s="5" t="s">
        <v>5178</v>
      </c>
      <c r="D3227" t="s">
        <v>5178</v>
      </c>
      <c r="G3227" t="s">
        <v>6159</v>
      </c>
    </row>
    <row r="3228" spans="1:7" x14ac:dyDescent="0.25">
      <c r="A3228" t="s">
        <v>2698</v>
      </c>
      <c r="B3228" s="5">
        <v>40429</v>
      </c>
      <c r="C3228" s="5" t="s">
        <v>5179</v>
      </c>
      <c r="D3228" t="s">
        <v>5179</v>
      </c>
      <c r="G3228" t="s">
        <v>6159</v>
      </c>
    </row>
    <row r="3229" spans="1:7" x14ac:dyDescent="0.25">
      <c r="A3229" t="s">
        <v>197</v>
      </c>
      <c r="B3229" s="5">
        <v>40429</v>
      </c>
      <c r="C3229" s="5" t="s">
        <v>5180</v>
      </c>
      <c r="D3229" t="s">
        <v>5180</v>
      </c>
      <c r="G3229" t="s">
        <v>6159</v>
      </c>
    </row>
    <row r="3230" spans="1:7" x14ac:dyDescent="0.25">
      <c r="A3230" t="s">
        <v>2929</v>
      </c>
      <c r="B3230" s="5">
        <v>40429</v>
      </c>
      <c r="C3230" s="5" t="s">
        <v>5181</v>
      </c>
      <c r="D3230" t="s">
        <v>5181</v>
      </c>
      <c r="G3230" t="s">
        <v>6159</v>
      </c>
    </row>
    <row r="3231" spans="1:7" x14ac:dyDescent="0.25">
      <c r="A3231" t="s">
        <v>2953</v>
      </c>
      <c r="B3231" s="5">
        <v>40429</v>
      </c>
      <c r="C3231" s="5" t="s">
        <v>5182</v>
      </c>
      <c r="D3231" t="s">
        <v>5182</v>
      </c>
      <c r="G3231" t="s">
        <v>6159</v>
      </c>
    </row>
    <row r="3232" spans="1:7" x14ac:dyDescent="0.25">
      <c r="A3232" t="s">
        <v>2812</v>
      </c>
      <c r="B3232" s="5">
        <v>40429</v>
      </c>
      <c r="C3232" s="5" t="s">
        <v>5183</v>
      </c>
      <c r="D3232" t="s">
        <v>5183</v>
      </c>
      <c r="G3232" t="s">
        <v>6159</v>
      </c>
    </row>
    <row r="3233" spans="1:7" x14ac:dyDescent="0.25">
      <c r="A3233" t="s">
        <v>2814</v>
      </c>
      <c r="B3233" s="5">
        <v>40429</v>
      </c>
      <c r="C3233" s="5" t="s">
        <v>5184</v>
      </c>
      <c r="D3233" t="s">
        <v>5184</v>
      </c>
      <c r="G3233" t="s">
        <v>6159</v>
      </c>
    </row>
    <row r="3234" spans="1:7" x14ac:dyDescent="0.25">
      <c r="A3234" t="s">
        <v>360</v>
      </c>
      <c r="B3234" s="5">
        <v>40429</v>
      </c>
      <c r="C3234" s="5" t="s">
        <v>5185</v>
      </c>
      <c r="D3234" t="s">
        <v>5185</v>
      </c>
      <c r="G3234" t="s">
        <v>6159</v>
      </c>
    </row>
    <row r="3235" spans="1:7" x14ac:dyDescent="0.25">
      <c r="A3235" t="s">
        <v>2928</v>
      </c>
      <c r="B3235" s="5">
        <v>40415</v>
      </c>
      <c r="C3235" s="5" t="s">
        <v>5186</v>
      </c>
      <c r="D3235" t="s">
        <v>5186</v>
      </c>
      <c r="G3235" t="s">
        <v>6159</v>
      </c>
    </row>
    <row r="3236" spans="1:7" x14ac:dyDescent="0.25">
      <c r="A3236" t="s">
        <v>2203</v>
      </c>
      <c r="B3236" s="5">
        <v>40415</v>
      </c>
      <c r="C3236" s="5" t="s">
        <v>5187</v>
      </c>
      <c r="D3236" t="s">
        <v>5187</v>
      </c>
      <c r="G3236" t="s">
        <v>6159</v>
      </c>
    </row>
    <row r="3237" spans="1:7" x14ac:dyDescent="0.25">
      <c r="A3237" t="s">
        <v>2958</v>
      </c>
      <c r="B3237" s="5">
        <v>40415</v>
      </c>
      <c r="C3237" s="5" t="s">
        <v>5188</v>
      </c>
      <c r="D3237" t="s">
        <v>5188</v>
      </c>
      <c r="G3237" t="s">
        <v>6159</v>
      </c>
    </row>
    <row r="3238" spans="1:7" x14ac:dyDescent="0.25">
      <c r="A3238" t="s">
        <v>170</v>
      </c>
      <c r="B3238" s="5">
        <v>40415</v>
      </c>
      <c r="C3238" s="5" t="s">
        <v>5189</v>
      </c>
      <c r="D3238" t="s">
        <v>5189</v>
      </c>
      <c r="G3238" t="s">
        <v>6159</v>
      </c>
    </row>
    <row r="3239" spans="1:7" x14ac:dyDescent="0.25">
      <c r="A3239" t="s">
        <v>17</v>
      </c>
      <c r="B3239" s="5">
        <v>40415</v>
      </c>
      <c r="C3239" s="5" t="s">
        <v>5190</v>
      </c>
      <c r="D3239" t="s">
        <v>5190</v>
      </c>
      <c r="G3239" t="s">
        <v>6159</v>
      </c>
    </row>
    <row r="3240" spans="1:7" x14ac:dyDescent="0.25">
      <c r="A3240" t="s">
        <v>51</v>
      </c>
      <c r="B3240" s="5">
        <v>40415</v>
      </c>
      <c r="C3240" s="5" t="s">
        <v>5191</v>
      </c>
      <c r="D3240" t="s">
        <v>5191</v>
      </c>
      <c r="G3240" t="s">
        <v>6159</v>
      </c>
    </row>
    <row r="3241" spans="1:7" x14ac:dyDescent="0.25">
      <c r="A3241" t="s">
        <v>2954</v>
      </c>
      <c r="B3241" s="5">
        <v>40415</v>
      </c>
      <c r="C3241" s="5" t="s">
        <v>5192</v>
      </c>
      <c r="D3241" t="s">
        <v>5192</v>
      </c>
      <c r="G3241" t="s">
        <v>6159</v>
      </c>
    </row>
    <row r="3242" spans="1:7" x14ac:dyDescent="0.25">
      <c r="A3242" t="s">
        <v>2953</v>
      </c>
      <c r="B3242" s="5">
        <v>40414</v>
      </c>
      <c r="C3242" s="5" t="s">
        <v>5193</v>
      </c>
      <c r="D3242" t="s">
        <v>5193</v>
      </c>
      <c r="G3242" t="s">
        <v>6159</v>
      </c>
    </row>
    <row r="3243" spans="1:7" x14ac:dyDescent="0.25">
      <c r="A3243" t="s">
        <v>2950</v>
      </c>
      <c r="B3243" s="5">
        <v>40414</v>
      </c>
      <c r="C3243" s="5" t="s">
        <v>5194</v>
      </c>
      <c r="D3243" t="s">
        <v>5194</v>
      </c>
      <c r="G3243" t="s">
        <v>6159</v>
      </c>
    </row>
    <row r="3244" spans="1:7" x14ac:dyDescent="0.25">
      <c r="A3244" t="s">
        <v>2698</v>
      </c>
      <c r="B3244" s="5">
        <v>40414</v>
      </c>
      <c r="C3244" s="5" t="s">
        <v>5195</v>
      </c>
      <c r="D3244" t="s">
        <v>5195</v>
      </c>
      <c r="G3244" t="s">
        <v>6159</v>
      </c>
    </row>
    <row r="3245" spans="1:7" x14ac:dyDescent="0.25">
      <c r="A3245" t="s">
        <v>197</v>
      </c>
      <c r="B3245" s="5">
        <v>40414</v>
      </c>
      <c r="C3245" s="5" t="s">
        <v>5196</v>
      </c>
      <c r="D3245" t="s">
        <v>5196</v>
      </c>
      <c r="G3245" t="s">
        <v>6159</v>
      </c>
    </row>
    <row r="3246" spans="1:7" x14ac:dyDescent="0.25">
      <c r="A3246" t="s">
        <v>2929</v>
      </c>
      <c r="B3246" s="5">
        <v>40414</v>
      </c>
      <c r="C3246" s="5" t="s">
        <v>5197</v>
      </c>
      <c r="D3246" t="s">
        <v>5197</v>
      </c>
      <c r="G3246" t="s">
        <v>6159</v>
      </c>
    </row>
    <row r="3247" spans="1:7" x14ac:dyDescent="0.25">
      <c r="A3247" t="s">
        <v>2445</v>
      </c>
      <c r="B3247" s="5">
        <v>40414</v>
      </c>
      <c r="C3247" s="5" t="s">
        <v>5198</v>
      </c>
      <c r="D3247" t="s">
        <v>5198</v>
      </c>
      <c r="G3247" t="s">
        <v>6159</v>
      </c>
    </row>
    <row r="3248" spans="1:7" x14ac:dyDescent="0.25">
      <c r="A3248" t="s">
        <v>2927</v>
      </c>
      <c r="B3248" s="5">
        <v>40414</v>
      </c>
      <c r="C3248" s="5" t="s">
        <v>5199</v>
      </c>
      <c r="D3248" t="s">
        <v>5199</v>
      </c>
      <c r="G3248" t="s">
        <v>6159</v>
      </c>
    </row>
    <row r="3249" spans="1:7" x14ac:dyDescent="0.25">
      <c r="A3249" t="s">
        <v>2812</v>
      </c>
      <c r="B3249" s="5">
        <v>40396</v>
      </c>
      <c r="C3249" s="5" t="s">
        <v>5200</v>
      </c>
      <c r="D3249" t="s">
        <v>5200</v>
      </c>
      <c r="G3249" t="s">
        <v>6159</v>
      </c>
    </row>
    <row r="3250" spans="1:7" x14ac:dyDescent="0.25">
      <c r="A3250" t="s">
        <v>2814</v>
      </c>
      <c r="B3250" s="5">
        <v>40396</v>
      </c>
      <c r="C3250" s="5" t="s">
        <v>5201</v>
      </c>
      <c r="D3250" t="s">
        <v>5201</v>
      </c>
      <c r="G3250" t="s">
        <v>6159</v>
      </c>
    </row>
    <row r="3251" spans="1:7" x14ac:dyDescent="0.25">
      <c r="A3251" t="s">
        <v>51</v>
      </c>
      <c r="B3251" s="5">
        <v>40372</v>
      </c>
      <c r="C3251" s="5" t="s">
        <v>5202</v>
      </c>
      <c r="D3251" t="s">
        <v>5202</v>
      </c>
      <c r="G3251" t="s">
        <v>6159</v>
      </c>
    </row>
    <row r="3252" spans="1:7" x14ac:dyDescent="0.25">
      <c r="A3252" t="s">
        <v>17</v>
      </c>
      <c r="B3252" s="5">
        <v>40372</v>
      </c>
      <c r="C3252" s="5" t="s">
        <v>5203</v>
      </c>
      <c r="D3252" t="s">
        <v>5203</v>
      </c>
      <c r="G3252" t="s">
        <v>6159</v>
      </c>
    </row>
    <row r="3253" spans="1:7" x14ac:dyDescent="0.25">
      <c r="A3253" t="s">
        <v>2203</v>
      </c>
      <c r="B3253" s="5">
        <v>40372</v>
      </c>
      <c r="C3253" s="5" t="s">
        <v>5204</v>
      </c>
      <c r="D3253" t="s">
        <v>5204</v>
      </c>
      <c r="G3253" t="s">
        <v>6159</v>
      </c>
    </row>
    <row r="3254" spans="1:7" x14ac:dyDescent="0.25">
      <c r="A3254" t="s">
        <v>2928</v>
      </c>
      <c r="B3254" s="5">
        <v>40372</v>
      </c>
      <c r="C3254" s="5" t="s">
        <v>5205</v>
      </c>
      <c r="D3254" t="s">
        <v>5205</v>
      </c>
      <c r="G3254" t="s">
        <v>6159</v>
      </c>
    </row>
    <row r="3255" spans="1:7" x14ac:dyDescent="0.25">
      <c r="A3255" t="s">
        <v>2954</v>
      </c>
      <c r="B3255" s="5">
        <v>40372</v>
      </c>
      <c r="C3255" s="5" t="s">
        <v>5206</v>
      </c>
      <c r="D3255" t="s">
        <v>5206</v>
      </c>
      <c r="G3255" t="s">
        <v>6159</v>
      </c>
    </row>
    <row r="3256" spans="1:7" x14ac:dyDescent="0.25">
      <c r="A3256" t="s">
        <v>170</v>
      </c>
      <c r="B3256" s="5">
        <v>40372</v>
      </c>
      <c r="C3256" s="5" t="s">
        <v>5207</v>
      </c>
      <c r="D3256" t="s">
        <v>5207</v>
      </c>
      <c r="G3256" t="s">
        <v>6159</v>
      </c>
    </row>
    <row r="3257" spans="1:7" x14ac:dyDescent="0.25">
      <c r="A3257" t="s">
        <v>197</v>
      </c>
      <c r="B3257" s="5">
        <v>40371</v>
      </c>
      <c r="C3257" s="5" t="s">
        <v>5208</v>
      </c>
      <c r="D3257" t="s">
        <v>5208</v>
      </c>
      <c r="G3257" t="s">
        <v>6159</v>
      </c>
    </row>
    <row r="3258" spans="1:7" x14ac:dyDescent="0.25">
      <c r="A3258" t="s">
        <v>2698</v>
      </c>
      <c r="B3258" s="5">
        <v>40371</v>
      </c>
      <c r="C3258" s="5" t="s">
        <v>5209</v>
      </c>
      <c r="D3258" t="s">
        <v>5209</v>
      </c>
      <c r="G3258" t="s">
        <v>6159</v>
      </c>
    </row>
    <row r="3259" spans="1:7" x14ac:dyDescent="0.25">
      <c r="A3259" t="s">
        <v>2927</v>
      </c>
      <c r="B3259" s="5">
        <v>40371</v>
      </c>
      <c r="C3259" s="5" t="s">
        <v>5210</v>
      </c>
      <c r="D3259" t="s">
        <v>5210</v>
      </c>
      <c r="G3259" t="s">
        <v>6159</v>
      </c>
    </row>
    <row r="3260" spans="1:7" x14ac:dyDescent="0.25">
      <c r="A3260" t="s">
        <v>2929</v>
      </c>
      <c r="B3260" s="5">
        <v>40371</v>
      </c>
      <c r="C3260" s="5" t="s">
        <v>5211</v>
      </c>
      <c r="D3260" t="s">
        <v>5211</v>
      </c>
      <c r="G3260" t="s">
        <v>6159</v>
      </c>
    </row>
    <row r="3261" spans="1:7" x14ac:dyDescent="0.25">
      <c r="A3261" t="s">
        <v>2836</v>
      </c>
      <c r="B3261" s="5">
        <v>41723</v>
      </c>
      <c r="C3261" s="5" t="s">
        <v>5212</v>
      </c>
      <c r="D3261" t="s">
        <v>5212</v>
      </c>
      <c r="G3261" t="s">
        <v>6159</v>
      </c>
    </row>
    <row r="3262" spans="1:7" x14ac:dyDescent="0.25">
      <c r="A3262" t="s">
        <v>2929</v>
      </c>
      <c r="B3262" s="5">
        <v>41877</v>
      </c>
      <c r="C3262" s="5" t="s">
        <v>5213</v>
      </c>
      <c r="D3262" t="s">
        <v>5213</v>
      </c>
      <c r="G3262" t="s">
        <v>6159</v>
      </c>
    </row>
    <row r="3263" spans="1:7" x14ac:dyDescent="0.25">
      <c r="A3263" t="s">
        <v>170</v>
      </c>
      <c r="B3263" s="5">
        <v>41906</v>
      </c>
      <c r="C3263" s="5" t="s">
        <v>5214</v>
      </c>
      <c r="D3263" t="s">
        <v>5214</v>
      </c>
      <c r="G3263" t="s">
        <v>6159</v>
      </c>
    </row>
    <row r="3264" spans="1:7" x14ac:dyDescent="0.25">
      <c r="A3264" t="s">
        <v>51</v>
      </c>
      <c r="B3264" s="5">
        <v>41906</v>
      </c>
      <c r="C3264" s="5" t="s">
        <v>5215</v>
      </c>
      <c r="D3264" t="s">
        <v>5215</v>
      </c>
      <c r="G3264" t="s">
        <v>6159</v>
      </c>
    </row>
    <row r="3265" spans="1:7" x14ac:dyDescent="0.25">
      <c r="A3265" t="s">
        <v>17</v>
      </c>
      <c r="B3265" s="5">
        <v>41906</v>
      </c>
      <c r="C3265" s="5" t="s">
        <v>5216</v>
      </c>
      <c r="D3265" t="s">
        <v>5216</v>
      </c>
      <c r="G3265" t="s">
        <v>6159</v>
      </c>
    </row>
    <row r="3266" spans="1:7" x14ac:dyDescent="0.25">
      <c r="A3266" t="s">
        <v>2203</v>
      </c>
      <c r="B3266" s="5">
        <v>41906</v>
      </c>
      <c r="C3266" s="5" t="s">
        <v>5217</v>
      </c>
      <c r="D3266" t="s">
        <v>5217</v>
      </c>
      <c r="G3266" t="s">
        <v>6159</v>
      </c>
    </row>
    <row r="3267" spans="1:7" x14ac:dyDescent="0.25">
      <c r="A3267" t="s">
        <v>51</v>
      </c>
      <c r="B3267" s="5">
        <v>41892</v>
      </c>
      <c r="C3267" s="5" t="s">
        <v>5218</v>
      </c>
      <c r="D3267" t="s">
        <v>5218</v>
      </c>
      <c r="G3267" t="s">
        <v>6159</v>
      </c>
    </row>
    <row r="3268" spans="1:7" x14ac:dyDescent="0.25">
      <c r="A3268" t="s">
        <v>17</v>
      </c>
      <c r="B3268" s="5">
        <v>41892</v>
      </c>
      <c r="C3268" s="5" t="s">
        <v>5219</v>
      </c>
      <c r="D3268" t="s">
        <v>5219</v>
      </c>
      <c r="G3268" t="s">
        <v>6159</v>
      </c>
    </row>
    <row r="3269" spans="1:7" x14ac:dyDescent="0.25">
      <c r="A3269" t="s">
        <v>2953</v>
      </c>
      <c r="B3269" s="5">
        <v>41891</v>
      </c>
      <c r="C3269" s="5" t="s">
        <v>5220</v>
      </c>
      <c r="D3269" t="s">
        <v>5220</v>
      </c>
      <c r="G3269" t="s">
        <v>6159</v>
      </c>
    </row>
    <row r="3270" spans="1:7" x14ac:dyDescent="0.25">
      <c r="A3270" t="s">
        <v>17</v>
      </c>
      <c r="B3270" s="5">
        <v>41878</v>
      </c>
      <c r="C3270" s="5" t="s">
        <v>5221</v>
      </c>
      <c r="D3270" t="s">
        <v>5221</v>
      </c>
      <c r="G3270" t="s">
        <v>6159</v>
      </c>
    </row>
    <row r="3271" spans="1:7" x14ac:dyDescent="0.25">
      <c r="A3271" t="s">
        <v>2203</v>
      </c>
      <c r="B3271" s="5">
        <v>41878</v>
      </c>
      <c r="C3271" s="5" t="s">
        <v>5222</v>
      </c>
      <c r="D3271" t="s">
        <v>5222</v>
      </c>
      <c r="G3271" t="s">
        <v>6159</v>
      </c>
    </row>
    <row r="3272" spans="1:7" x14ac:dyDescent="0.25">
      <c r="A3272" t="s">
        <v>51</v>
      </c>
      <c r="B3272" s="5">
        <v>41543</v>
      </c>
      <c r="C3272" s="5" t="s">
        <v>5223</v>
      </c>
      <c r="D3272" t="s">
        <v>5223</v>
      </c>
      <c r="G3272" t="s">
        <v>6159</v>
      </c>
    </row>
    <row r="3273" spans="1:7" x14ac:dyDescent="0.25">
      <c r="A3273" t="s">
        <v>2698</v>
      </c>
      <c r="B3273" s="5">
        <v>41877</v>
      </c>
      <c r="C3273" s="5" t="s">
        <v>5224</v>
      </c>
      <c r="D3273" t="s">
        <v>5224</v>
      </c>
      <c r="G3273" t="s">
        <v>6159</v>
      </c>
    </row>
    <row r="3274" spans="1:7" x14ac:dyDescent="0.25">
      <c r="A3274" t="s">
        <v>2953</v>
      </c>
      <c r="B3274" s="5">
        <v>41877</v>
      </c>
      <c r="C3274" s="5" t="s">
        <v>5225</v>
      </c>
      <c r="D3274" t="s">
        <v>5225</v>
      </c>
      <c r="G3274" t="s">
        <v>6159</v>
      </c>
    </row>
    <row r="3275" spans="1:7" x14ac:dyDescent="0.25">
      <c r="A3275" t="s">
        <v>2928</v>
      </c>
      <c r="B3275" s="5">
        <v>41877</v>
      </c>
      <c r="C3275" s="5" t="s">
        <v>5226</v>
      </c>
      <c r="D3275" t="s">
        <v>5226</v>
      </c>
      <c r="G3275" t="s">
        <v>6159</v>
      </c>
    </row>
    <row r="3276" spans="1:7" x14ac:dyDescent="0.25">
      <c r="A3276" t="s">
        <v>2953</v>
      </c>
      <c r="B3276" s="5">
        <v>41542</v>
      </c>
      <c r="C3276" s="5" t="s">
        <v>5227</v>
      </c>
      <c r="D3276" t="s">
        <v>5227</v>
      </c>
      <c r="G3276" t="s">
        <v>6159</v>
      </c>
    </row>
    <row r="3277" spans="1:7" x14ac:dyDescent="0.25">
      <c r="A3277" t="s">
        <v>197</v>
      </c>
      <c r="B3277" s="5">
        <v>41856</v>
      </c>
      <c r="C3277" s="5" t="s">
        <v>5228</v>
      </c>
      <c r="D3277" t="s">
        <v>5228</v>
      </c>
      <c r="G3277" t="s">
        <v>6159</v>
      </c>
    </row>
    <row r="3278" spans="1:7" x14ac:dyDescent="0.25">
      <c r="A3278" t="s">
        <v>2929</v>
      </c>
      <c r="B3278" s="5">
        <v>41856</v>
      </c>
      <c r="C3278" s="5" t="s">
        <v>5229</v>
      </c>
      <c r="D3278" t="s">
        <v>5229</v>
      </c>
      <c r="G3278" t="s">
        <v>6159</v>
      </c>
    </row>
    <row r="3279" spans="1:7" x14ac:dyDescent="0.25">
      <c r="A3279" t="s">
        <v>2927</v>
      </c>
      <c r="B3279" s="5">
        <v>41856</v>
      </c>
      <c r="C3279" s="5" t="s">
        <v>5230</v>
      </c>
      <c r="D3279" t="s">
        <v>5230</v>
      </c>
      <c r="G3279" t="s">
        <v>6159</v>
      </c>
    </row>
    <row r="3280" spans="1:7" x14ac:dyDescent="0.25">
      <c r="A3280" t="s">
        <v>170</v>
      </c>
      <c r="B3280" s="5">
        <v>41843</v>
      </c>
      <c r="C3280" s="5" t="s">
        <v>5231</v>
      </c>
      <c r="D3280" t="s">
        <v>5231</v>
      </c>
      <c r="G3280" t="s">
        <v>6159</v>
      </c>
    </row>
    <row r="3281" spans="1:7" x14ac:dyDescent="0.25">
      <c r="A3281" t="s">
        <v>51</v>
      </c>
      <c r="B3281" s="5">
        <v>41843</v>
      </c>
      <c r="C3281" s="5" t="s">
        <v>5232</v>
      </c>
      <c r="D3281" t="s">
        <v>5232</v>
      </c>
      <c r="G3281" t="s">
        <v>6159</v>
      </c>
    </row>
    <row r="3282" spans="1:7" x14ac:dyDescent="0.25">
      <c r="A3282" t="s">
        <v>2445</v>
      </c>
      <c r="B3282" s="5">
        <v>41842</v>
      </c>
      <c r="C3282" s="5" t="s">
        <v>5233</v>
      </c>
      <c r="D3282" t="s">
        <v>5233</v>
      </c>
      <c r="G3282" t="s">
        <v>6159</v>
      </c>
    </row>
    <row r="3283" spans="1:7" x14ac:dyDescent="0.25">
      <c r="A3283" t="s">
        <v>2929</v>
      </c>
      <c r="B3283" s="5">
        <v>41842</v>
      </c>
      <c r="C3283" s="5" t="s">
        <v>5234</v>
      </c>
      <c r="D3283" t="s">
        <v>5234</v>
      </c>
      <c r="G3283" t="s">
        <v>6159</v>
      </c>
    </row>
    <row r="3284" spans="1:7" x14ac:dyDescent="0.25">
      <c r="A3284" t="s">
        <v>2927</v>
      </c>
      <c r="B3284" s="5">
        <v>41409</v>
      </c>
      <c r="C3284" s="5" t="s">
        <v>5235</v>
      </c>
      <c r="D3284" t="s">
        <v>5235</v>
      </c>
      <c r="G3284" t="s">
        <v>6159</v>
      </c>
    </row>
    <row r="3285" spans="1:7" x14ac:dyDescent="0.25">
      <c r="A3285" t="s">
        <v>2958</v>
      </c>
      <c r="B3285" s="5">
        <v>41423</v>
      </c>
      <c r="C3285" s="5" t="s">
        <v>5236</v>
      </c>
      <c r="D3285" t="s">
        <v>5236</v>
      </c>
      <c r="G3285" t="s">
        <v>6159</v>
      </c>
    </row>
    <row r="3286" spans="1:7" x14ac:dyDescent="0.25">
      <c r="A3286" t="s">
        <v>2203</v>
      </c>
      <c r="B3286" s="5">
        <v>40827</v>
      </c>
      <c r="C3286" s="5" t="s">
        <v>5237</v>
      </c>
      <c r="D3286" t="s">
        <v>5237</v>
      </c>
      <c r="G3286" t="s">
        <v>6159</v>
      </c>
    </row>
    <row r="3287" spans="1:7" x14ac:dyDescent="0.25">
      <c r="A3287" t="s">
        <v>2928</v>
      </c>
      <c r="B3287" s="5">
        <v>41436</v>
      </c>
      <c r="C3287" s="5" t="s">
        <v>5238</v>
      </c>
      <c r="D3287" t="s">
        <v>5238</v>
      </c>
      <c r="G3287" t="s">
        <v>6159</v>
      </c>
    </row>
    <row r="3288" spans="1:7" x14ac:dyDescent="0.25">
      <c r="A3288" t="s">
        <v>2954</v>
      </c>
      <c r="B3288" s="5">
        <v>40793</v>
      </c>
      <c r="C3288" s="5" t="s">
        <v>5239</v>
      </c>
      <c r="D3288" t="s">
        <v>5239</v>
      </c>
      <c r="G3288" t="s">
        <v>6159</v>
      </c>
    </row>
    <row r="3289" spans="1:7" x14ac:dyDescent="0.25">
      <c r="A3289" t="s">
        <v>51</v>
      </c>
      <c r="B3289" s="5">
        <v>40793</v>
      </c>
      <c r="C3289" s="5" t="s">
        <v>5240</v>
      </c>
      <c r="D3289" t="s">
        <v>5240</v>
      </c>
      <c r="G3289" t="s">
        <v>6159</v>
      </c>
    </row>
    <row r="3290" spans="1:7" x14ac:dyDescent="0.25">
      <c r="A3290" t="s">
        <v>17</v>
      </c>
      <c r="B3290" s="5">
        <v>40793</v>
      </c>
      <c r="C3290" s="5" t="s">
        <v>5241</v>
      </c>
      <c r="D3290" t="s">
        <v>5241</v>
      </c>
      <c r="G3290" t="s">
        <v>6159</v>
      </c>
    </row>
    <row r="3291" spans="1:7" x14ac:dyDescent="0.25">
      <c r="A3291" t="s">
        <v>2203</v>
      </c>
      <c r="B3291" s="5">
        <v>40793</v>
      </c>
      <c r="C3291" s="5" t="s">
        <v>5242</v>
      </c>
      <c r="D3291" t="s">
        <v>5242</v>
      </c>
      <c r="G3291" t="s">
        <v>6159</v>
      </c>
    </row>
    <row r="3292" spans="1:7" x14ac:dyDescent="0.25">
      <c r="A3292" t="s">
        <v>2927</v>
      </c>
      <c r="B3292" s="5">
        <v>40792</v>
      </c>
      <c r="C3292" s="5" t="s">
        <v>5243</v>
      </c>
      <c r="D3292" t="s">
        <v>5243</v>
      </c>
      <c r="G3292" t="s">
        <v>6159</v>
      </c>
    </row>
    <row r="3293" spans="1:7" x14ac:dyDescent="0.25">
      <c r="A3293" t="s">
        <v>2953</v>
      </c>
      <c r="B3293" s="5">
        <v>40792</v>
      </c>
      <c r="C3293" s="5" t="s">
        <v>5244</v>
      </c>
      <c r="D3293" t="s">
        <v>5244</v>
      </c>
      <c r="G3293" t="s">
        <v>6159</v>
      </c>
    </row>
    <row r="3294" spans="1:7" x14ac:dyDescent="0.25">
      <c r="A3294" t="s">
        <v>2928</v>
      </c>
      <c r="B3294" s="5">
        <v>40792</v>
      </c>
      <c r="C3294" s="5" t="s">
        <v>5245</v>
      </c>
      <c r="D3294" t="s">
        <v>5245</v>
      </c>
      <c r="G3294" t="s">
        <v>6159</v>
      </c>
    </row>
    <row r="3295" spans="1:7" x14ac:dyDescent="0.25">
      <c r="A3295" t="s">
        <v>197</v>
      </c>
      <c r="B3295" s="5">
        <v>40792</v>
      </c>
      <c r="C3295" s="5" t="s">
        <v>5246</v>
      </c>
      <c r="D3295" t="s">
        <v>5246</v>
      </c>
      <c r="G3295" t="s">
        <v>6159</v>
      </c>
    </row>
    <row r="3296" spans="1:7" x14ac:dyDescent="0.25">
      <c r="A3296" t="s">
        <v>2839</v>
      </c>
      <c r="B3296" s="5">
        <v>41513</v>
      </c>
      <c r="C3296" s="5" t="s">
        <v>5247</v>
      </c>
      <c r="D3296" t="s">
        <v>5247</v>
      </c>
      <c r="G3296" t="s">
        <v>6159</v>
      </c>
    </row>
    <row r="3297" spans="1:7" x14ac:dyDescent="0.25">
      <c r="A3297" t="s">
        <v>2698</v>
      </c>
      <c r="B3297" s="5">
        <v>40792</v>
      </c>
      <c r="C3297" s="5" t="s">
        <v>5248</v>
      </c>
      <c r="D3297" t="s">
        <v>5248</v>
      </c>
      <c r="G3297" t="s">
        <v>6159</v>
      </c>
    </row>
    <row r="3298" spans="1:7" x14ac:dyDescent="0.25">
      <c r="A3298" t="s">
        <v>2445</v>
      </c>
      <c r="B3298" s="5">
        <v>40792</v>
      </c>
      <c r="C3298" s="5" t="s">
        <v>5249</v>
      </c>
      <c r="D3298" t="s">
        <v>5249</v>
      </c>
      <c r="G3298" t="s">
        <v>6159</v>
      </c>
    </row>
    <row r="3299" spans="1:7" x14ac:dyDescent="0.25">
      <c r="A3299" t="s">
        <v>197</v>
      </c>
      <c r="B3299" s="5">
        <v>40791</v>
      </c>
      <c r="C3299" s="5" t="s">
        <v>5250</v>
      </c>
      <c r="D3299" t="s">
        <v>5250</v>
      </c>
      <c r="G3299" t="s">
        <v>6159</v>
      </c>
    </row>
    <row r="3300" spans="1:7" x14ac:dyDescent="0.25">
      <c r="A3300" t="s">
        <v>2698</v>
      </c>
      <c r="B3300" s="5">
        <v>40791</v>
      </c>
      <c r="C3300" s="5" t="s">
        <v>5251</v>
      </c>
      <c r="D3300" t="s">
        <v>5251</v>
      </c>
      <c r="G3300" t="s">
        <v>6159</v>
      </c>
    </row>
    <row r="3301" spans="1:7" x14ac:dyDescent="0.25">
      <c r="A3301" t="s">
        <v>2445</v>
      </c>
      <c r="B3301" s="5">
        <v>40791</v>
      </c>
      <c r="C3301" s="5" t="s">
        <v>5252</v>
      </c>
      <c r="D3301" t="s">
        <v>5252</v>
      </c>
      <c r="G3301" t="s">
        <v>6159</v>
      </c>
    </row>
    <row r="3302" spans="1:7" x14ac:dyDescent="0.25">
      <c r="A3302" t="s">
        <v>2954</v>
      </c>
      <c r="B3302" s="5">
        <v>41493</v>
      </c>
      <c r="C3302" s="5" t="s">
        <v>5253</v>
      </c>
      <c r="D3302" t="s">
        <v>5253</v>
      </c>
      <c r="G3302" t="s">
        <v>6159</v>
      </c>
    </row>
    <row r="3303" spans="1:7" x14ac:dyDescent="0.25">
      <c r="A3303" t="s">
        <v>2888</v>
      </c>
      <c r="B3303" s="5">
        <v>42458</v>
      </c>
      <c r="C3303" s="5" t="s">
        <v>5254</v>
      </c>
      <c r="D3303" t="s">
        <v>5254</v>
      </c>
      <c r="G3303" t="s">
        <v>6159</v>
      </c>
    </row>
    <row r="3304" spans="1:7" x14ac:dyDescent="0.25">
      <c r="A3304" t="s">
        <v>2871</v>
      </c>
      <c r="B3304" s="5">
        <v>41780</v>
      </c>
      <c r="C3304" s="5" t="s">
        <v>5255</v>
      </c>
      <c r="D3304" t="s">
        <v>5255</v>
      </c>
      <c r="G3304" t="s">
        <v>6159</v>
      </c>
    </row>
    <row r="3305" spans="1:7" x14ac:dyDescent="0.25">
      <c r="A3305" t="s">
        <v>228</v>
      </c>
      <c r="B3305" s="5">
        <v>42416</v>
      </c>
      <c r="C3305" s="5" t="s">
        <v>5256</v>
      </c>
      <c r="D3305" t="s">
        <v>5256</v>
      </c>
      <c r="G3305" t="s">
        <v>6159</v>
      </c>
    </row>
    <row r="3306" spans="1:7" x14ac:dyDescent="0.25">
      <c r="A3306" t="s">
        <v>2836</v>
      </c>
      <c r="B3306" s="5">
        <v>41772</v>
      </c>
      <c r="C3306" s="5" t="s">
        <v>5257</v>
      </c>
      <c r="D3306" t="s">
        <v>5257</v>
      </c>
      <c r="G3306" t="s">
        <v>6159</v>
      </c>
    </row>
    <row r="3307" spans="1:7" x14ac:dyDescent="0.25">
      <c r="A3307" t="s">
        <v>2928</v>
      </c>
      <c r="B3307" s="5">
        <v>41542</v>
      </c>
      <c r="C3307" s="5" t="s">
        <v>5258</v>
      </c>
      <c r="D3307" t="s">
        <v>5258</v>
      </c>
      <c r="G3307" t="s">
        <v>6159</v>
      </c>
    </row>
    <row r="3308" spans="1:7" x14ac:dyDescent="0.25">
      <c r="A3308" t="s">
        <v>2950</v>
      </c>
      <c r="B3308" s="5">
        <v>41422</v>
      </c>
      <c r="C3308" s="5" t="s">
        <v>5259</v>
      </c>
      <c r="D3308" t="s">
        <v>5259</v>
      </c>
      <c r="G3308" t="s">
        <v>6159</v>
      </c>
    </row>
    <row r="3309" spans="1:7" x14ac:dyDescent="0.25">
      <c r="A3309" t="s">
        <v>2898</v>
      </c>
      <c r="B3309" s="5">
        <v>42257</v>
      </c>
      <c r="C3309" s="5" t="s">
        <v>5260</v>
      </c>
      <c r="D3309" t="s">
        <v>5260</v>
      </c>
      <c r="G3309" t="s">
        <v>6159</v>
      </c>
    </row>
    <row r="3310" spans="1:7" x14ac:dyDescent="0.25">
      <c r="A3310" t="s">
        <v>197</v>
      </c>
      <c r="B3310" s="5">
        <v>41436</v>
      </c>
      <c r="C3310" s="5" t="s">
        <v>5261</v>
      </c>
      <c r="D3310" t="s">
        <v>5261</v>
      </c>
      <c r="G3310" t="s">
        <v>6159</v>
      </c>
    </row>
    <row r="3311" spans="1:7" x14ac:dyDescent="0.25">
      <c r="A3311" t="s">
        <v>2445</v>
      </c>
      <c r="B3311" s="5">
        <v>41436</v>
      </c>
      <c r="C3311" s="5" t="s">
        <v>5262</v>
      </c>
      <c r="D3311" t="s">
        <v>5262</v>
      </c>
      <c r="G3311" t="s">
        <v>6159</v>
      </c>
    </row>
    <row r="3312" spans="1:7" x14ac:dyDescent="0.25">
      <c r="A3312" t="s">
        <v>369</v>
      </c>
      <c r="B3312" s="5">
        <v>41302</v>
      </c>
      <c r="C3312" s="5" t="s">
        <v>5263</v>
      </c>
      <c r="D3312" t="s">
        <v>5263</v>
      </c>
      <c r="G3312" t="s">
        <v>6159</v>
      </c>
    </row>
    <row r="3313" spans="1:7" x14ac:dyDescent="0.25">
      <c r="A3313" t="s">
        <v>17</v>
      </c>
      <c r="B3313" s="5">
        <v>41508</v>
      </c>
      <c r="C3313" s="5" t="s">
        <v>5264</v>
      </c>
      <c r="D3313" t="s">
        <v>5264</v>
      </c>
      <c r="G3313" t="s">
        <v>6159</v>
      </c>
    </row>
    <row r="3314" spans="1:7" x14ac:dyDescent="0.25">
      <c r="A3314" t="s">
        <v>2445</v>
      </c>
      <c r="B3314" s="5">
        <v>41451</v>
      </c>
      <c r="C3314" s="5" t="s">
        <v>5265</v>
      </c>
      <c r="D3314" t="s">
        <v>5265</v>
      </c>
      <c r="G3314" t="s">
        <v>6159</v>
      </c>
    </row>
    <row r="3315" spans="1:7" x14ac:dyDescent="0.25">
      <c r="A3315" t="s">
        <v>2928</v>
      </c>
      <c r="B3315" s="5">
        <v>41451</v>
      </c>
      <c r="C3315" s="5" t="s">
        <v>5266</v>
      </c>
      <c r="D3315" t="s">
        <v>5266</v>
      </c>
      <c r="G3315" t="s">
        <v>6159</v>
      </c>
    </row>
    <row r="3316" spans="1:7" x14ac:dyDescent="0.25">
      <c r="A3316" t="s">
        <v>170</v>
      </c>
      <c r="B3316" s="5">
        <v>41543</v>
      </c>
      <c r="C3316" s="5" t="s">
        <v>5267</v>
      </c>
      <c r="D3316" t="s">
        <v>5267</v>
      </c>
      <c r="G3316" t="s">
        <v>6159</v>
      </c>
    </row>
    <row r="3317" spans="1:7" x14ac:dyDescent="0.25">
      <c r="A3317" t="s">
        <v>17</v>
      </c>
      <c r="B3317" s="5">
        <v>41543</v>
      </c>
      <c r="C3317" s="5" t="s">
        <v>5268</v>
      </c>
      <c r="D3317" t="s">
        <v>5268</v>
      </c>
      <c r="G3317" t="s">
        <v>6159</v>
      </c>
    </row>
    <row r="3318" spans="1:7" x14ac:dyDescent="0.25">
      <c r="A3318" t="s">
        <v>2203</v>
      </c>
      <c r="B3318" s="5">
        <v>41843</v>
      </c>
      <c r="C3318" s="5" t="s">
        <v>5269</v>
      </c>
      <c r="D3318" t="s">
        <v>5269</v>
      </c>
      <c r="G3318" t="s">
        <v>6159</v>
      </c>
    </row>
    <row r="3319" spans="1:7" x14ac:dyDescent="0.25">
      <c r="A3319" t="s">
        <v>2954</v>
      </c>
      <c r="B3319" s="5">
        <v>41843</v>
      </c>
      <c r="C3319" s="5" t="s">
        <v>5270</v>
      </c>
      <c r="D3319" t="s">
        <v>5270</v>
      </c>
      <c r="G3319" t="s">
        <v>6159</v>
      </c>
    </row>
    <row r="3320" spans="1:7" x14ac:dyDescent="0.25">
      <c r="A3320" t="s">
        <v>197</v>
      </c>
      <c r="B3320" s="5">
        <v>41422</v>
      </c>
      <c r="C3320" s="5" t="s">
        <v>5271</v>
      </c>
      <c r="D3320" t="s">
        <v>5271</v>
      </c>
      <c r="G3320" t="s">
        <v>6159</v>
      </c>
    </row>
    <row r="3321" spans="1:7" x14ac:dyDescent="0.25">
      <c r="A3321" t="s">
        <v>2698</v>
      </c>
      <c r="B3321" s="5">
        <v>41409</v>
      </c>
      <c r="C3321" s="5" t="s">
        <v>5272</v>
      </c>
      <c r="D3321" t="s">
        <v>5272</v>
      </c>
      <c r="G3321" t="s">
        <v>6159</v>
      </c>
    </row>
    <row r="3322" spans="1:7" x14ac:dyDescent="0.25">
      <c r="A3322" t="s">
        <v>2698</v>
      </c>
      <c r="B3322" s="5">
        <v>41422</v>
      </c>
      <c r="C3322" s="5" t="s">
        <v>5273</v>
      </c>
      <c r="D3322" t="s">
        <v>5273</v>
      </c>
      <c r="G3322" t="s">
        <v>6159</v>
      </c>
    </row>
    <row r="3323" spans="1:7" x14ac:dyDescent="0.25">
      <c r="A3323" t="s">
        <v>2927</v>
      </c>
      <c r="B3323" s="5">
        <v>41422</v>
      </c>
      <c r="C3323" s="5" t="s">
        <v>5274</v>
      </c>
      <c r="D3323" t="s">
        <v>5274</v>
      </c>
      <c r="G3323" t="s">
        <v>6159</v>
      </c>
    </row>
    <row r="3324" spans="1:7" x14ac:dyDescent="0.25">
      <c r="A3324" t="s">
        <v>2954</v>
      </c>
      <c r="B3324" s="5">
        <v>41423</v>
      </c>
      <c r="C3324" s="5" t="s">
        <v>5275</v>
      </c>
      <c r="D3324" t="s">
        <v>5275</v>
      </c>
      <c r="G3324" t="s">
        <v>6159</v>
      </c>
    </row>
    <row r="3325" spans="1:7" x14ac:dyDescent="0.25">
      <c r="A3325" t="s">
        <v>170</v>
      </c>
      <c r="B3325" s="5">
        <v>41409</v>
      </c>
      <c r="C3325" s="5" t="s">
        <v>5276</v>
      </c>
      <c r="D3325" t="s">
        <v>5276</v>
      </c>
      <c r="G3325" t="s">
        <v>6159</v>
      </c>
    </row>
    <row r="3326" spans="1:7" x14ac:dyDescent="0.25">
      <c r="A3326" t="s">
        <v>170</v>
      </c>
      <c r="B3326" s="5">
        <v>41423</v>
      </c>
      <c r="C3326" s="5" t="s">
        <v>5277</v>
      </c>
      <c r="D3326" t="s">
        <v>5277</v>
      </c>
      <c r="G3326" t="s">
        <v>6159</v>
      </c>
    </row>
    <row r="3327" spans="1:7" x14ac:dyDescent="0.25">
      <c r="A3327" t="s">
        <v>51</v>
      </c>
      <c r="B3327" s="5">
        <v>41423</v>
      </c>
      <c r="C3327" s="5" t="s">
        <v>5278</v>
      </c>
      <c r="D3327" t="s">
        <v>5278</v>
      </c>
      <c r="G3327" t="s">
        <v>6159</v>
      </c>
    </row>
    <row r="3328" spans="1:7" x14ac:dyDescent="0.25">
      <c r="A3328" t="s">
        <v>17</v>
      </c>
      <c r="B3328" s="5">
        <v>41423</v>
      </c>
      <c r="C3328" s="5" t="s">
        <v>5279</v>
      </c>
      <c r="D3328" t="s">
        <v>5279</v>
      </c>
      <c r="G3328" t="s">
        <v>6159</v>
      </c>
    </row>
    <row r="3329" spans="1:7" x14ac:dyDescent="0.25">
      <c r="A3329" t="s">
        <v>2203</v>
      </c>
      <c r="B3329" s="5">
        <v>41410</v>
      </c>
      <c r="C3329" s="5" t="s">
        <v>5280</v>
      </c>
      <c r="D3329" t="s">
        <v>5280</v>
      </c>
      <c r="G3329" t="s">
        <v>6159</v>
      </c>
    </row>
    <row r="3330" spans="1:7" x14ac:dyDescent="0.25">
      <c r="A3330" t="s">
        <v>2203</v>
      </c>
      <c r="B3330" s="5">
        <v>41423</v>
      </c>
      <c r="C3330" s="5" t="s">
        <v>5281</v>
      </c>
      <c r="D3330" t="s">
        <v>5281</v>
      </c>
      <c r="G3330" t="s">
        <v>6159</v>
      </c>
    </row>
    <row r="3331" spans="1:7" x14ac:dyDescent="0.25">
      <c r="A3331" t="s">
        <v>2929</v>
      </c>
      <c r="B3331" s="5">
        <v>41409</v>
      </c>
      <c r="C3331" s="5" t="s">
        <v>5282</v>
      </c>
      <c r="D3331" t="s">
        <v>5282</v>
      </c>
      <c r="G3331" t="s">
        <v>6159</v>
      </c>
    </row>
    <row r="3332" spans="1:7" x14ac:dyDescent="0.25">
      <c r="A3332" t="s">
        <v>2953</v>
      </c>
      <c r="B3332" s="5">
        <v>41409</v>
      </c>
      <c r="C3332" s="5" t="s">
        <v>5283</v>
      </c>
      <c r="D3332" t="s">
        <v>5283</v>
      </c>
      <c r="G3332" t="s">
        <v>6159</v>
      </c>
    </row>
    <row r="3333" spans="1:7" x14ac:dyDescent="0.25">
      <c r="A3333" t="s">
        <v>2953</v>
      </c>
      <c r="B3333" s="5">
        <v>41422</v>
      </c>
      <c r="C3333" s="5" t="s">
        <v>5284</v>
      </c>
      <c r="D3333" t="s">
        <v>5284</v>
      </c>
      <c r="G3333" t="s">
        <v>6159</v>
      </c>
    </row>
    <row r="3334" spans="1:7" x14ac:dyDescent="0.25">
      <c r="A3334" t="s">
        <v>2928</v>
      </c>
      <c r="B3334" s="5">
        <v>41409</v>
      </c>
      <c r="C3334" s="5" t="s">
        <v>5285</v>
      </c>
      <c r="D3334" t="s">
        <v>5285</v>
      </c>
      <c r="G3334" t="s">
        <v>6159</v>
      </c>
    </row>
    <row r="3335" spans="1:7" x14ac:dyDescent="0.25">
      <c r="A3335" t="s">
        <v>2928</v>
      </c>
      <c r="B3335" s="5">
        <v>41422</v>
      </c>
      <c r="C3335" s="5" t="s">
        <v>5286</v>
      </c>
      <c r="D3335" t="s">
        <v>5286</v>
      </c>
      <c r="G3335" t="s">
        <v>6159</v>
      </c>
    </row>
    <row r="3336" spans="1:7" x14ac:dyDescent="0.25">
      <c r="A3336" t="s">
        <v>2698</v>
      </c>
      <c r="B3336" s="5">
        <v>41436</v>
      </c>
      <c r="C3336" s="5" t="s">
        <v>5287</v>
      </c>
      <c r="D3336" t="s">
        <v>5287</v>
      </c>
      <c r="G3336" t="s">
        <v>6159</v>
      </c>
    </row>
    <row r="3337" spans="1:7" x14ac:dyDescent="0.25">
      <c r="A3337" t="s">
        <v>2929</v>
      </c>
      <c r="B3337" s="5">
        <v>41436</v>
      </c>
      <c r="C3337" s="5" t="s">
        <v>5288</v>
      </c>
      <c r="D3337" t="s">
        <v>5288</v>
      </c>
      <c r="G3337" t="s">
        <v>6159</v>
      </c>
    </row>
    <row r="3338" spans="1:7" x14ac:dyDescent="0.25">
      <c r="A3338" t="s">
        <v>2953</v>
      </c>
      <c r="B3338" s="5">
        <v>41436</v>
      </c>
      <c r="C3338" s="5" t="s">
        <v>5289</v>
      </c>
      <c r="D3338" t="s">
        <v>5289</v>
      </c>
      <c r="G3338" t="s">
        <v>6159</v>
      </c>
    </row>
    <row r="3339" spans="1:7" x14ac:dyDescent="0.25">
      <c r="A3339" t="s">
        <v>2954</v>
      </c>
      <c r="B3339" s="5">
        <v>41437</v>
      </c>
      <c r="C3339" s="5" t="s">
        <v>5290</v>
      </c>
      <c r="D3339" t="s">
        <v>5290</v>
      </c>
      <c r="G3339" t="s">
        <v>6159</v>
      </c>
    </row>
    <row r="3340" spans="1:7" x14ac:dyDescent="0.25">
      <c r="A3340" t="s">
        <v>170</v>
      </c>
      <c r="B3340" s="5">
        <v>41437</v>
      </c>
      <c r="C3340" s="5" t="s">
        <v>5291</v>
      </c>
      <c r="D3340" t="s">
        <v>5291</v>
      </c>
      <c r="G3340" t="s">
        <v>6159</v>
      </c>
    </row>
    <row r="3341" spans="1:7" x14ac:dyDescent="0.25">
      <c r="A3341" t="s">
        <v>51</v>
      </c>
      <c r="B3341" s="5">
        <v>41437</v>
      </c>
      <c r="C3341" s="5" t="s">
        <v>5292</v>
      </c>
      <c r="D3341" t="s">
        <v>5292</v>
      </c>
      <c r="G3341" t="s">
        <v>6159</v>
      </c>
    </row>
    <row r="3342" spans="1:7" x14ac:dyDescent="0.25">
      <c r="A3342" t="s">
        <v>17</v>
      </c>
      <c r="B3342" s="5">
        <v>41437</v>
      </c>
      <c r="C3342" s="5" t="s">
        <v>5293</v>
      </c>
      <c r="D3342" t="s">
        <v>5293</v>
      </c>
      <c r="G3342" t="s">
        <v>6159</v>
      </c>
    </row>
    <row r="3343" spans="1:7" x14ac:dyDescent="0.25">
      <c r="A3343" t="s">
        <v>2203</v>
      </c>
      <c r="B3343" s="5">
        <v>41437</v>
      </c>
      <c r="C3343" s="5" t="s">
        <v>5294</v>
      </c>
      <c r="D3343" t="s">
        <v>5294</v>
      </c>
      <c r="G3343" t="s">
        <v>6159</v>
      </c>
    </row>
    <row r="3344" spans="1:7" x14ac:dyDescent="0.25">
      <c r="A3344" t="s">
        <v>2445</v>
      </c>
      <c r="B3344" s="5">
        <v>41527</v>
      </c>
      <c r="C3344" s="5" t="s">
        <v>5295</v>
      </c>
      <c r="D3344" t="s">
        <v>5295</v>
      </c>
      <c r="G3344" t="s">
        <v>6159</v>
      </c>
    </row>
    <row r="3345" spans="1:7" x14ac:dyDescent="0.25">
      <c r="A3345" t="s">
        <v>2928</v>
      </c>
      <c r="B3345" s="5">
        <v>41527</v>
      </c>
      <c r="C3345" s="5" t="s">
        <v>5296</v>
      </c>
      <c r="D3345" t="s">
        <v>5296</v>
      </c>
      <c r="G3345" t="s">
        <v>6159</v>
      </c>
    </row>
    <row r="3346" spans="1:7" x14ac:dyDescent="0.25">
      <c r="A3346" t="s">
        <v>2836</v>
      </c>
      <c r="B3346" s="5">
        <v>41513</v>
      </c>
      <c r="C3346" s="5" t="s">
        <v>5297</v>
      </c>
      <c r="D3346" t="s">
        <v>5297</v>
      </c>
      <c r="G3346" t="s">
        <v>6159</v>
      </c>
    </row>
    <row r="3347" spans="1:7" x14ac:dyDescent="0.25">
      <c r="A3347" t="s">
        <v>2954</v>
      </c>
      <c r="B3347" s="5">
        <v>41508</v>
      </c>
      <c r="C3347" s="5" t="s">
        <v>5298</v>
      </c>
      <c r="D3347" t="s">
        <v>5298</v>
      </c>
      <c r="G3347" t="s">
        <v>6159</v>
      </c>
    </row>
    <row r="3348" spans="1:7" x14ac:dyDescent="0.25">
      <c r="A3348" t="s">
        <v>197</v>
      </c>
      <c r="B3348" s="5">
        <v>41451</v>
      </c>
      <c r="C3348" s="5" t="s">
        <v>5299</v>
      </c>
      <c r="D3348" t="s">
        <v>5299</v>
      </c>
      <c r="G3348" t="s">
        <v>6159</v>
      </c>
    </row>
    <row r="3349" spans="1:7" x14ac:dyDescent="0.25">
      <c r="A3349" t="s">
        <v>2698</v>
      </c>
      <c r="B3349" s="5">
        <v>41451</v>
      </c>
      <c r="C3349" s="5" t="s">
        <v>5300</v>
      </c>
      <c r="D3349" t="s">
        <v>5300</v>
      </c>
      <c r="G3349" t="s">
        <v>6159</v>
      </c>
    </row>
    <row r="3350" spans="1:7" x14ac:dyDescent="0.25">
      <c r="A3350" t="s">
        <v>2929</v>
      </c>
      <c r="B3350" s="5">
        <v>41451</v>
      </c>
      <c r="C3350" s="5" t="s">
        <v>5301</v>
      </c>
      <c r="D3350" t="s">
        <v>5301</v>
      </c>
      <c r="G3350" t="s">
        <v>6159</v>
      </c>
    </row>
    <row r="3351" spans="1:7" x14ac:dyDescent="0.25">
      <c r="A3351" t="s">
        <v>2953</v>
      </c>
      <c r="B3351" s="5">
        <v>41451</v>
      </c>
      <c r="C3351" s="5" t="s">
        <v>5302</v>
      </c>
      <c r="D3351" t="s">
        <v>5302</v>
      </c>
      <c r="G3351" t="s">
        <v>6159</v>
      </c>
    </row>
    <row r="3352" spans="1:7" x14ac:dyDescent="0.25">
      <c r="A3352" t="s">
        <v>51</v>
      </c>
      <c r="B3352" s="5">
        <v>41452</v>
      </c>
      <c r="C3352" s="5" t="s">
        <v>5303</v>
      </c>
      <c r="D3352" t="s">
        <v>5303</v>
      </c>
      <c r="G3352" t="s">
        <v>6159</v>
      </c>
    </row>
    <row r="3353" spans="1:7" x14ac:dyDescent="0.25">
      <c r="A3353" t="s">
        <v>2928</v>
      </c>
      <c r="B3353" s="5">
        <v>41507</v>
      </c>
      <c r="C3353" s="5" t="s">
        <v>5304</v>
      </c>
      <c r="D3353" t="s">
        <v>5304</v>
      </c>
      <c r="G3353" t="s">
        <v>6159</v>
      </c>
    </row>
    <row r="3354" spans="1:7" x14ac:dyDescent="0.25">
      <c r="A3354" t="s">
        <v>2930</v>
      </c>
      <c r="B3354" s="5">
        <v>41506</v>
      </c>
      <c r="C3354" s="5" t="s">
        <v>5305</v>
      </c>
      <c r="D3354" t="s">
        <v>5305</v>
      </c>
      <c r="G3354" t="s">
        <v>6159</v>
      </c>
    </row>
    <row r="3355" spans="1:7" x14ac:dyDescent="0.25">
      <c r="A3355" t="s">
        <v>170</v>
      </c>
      <c r="B3355" s="5">
        <v>41493</v>
      </c>
      <c r="C3355" s="5" t="s">
        <v>5306</v>
      </c>
      <c r="D3355" t="s">
        <v>5306</v>
      </c>
      <c r="G3355" t="s">
        <v>6159</v>
      </c>
    </row>
    <row r="3356" spans="1:7" x14ac:dyDescent="0.25">
      <c r="A3356" t="s">
        <v>51</v>
      </c>
      <c r="B3356" s="5">
        <v>41493</v>
      </c>
      <c r="C3356" s="5" t="s">
        <v>5307</v>
      </c>
      <c r="D3356" t="s">
        <v>5307</v>
      </c>
      <c r="G3356" t="s">
        <v>6159</v>
      </c>
    </row>
    <row r="3357" spans="1:7" x14ac:dyDescent="0.25">
      <c r="A3357" t="s">
        <v>197</v>
      </c>
      <c r="B3357" s="5">
        <v>41492</v>
      </c>
      <c r="C3357" s="5" t="s">
        <v>5308</v>
      </c>
      <c r="D3357" t="s">
        <v>5308</v>
      </c>
      <c r="G3357" t="s">
        <v>6159</v>
      </c>
    </row>
    <row r="3358" spans="1:7" x14ac:dyDescent="0.25">
      <c r="A3358" t="s">
        <v>2929</v>
      </c>
      <c r="B3358" s="5">
        <v>41492</v>
      </c>
      <c r="C3358" s="5" t="s">
        <v>5309</v>
      </c>
      <c r="D3358" t="s">
        <v>5309</v>
      </c>
      <c r="G3358" t="s">
        <v>6159</v>
      </c>
    </row>
    <row r="3359" spans="1:7" x14ac:dyDescent="0.25">
      <c r="A3359" t="s">
        <v>2928</v>
      </c>
      <c r="B3359" s="5">
        <v>41492</v>
      </c>
      <c r="C3359" s="5" t="s">
        <v>5310</v>
      </c>
      <c r="D3359" t="s">
        <v>5310</v>
      </c>
      <c r="G3359" t="s">
        <v>6159</v>
      </c>
    </row>
    <row r="3360" spans="1:7" x14ac:dyDescent="0.25">
      <c r="A3360" t="s">
        <v>2929</v>
      </c>
      <c r="B3360" s="5">
        <v>41891</v>
      </c>
      <c r="C3360" s="5" t="s">
        <v>5311</v>
      </c>
      <c r="D3360" t="s">
        <v>5311</v>
      </c>
      <c r="G3360" t="s">
        <v>6159</v>
      </c>
    </row>
    <row r="3361" spans="1:7" x14ac:dyDescent="0.25">
      <c r="A3361" t="s">
        <v>51</v>
      </c>
      <c r="B3361" s="5">
        <v>41480</v>
      </c>
      <c r="C3361" s="5" t="s">
        <v>5312</v>
      </c>
      <c r="D3361" t="s">
        <v>5312</v>
      </c>
      <c r="G3361" t="s">
        <v>6159</v>
      </c>
    </row>
    <row r="3362" spans="1:7" x14ac:dyDescent="0.25">
      <c r="A3362" t="s">
        <v>17</v>
      </c>
      <c r="B3362" s="5">
        <v>41480</v>
      </c>
      <c r="C3362" s="5" t="s">
        <v>5313</v>
      </c>
      <c r="D3362" t="s">
        <v>5313</v>
      </c>
      <c r="G3362" t="s">
        <v>6159</v>
      </c>
    </row>
    <row r="3363" spans="1:7" x14ac:dyDescent="0.25">
      <c r="A3363" t="s">
        <v>2698</v>
      </c>
      <c r="B3363" s="5">
        <v>41479</v>
      </c>
      <c r="C3363" s="5" t="s">
        <v>5314</v>
      </c>
      <c r="D3363" t="s">
        <v>5314</v>
      </c>
      <c r="G3363" t="s">
        <v>6159</v>
      </c>
    </row>
    <row r="3364" spans="1:7" x14ac:dyDescent="0.25">
      <c r="A3364" t="s">
        <v>2928</v>
      </c>
      <c r="B3364" s="5">
        <v>41479</v>
      </c>
      <c r="C3364" s="5" t="s">
        <v>5315</v>
      </c>
      <c r="D3364" t="s">
        <v>5315</v>
      </c>
      <c r="G3364" t="s">
        <v>6159</v>
      </c>
    </row>
    <row r="3365" spans="1:7" x14ac:dyDescent="0.25">
      <c r="A3365" t="s">
        <v>2954</v>
      </c>
      <c r="B3365" s="5">
        <v>41464</v>
      </c>
      <c r="C3365" s="5" t="s">
        <v>5316</v>
      </c>
      <c r="D3365" t="s">
        <v>5316</v>
      </c>
      <c r="G3365" t="s">
        <v>6159</v>
      </c>
    </row>
    <row r="3366" spans="1:7" x14ac:dyDescent="0.25">
      <c r="A3366" t="s">
        <v>170</v>
      </c>
      <c r="B3366" s="5">
        <v>41464</v>
      </c>
      <c r="C3366" s="5" t="s">
        <v>5317</v>
      </c>
      <c r="D3366" t="s">
        <v>5317</v>
      </c>
      <c r="G3366" t="s">
        <v>6159</v>
      </c>
    </row>
    <row r="3367" spans="1:7" x14ac:dyDescent="0.25">
      <c r="A3367" t="s">
        <v>51</v>
      </c>
      <c r="B3367" s="5">
        <v>41464</v>
      </c>
      <c r="C3367" s="5" t="s">
        <v>5318</v>
      </c>
      <c r="D3367" t="s">
        <v>5318</v>
      </c>
      <c r="G3367" t="s">
        <v>6159</v>
      </c>
    </row>
    <row r="3368" spans="1:7" x14ac:dyDescent="0.25">
      <c r="A3368" t="s">
        <v>2927</v>
      </c>
      <c r="B3368" s="5">
        <v>41463</v>
      </c>
      <c r="C3368" s="5" t="s">
        <v>5319</v>
      </c>
      <c r="D3368" t="s">
        <v>5319</v>
      </c>
      <c r="G3368" t="s">
        <v>6159</v>
      </c>
    </row>
    <row r="3369" spans="1:7" x14ac:dyDescent="0.25">
      <c r="A3369" t="s">
        <v>2928</v>
      </c>
      <c r="B3369" s="5">
        <v>41463</v>
      </c>
      <c r="C3369" s="5" t="s">
        <v>5320</v>
      </c>
      <c r="D3369" t="s">
        <v>5320</v>
      </c>
      <c r="G3369" t="s">
        <v>6159</v>
      </c>
    </row>
    <row r="3370" spans="1:7" x14ac:dyDescent="0.25">
      <c r="A3370" t="s">
        <v>2927</v>
      </c>
      <c r="B3370" s="5">
        <v>41877</v>
      </c>
      <c r="C3370" s="5" t="s">
        <v>5321</v>
      </c>
      <c r="D3370" t="s">
        <v>5321</v>
      </c>
      <c r="G3370" t="s">
        <v>6159</v>
      </c>
    </row>
    <row r="3371" spans="1:7" x14ac:dyDescent="0.25">
      <c r="A3371" t="s">
        <v>2888</v>
      </c>
      <c r="B3371" s="5">
        <v>42164</v>
      </c>
      <c r="C3371" s="5" t="s">
        <v>5322</v>
      </c>
      <c r="D3371" t="s">
        <v>5322</v>
      </c>
      <c r="G3371" t="s">
        <v>6159</v>
      </c>
    </row>
    <row r="3372" spans="1:7" x14ac:dyDescent="0.25">
      <c r="A3372" t="s">
        <v>2927</v>
      </c>
      <c r="B3372" s="5">
        <v>41842</v>
      </c>
      <c r="C3372" s="5" t="s">
        <v>5323</v>
      </c>
      <c r="D3372" t="s">
        <v>5323</v>
      </c>
      <c r="G3372" t="s">
        <v>6159</v>
      </c>
    </row>
    <row r="3373" spans="1:7" x14ac:dyDescent="0.25">
      <c r="A3373" t="s">
        <v>2972</v>
      </c>
      <c r="B3373" s="5">
        <v>42459</v>
      </c>
      <c r="C3373" s="5" t="s">
        <v>5324</v>
      </c>
      <c r="D3373" t="s">
        <v>5324</v>
      </c>
      <c r="G3373" t="s">
        <v>6159</v>
      </c>
    </row>
    <row r="3374" spans="1:7" x14ac:dyDescent="0.25">
      <c r="A3374" t="s">
        <v>2445</v>
      </c>
      <c r="B3374" s="5">
        <v>41891</v>
      </c>
      <c r="C3374" s="5" t="s">
        <v>5325</v>
      </c>
      <c r="D3374" t="s">
        <v>5325</v>
      </c>
      <c r="G3374" t="s">
        <v>6159</v>
      </c>
    </row>
    <row r="3375" spans="1:7" x14ac:dyDescent="0.25">
      <c r="A3375" t="s">
        <v>2894</v>
      </c>
      <c r="B3375" s="5">
        <v>41739</v>
      </c>
      <c r="C3375" s="5" t="s">
        <v>5326</v>
      </c>
      <c r="D3375" t="s">
        <v>5326</v>
      </c>
      <c r="G3375" t="s">
        <v>6159</v>
      </c>
    </row>
    <row r="3376" spans="1:7" x14ac:dyDescent="0.25">
      <c r="A3376" t="s">
        <v>2882</v>
      </c>
      <c r="B3376" s="5">
        <v>41739</v>
      </c>
      <c r="C3376" s="5" t="s">
        <v>5327</v>
      </c>
      <c r="D3376" t="s">
        <v>5327</v>
      </c>
      <c r="G3376" t="s">
        <v>6159</v>
      </c>
    </row>
    <row r="3377" spans="1:7" x14ac:dyDescent="0.25">
      <c r="A3377" t="s">
        <v>2895</v>
      </c>
      <c r="B3377" s="5">
        <v>41738</v>
      </c>
      <c r="C3377" s="5" t="s">
        <v>5328</v>
      </c>
      <c r="D3377" t="s">
        <v>5328</v>
      </c>
      <c r="G3377" t="s">
        <v>6159</v>
      </c>
    </row>
    <row r="3378" spans="1:7" x14ac:dyDescent="0.25">
      <c r="A3378" t="s">
        <v>2954</v>
      </c>
      <c r="B3378" s="5">
        <v>41543</v>
      </c>
      <c r="C3378" s="5" t="s">
        <v>5329</v>
      </c>
      <c r="D3378" t="s">
        <v>5329</v>
      </c>
      <c r="G3378" t="s">
        <v>6159</v>
      </c>
    </row>
    <row r="3379" spans="1:7" x14ac:dyDescent="0.25">
      <c r="A3379" t="s">
        <v>170</v>
      </c>
      <c r="B3379" s="5">
        <v>41892</v>
      </c>
      <c r="C3379" s="5" t="s">
        <v>5330</v>
      </c>
      <c r="D3379" t="s">
        <v>5330</v>
      </c>
      <c r="G3379" t="s">
        <v>6159</v>
      </c>
    </row>
    <row r="3380" spans="1:7" x14ac:dyDescent="0.25">
      <c r="A3380" t="s">
        <v>197</v>
      </c>
      <c r="B3380" s="5">
        <v>41542</v>
      </c>
      <c r="C3380" s="5" t="s">
        <v>5331</v>
      </c>
      <c r="D3380" t="s">
        <v>5331</v>
      </c>
      <c r="G3380" t="s">
        <v>6159</v>
      </c>
    </row>
    <row r="3381" spans="1:7" x14ac:dyDescent="0.25">
      <c r="A3381" t="s">
        <v>2970</v>
      </c>
      <c r="B3381" s="5">
        <v>42025</v>
      </c>
      <c r="C3381" s="5" t="s">
        <v>5332</v>
      </c>
      <c r="D3381" t="s">
        <v>5332</v>
      </c>
      <c r="G3381" t="s">
        <v>6159</v>
      </c>
    </row>
    <row r="3382" spans="1:7" x14ac:dyDescent="0.25">
      <c r="A3382" t="s">
        <v>17</v>
      </c>
      <c r="B3382" s="5">
        <v>41857</v>
      </c>
      <c r="C3382" s="5" t="s">
        <v>5333</v>
      </c>
      <c r="D3382" t="s">
        <v>5333</v>
      </c>
      <c r="G3382" t="s">
        <v>6159</v>
      </c>
    </row>
    <row r="3383" spans="1:7" x14ac:dyDescent="0.25">
      <c r="A3383" t="s">
        <v>2954</v>
      </c>
      <c r="B3383" s="5">
        <v>41857</v>
      </c>
      <c r="C3383" s="5" t="s">
        <v>5334</v>
      </c>
      <c r="D3383" t="s">
        <v>5334</v>
      </c>
      <c r="G3383" t="s">
        <v>6159</v>
      </c>
    </row>
    <row r="3384" spans="1:7" x14ac:dyDescent="0.25">
      <c r="A3384" t="s">
        <v>197</v>
      </c>
      <c r="B3384" s="5">
        <v>41842</v>
      </c>
      <c r="C3384" s="5" t="s">
        <v>5335</v>
      </c>
      <c r="D3384" t="s">
        <v>5335</v>
      </c>
      <c r="G3384" t="s">
        <v>6159</v>
      </c>
    </row>
    <row r="3385" spans="1:7" x14ac:dyDescent="0.25">
      <c r="A3385" t="s">
        <v>2698</v>
      </c>
      <c r="B3385" s="5">
        <v>41905</v>
      </c>
      <c r="C3385" s="5" t="s">
        <v>5336</v>
      </c>
      <c r="D3385" t="s">
        <v>5336</v>
      </c>
      <c r="G3385" t="s">
        <v>6159</v>
      </c>
    </row>
    <row r="3386" spans="1:7" x14ac:dyDescent="0.25">
      <c r="A3386" t="s">
        <v>170</v>
      </c>
      <c r="B3386" s="5">
        <v>41508</v>
      </c>
      <c r="C3386" s="5" t="s">
        <v>5337</v>
      </c>
      <c r="D3386" t="s">
        <v>5337</v>
      </c>
      <c r="G3386" t="s">
        <v>6159</v>
      </c>
    </row>
    <row r="3387" spans="1:7" x14ac:dyDescent="0.25">
      <c r="A3387" t="s">
        <v>2445</v>
      </c>
      <c r="B3387" s="5">
        <v>41492</v>
      </c>
      <c r="C3387" s="5" t="s">
        <v>5338</v>
      </c>
      <c r="D3387" t="s">
        <v>5338</v>
      </c>
      <c r="G3387" t="s">
        <v>6159</v>
      </c>
    </row>
    <row r="3388" spans="1:7" x14ac:dyDescent="0.25">
      <c r="A3388" t="s">
        <v>217</v>
      </c>
      <c r="B3388" s="5">
        <v>41906</v>
      </c>
      <c r="C3388" s="5" t="s">
        <v>5339</v>
      </c>
      <c r="D3388" t="s">
        <v>5339</v>
      </c>
      <c r="G3388" t="s">
        <v>6159</v>
      </c>
    </row>
    <row r="3389" spans="1:7" x14ac:dyDescent="0.25">
      <c r="A3389" t="s">
        <v>2954</v>
      </c>
      <c r="B3389" s="5">
        <v>41528</v>
      </c>
      <c r="C3389" s="5" t="s">
        <v>5340</v>
      </c>
      <c r="D3389" t="s">
        <v>5340</v>
      </c>
      <c r="G3389" t="s">
        <v>6159</v>
      </c>
    </row>
    <row r="3390" spans="1:7" x14ac:dyDescent="0.25">
      <c r="A3390" t="s">
        <v>2864</v>
      </c>
      <c r="B3390" s="5">
        <v>41512</v>
      </c>
      <c r="C3390" s="5" t="s">
        <v>5341</v>
      </c>
      <c r="D3390" t="s">
        <v>5341</v>
      </c>
      <c r="G3390" t="s">
        <v>6159</v>
      </c>
    </row>
    <row r="3391" spans="1:7" x14ac:dyDescent="0.25">
      <c r="A3391" t="s">
        <v>2954</v>
      </c>
      <c r="B3391" s="5">
        <v>41878</v>
      </c>
      <c r="C3391" s="5" t="s">
        <v>5342</v>
      </c>
      <c r="D3391" t="s">
        <v>5342</v>
      </c>
      <c r="G3391" t="s">
        <v>6159</v>
      </c>
    </row>
    <row r="3392" spans="1:7" x14ac:dyDescent="0.25">
      <c r="A3392" t="s">
        <v>2203</v>
      </c>
      <c r="B3392" s="5">
        <v>41508</v>
      </c>
      <c r="C3392" s="5" t="s">
        <v>5343</v>
      </c>
      <c r="D3392" t="s">
        <v>5343</v>
      </c>
      <c r="G3392" t="s">
        <v>6159</v>
      </c>
    </row>
    <row r="3393" spans="1:7" x14ac:dyDescent="0.25">
      <c r="A3393" t="s">
        <v>2698</v>
      </c>
      <c r="B3393" s="5">
        <v>41507</v>
      </c>
      <c r="C3393" s="5" t="s">
        <v>5344</v>
      </c>
      <c r="D3393" t="s">
        <v>5344</v>
      </c>
      <c r="G3393" t="s">
        <v>6159</v>
      </c>
    </row>
    <row r="3394" spans="1:7" x14ac:dyDescent="0.25">
      <c r="A3394" t="s">
        <v>2954</v>
      </c>
      <c r="B3394" s="5">
        <v>41892</v>
      </c>
      <c r="C3394" s="5" t="s">
        <v>5345</v>
      </c>
      <c r="D3394" t="s">
        <v>5345</v>
      </c>
      <c r="G3394" t="s">
        <v>6159</v>
      </c>
    </row>
    <row r="3395" spans="1:7" x14ac:dyDescent="0.25">
      <c r="A3395" t="s">
        <v>2203</v>
      </c>
      <c r="B3395" s="5">
        <v>41857</v>
      </c>
      <c r="C3395" s="5" t="s">
        <v>5346</v>
      </c>
      <c r="D3395" t="s">
        <v>5346</v>
      </c>
      <c r="G3395" t="s">
        <v>6159</v>
      </c>
    </row>
    <row r="3396" spans="1:7" x14ac:dyDescent="0.25">
      <c r="A3396" t="s">
        <v>17</v>
      </c>
      <c r="B3396" s="5">
        <v>41843</v>
      </c>
      <c r="C3396" s="5" t="s">
        <v>5347</v>
      </c>
      <c r="D3396" t="s">
        <v>5347</v>
      </c>
      <c r="G3396" t="s">
        <v>6159</v>
      </c>
    </row>
    <row r="3397" spans="1:7" x14ac:dyDescent="0.25">
      <c r="A3397" t="s">
        <v>2954</v>
      </c>
      <c r="B3397" s="5">
        <v>41480</v>
      </c>
      <c r="C3397" s="5" t="s">
        <v>5348</v>
      </c>
      <c r="D3397" t="s">
        <v>5348</v>
      </c>
      <c r="G3397" t="s">
        <v>6159</v>
      </c>
    </row>
    <row r="3398" spans="1:7" x14ac:dyDescent="0.25">
      <c r="A3398" t="s">
        <v>2953</v>
      </c>
      <c r="B3398" s="5">
        <v>41479</v>
      </c>
      <c r="C3398" s="5" t="s">
        <v>5349</v>
      </c>
      <c r="D3398" t="s">
        <v>5349</v>
      </c>
      <c r="G3398" t="s">
        <v>6159</v>
      </c>
    </row>
    <row r="3399" spans="1:7" x14ac:dyDescent="0.25">
      <c r="A3399" t="s">
        <v>51</v>
      </c>
      <c r="B3399" s="5">
        <v>41508</v>
      </c>
      <c r="C3399" s="5" t="s">
        <v>5350</v>
      </c>
      <c r="D3399" t="s">
        <v>5350</v>
      </c>
      <c r="G3399" t="s">
        <v>6159</v>
      </c>
    </row>
    <row r="3400" spans="1:7" x14ac:dyDescent="0.25">
      <c r="A3400" t="s">
        <v>2445</v>
      </c>
      <c r="B3400" s="5">
        <v>41463</v>
      </c>
      <c r="C3400" s="5" t="s">
        <v>5351</v>
      </c>
      <c r="D3400" t="s">
        <v>5351</v>
      </c>
      <c r="G3400" t="s">
        <v>6159</v>
      </c>
    </row>
    <row r="3401" spans="1:7" x14ac:dyDescent="0.25">
      <c r="A3401" t="s">
        <v>2927</v>
      </c>
      <c r="B3401" s="5">
        <v>41507</v>
      </c>
      <c r="C3401" s="5" t="s">
        <v>5352</v>
      </c>
      <c r="D3401" t="s">
        <v>5352</v>
      </c>
      <c r="G3401" t="s">
        <v>6159</v>
      </c>
    </row>
    <row r="3402" spans="1:7" x14ac:dyDescent="0.25">
      <c r="A3402" t="s">
        <v>2929</v>
      </c>
      <c r="B3402" s="5">
        <v>41542</v>
      </c>
      <c r="C3402" s="5" t="s">
        <v>5353</v>
      </c>
      <c r="D3402" t="s">
        <v>5353</v>
      </c>
      <c r="G3402" t="s">
        <v>6159</v>
      </c>
    </row>
    <row r="3403" spans="1:7" x14ac:dyDescent="0.25">
      <c r="A3403" t="s">
        <v>2891</v>
      </c>
      <c r="B3403" s="5">
        <v>42257</v>
      </c>
      <c r="C3403" s="5" t="s">
        <v>5354</v>
      </c>
      <c r="D3403" t="s">
        <v>5354</v>
      </c>
      <c r="G3403" t="s">
        <v>6159</v>
      </c>
    </row>
    <row r="3404" spans="1:7" x14ac:dyDescent="0.25">
      <c r="A3404" t="s">
        <v>51</v>
      </c>
      <c r="B3404" s="5">
        <v>41857</v>
      </c>
      <c r="C3404" s="5" t="s">
        <v>5355</v>
      </c>
      <c r="D3404" t="s">
        <v>5355</v>
      </c>
      <c r="G3404" t="s">
        <v>6159</v>
      </c>
    </row>
    <row r="3405" spans="1:7" x14ac:dyDescent="0.25">
      <c r="A3405" t="s">
        <v>170</v>
      </c>
      <c r="B3405" s="5">
        <v>41857</v>
      </c>
      <c r="C3405" s="5" t="s">
        <v>5356</v>
      </c>
      <c r="D3405" t="s">
        <v>5356</v>
      </c>
      <c r="G3405" t="s">
        <v>6159</v>
      </c>
    </row>
    <row r="3406" spans="1:7" x14ac:dyDescent="0.25">
      <c r="A3406" t="s">
        <v>2928</v>
      </c>
      <c r="B3406" s="5">
        <v>41856</v>
      </c>
      <c r="C3406" s="5" t="s">
        <v>5357</v>
      </c>
      <c r="D3406" t="s">
        <v>5357</v>
      </c>
      <c r="G3406" t="s">
        <v>6159</v>
      </c>
    </row>
    <row r="3407" spans="1:7" x14ac:dyDescent="0.25">
      <c r="A3407" t="s">
        <v>2698</v>
      </c>
      <c r="B3407" s="5">
        <v>41856</v>
      </c>
      <c r="C3407" s="5" t="s">
        <v>5358</v>
      </c>
      <c r="D3407" t="s">
        <v>5358</v>
      </c>
      <c r="G3407" t="s">
        <v>6159</v>
      </c>
    </row>
    <row r="3408" spans="1:7" x14ac:dyDescent="0.25">
      <c r="A3408" t="s">
        <v>369</v>
      </c>
      <c r="B3408" s="5">
        <v>41533</v>
      </c>
      <c r="C3408" s="5" t="s">
        <v>5359</v>
      </c>
      <c r="D3408" t="s">
        <v>5359</v>
      </c>
      <c r="G3408" t="s">
        <v>6159</v>
      </c>
    </row>
    <row r="3409" spans="1:7" x14ac:dyDescent="0.25">
      <c r="A3409" t="s">
        <v>2953</v>
      </c>
      <c r="B3409" s="5">
        <v>41842</v>
      </c>
      <c r="C3409" s="5" t="s">
        <v>5360</v>
      </c>
      <c r="D3409" t="s">
        <v>5360</v>
      </c>
      <c r="G3409" t="s">
        <v>6159</v>
      </c>
    </row>
    <row r="3410" spans="1:7" x14ac:dyDescent="0.25">
      <c r="A3410" t="s">
        <v>2928</v>
      </c>
      <c r="B3410" s="5">
        <v>41842</v>
      </c>
      <c r="C3410" s="5" t="s">
        <v>5361</v>
      </c>
      <c r="D3410" t="s">
        <v>5361</v>
      </c>
      <c r="G3410" t="s">
        <v>6159</v>
      </c>
    </row>
    <row r="3411" spans="1:7" x14ac:dyDescent="0.25">
      <c r="A3411" t="s">
        <v>2927</v>
      </c>
      <c r="B3411" s="5">
        <v>41479</v>
      </c>
      <c r="C3411" s="5" t="s">
        <v>5362</v>
      </c>
      <c r="D3411" t="s">
        <v>5362</v>
      </c>
      <c r="G3411" t="s">
        <v>6159</v>
      </c>
    </row>
    <row r="3412" spans="1:7" x14ac:dyDescent="0.25">
      <c r="A3412" t="s">
        <v>2953</v>
      </c>
      <c r="B3412" s="5">
        <v>41527</v>
      </c>
      <c r="C3412" s="5" t="s">
        <v>5363</v>
      </c>
      <c r="D3412" t="s">
        <v>5363</v>
      </c>
      <c r="G3412" t="s">
        <v>6159</v>
      </c>
    </row>
    <row r="3413" spans="1:7" x14ac:dyDescent="0.25">
      <c r="A3413" t="s">
        <v>2958</v>
      </c>
      <c r="B3413" s="5">
        <v>41464</v>
      </c>
      <c r="C3413" s="5" t="s">
        <v>5364</v>
      </c>
      <c r="D3413" t="s">
        <v>5364</v>
      </c>
      <c r="G3413" t="s">
        <v>6159</v>
      </c>
    </row>
    <row r="3414" spans="1:7" x14ac:dyDescent="0.25">
      <c r="A3414" t="s">
        <v>51</v>
      </c>
      <c r="B3414" s="5">
        <v>41878</v>
      </c>
      <c r="C3414" s="5" t="s">
        <v>5365</v>
      </c>
      <c r="D3414" t="s">
        <v>5365</v>
      </c>
      <c r="G3414" t="s">
        <v>6159</v>
      </c>
    </row>
    <row r="3415" spans="1:7" x14ac:dyDescent="0.25">
      <c r="A3415" t="s">
        <v>328</v>
      </c>
      <c r="B3415" s="5">
        <v>42257</v>
      </c>
      <c r="C3415" s="5" t="s">
        <v>5366</v>
      </c>
      <c r="D3415" t="s">
        <v>5366</v>
      </c>
      <c r="G3415" t="s">
        <v>6159</v>
      </c>
    </row>
    <row r="3416" spans="1:7" x14ac:dyDescent="0.25">
      <c r="A3416" t="s">
        <v>2928</v>
      </c>
      <c r="B3416" s="5">
        <v>41905</v>
      </c>
      <c r="C3416" s="5" t="s">
        <v>5367</v>
      </c>
      <c r="D3416" t="s">
        <v>5367</v>
      </c>
      <c r="G3416" t="s">
        <v>6159</v>
      </c>
    </row>
    <row r="3417" spans="1:7" x14ac:dyDescent="0.25">
      <c r="A3417" t="s">
        <v>170</v>
      </c>
      <c r="B3417" s="5">
        <v>41528</v>
      </c>
      <c r="C3417" s="5" t="s">
        <v>5368</v>
      </c>
      <c r="D3417" t="s">
        <v>5368</v>
      </c>
      <c r="G3417" t="s">
        <v>6159</v>
      </c>
    </row>
    <row r="3418" spans="1:7" x14ac:dyDescent="0.25">
      <c r="A3418" t="s">
        <v>17</v>
      </c>
      <c r="B3418" s="5">
        <v>41528</v>
      </c>
      <c r="C3418" s="5" t="s">
        <v>5369</v>
      </c>
      <c r="D3418" t="s">
        <v>5369</v>
      </c>
      <c r="G3418" t="s">
        <v>6159</v>
      </c>
    </row>
    <row r="3419" spans="1:7" x14ac:dyDescent="0.25">
      <c r="A3419" t="s">
        <v>2203</v>
      </c>
      <c r="B3419" s="5">
        <v>41528</v>
      </c>
      <c r="C3419" s="5" t="s">
        <v>5370</v>
      </c>
      <c r="D3419" t="s">
        <v>5370</v>
      </c>
      <c r="G3419" t="s">
        <v>6159</v>
      </c>
    </row>
    <row r="3420" spans="1:7" x14ac:dyDescent="0.25">
      <c r="A3420" t="s">
        <v>197</v>
      </c>
      <c r="B3420" s="5">
        <v>41527</v>
      </c>
      <c r="C3420" s="5" t="s">
        <v>5371</v>
      </c>
      <c r="D3420" t="s">
        <v>5371</v>
      </c>
      <c r="G3420" t="s">
        <v>6159</v>
      </c>
    </row>
    <row r="3421" spans="1:7" x14ac:dyDescent="0.25">
      <c r="A3421" t="s">
        <v>2698</v>
      </c>
      <c r="B3421" s="5">
        <v>41527</v>
      </c>
      <c r="C3421" s="5" t="s">
        <v>5372</v>
      </c>
      <c r="D3421" t="s">
        <v>5372</v>
      </c>
      <c r="G3421" t="s">
        <v>6159</v>
      </c>
    </row>
    <row r="3422" spans="1:7" x14ac:dyDescent="0.25">
      <c r="A3422" t="s">
        <v>2203</v>
      </c>
      <c r="B3422" s="5">
        <v>41464</v>
      </c>
      <c r="C3422" s="5" t="s">
        <v>5373</v>
      </c>
      <c r="D3422" t="s">
        <v>5373</v>
      </c>
      <c r="G3422" t="s">
        <v>6159</v>
      </c>
    </row>
    <row r="3423" spans="1:7" x14ac:dyDescent="0.25">
      <c r="A3423" t="s">
        <v>2897</v>
      </c>
      <c r="B3423" s="5">
        <v>41513</v>
      </c>
      <c r="C3423" s="5" t="s">
        <v>5374</v>
      </c>
      <c r="D3423" t="s">
        <v>5374</v>
      </c>
      <c r="G3423" t="s">
        <v>6159</v>
      </c>
    </row>
    <row r="3424" spans="1:7" x14ac:dyDescent="0.25">
      <c r="A3424" t="s">
        <v>2929</v>
      </c>
      <c r="B3424" s="5">
        <v>41507</v>
      </c>
      <c r="C3424" s="5" t="s">
        <v>5375</v>
      </c>
      <c r="D3424" t="s">
        <v>5375</v>
      </c>
      <c r="G3424" t="s">
        <v>6159</v>
      </c>
    </row>
    <row r="3425" spans="1:7" x14ac:dyDescent="0.25">
      <c r="A3425" t="s">
        <v>2698</v>
      </c>
      <c r="B3425" s="5">
        <v>41492</v>
      </c>
      <c r="C3425" s="5" t="s">
        <v>5376</v>
      </c>
      <c r="D3425" t="s">
        <v>5376</v>
      </c>
      <c r="G3425" t="s">
        <v>6159</v>
      </c>
    </row>
    <row r="3426" spans="1:7" x14ac:dyDescent="0.25">
      <c r="A3426" t="s">
        <v>2927</v>
      </c>
      <c r="B3426" s="5">
        <v>41492</v>
      </c>
      <c r="C3426" s="5" t="s">
        <v>5377</v>
      </c>
      <c r="D3426" t="s">
        <v>5377</v>
      </c>
      <c r="G3426" t="s">
        <v>6159</v>
      </c>
    </row>
    <row r="3427" spans="1:7" x14ac:dyDescent="0.25">
      <c r="A3427" t="s">
        <v>2928</v>
      </c>
      <c r="B3427" s="5">
        <v>41891</v>
      </c>
      <c r="C3427" s="5" t="s">
        <v>5378</v>
      </c>
      <c r="D3427" t="s">
        <v>5378</v>
      </c>
      <c r="G3427" t="s">
        <v>6159</v>
      </c>
    </row>
    <row r="3428" spans="1:7" x14ac:dyDescent="0.25">
      <c r="A3428" t="s">
        <v>2203</v>
      </c>
      <c r="B3428" s="5">
        <v>41480</v>
      </c>
      <c r="C3428" s="5" t="s">
        <v>5379</v>
      </c>
      <c r="D3428" t="s">
        <v>5379</v>
      </c>
      <c r="G3428" t="s">
        <v>6159</v>
      </c>
    </row>
    <row r="3429" spans="1:7" x14ac:dyDescent="0.25">
      <c r="A3429" t="s">
        <v>197</v>
      </c>
      <c r="B3429" s="5">
        <v>41463</v>
      </c>
      <c r="C3429" s="5" t="s">
        <v>5380</v>
      </c>
      <c r="D3429" t="s">
        <v>5380</v>
      </c>
      <c r="G3429" t="s">
        <v>6159</v>
      </c>
    </row>
    <row r="3430" spans="1:7" x14ac:dyDescent="0.25">
      <c r="A3430" t="s">
        <v>2896</v>
      </c>
      <c r="B3430" s="5">
        <v>42164</v>
      </c>
      <c r="C3430" s="5" t="s">
        <v>5381</v>
      </c>
      <c r="D3430" t="s">
        <v>5381</v>
      </c>
      <c r="G3430" t="s">
        <v>6159</v>
      </c>
    </row>
    <row r="3431" spans="1:7" x14ac:dyDescent="0.25">
      <c r="A3431" t="s">
        <v>2203</v>
      </c>
      <c r="B3431" s="5">
        <v>41892</v>
      </c>
      <c r="C3431" s="5" t="s">
        <v>5382</v>
      </c>
      <c r="D3431" t="s">
        <v>5382</v>
      </c>
      <c r="G3431" t="s">
        <v>6159</v>
      </c>
    </row>
    <row r="3432" spans="1:7" x14ac:dyDescent="0.25">
      <c r="A3432" t="s">
        <v>197</v>
      </c>
      <c r="B3432" s="5">
        <v>41905</v>
      </c>
      <c r="C3432" s="5" t="s">
        <v>5383</v>
      </c>
      <c r="D3432" t="s">
        <v>5383</v>
      </c>
      <c r="G3432" t="s">
        <v>6159</v>
      </c>
    </row>
    <row r="3433" spans="1:7" x14ac:dyDescent="0.25">
      <c r="A3433" t="s">
        <v>197</v>
      </c>
      <c r="B3433" s="5">
        <v>41877</v>
      </c>
      <c r="C3433" s="5" t="s">
        <v>5384</v>
      </c>
      <c r="D3433" t="s">
        <v>5384</v>
      </c>
      <c r="G3433" t="s">
        <v>6159</v>
      </c>
    </row>
    <row r="3434" spans="1:7" x14ac:dyDescent="0.25">
      <c r="A3434" t="s">
        <v>2445</v>
      </c>
      <c r="B3434" s="5">
        <v>41905</v>
      </c>
      <c r="C3434" s="5" t="s">
        <v>5385</v>
      </c>
      <c r="D3434" t="s">
        <v>5385</v>
      </c>
      <c r="G3434" t="s">
        <v>6159</v>
      </c>
    </row>
    <row r="3435" spans="1:7" x14ac:dyDescent="0.25">
      <c r="A3435" t="s">
        <v>2899</v>
      </c>
      <c r="B3435" s="5">
        <v>42257</v>
      </c>
      <c r="C3435" s="5" t="s">
        <v>5386</v>
      </c>
      <c r="D3435" t="s">
        <v>5386</v>
      </c>
      <c r="G3435" t="s">
        <v>6159</v>
      </c>
    </row>
    <row r="3436" spans="1:7" x14ac:dyDescent="0.25">
      <c r="A3436" t="s">
        <v>2929</v>
      </c>
      <c r="B3436" s="5">
        <v>41905</v>
      </c>
      <c r="C3436" s="5" t="s">
        <v>5387</v>
      </c>
      <c r="D3436" t="s">
        <v>5387</v>
      </c>
      <c r="G3436" t="s">
        <v>6159</v>
      </c>
    </row>
    <row r="3437" spans="1:7" x14ac:dyDescent="0.25">
      <c r="A3437" t="s">
        <v>2927</v>
      </c>
      <c r="B3437" s="5">
        <v>41905</v>
      </c>
      <c r="C3437" s="5" t="s">
        <v>5388</v>
      </c>
      <c r="D3437" t="s">
        <v>5388</v>
      </c>
      <c r="G3437" t="s">
        <v>6159</v>
      </c>
    </row>
    <row r="3438" spans="1:7" x14ac:dyDescent="0.25">
      <c r="A3438" t="s">
        <v>2953</v>
      </c>
      <c r="B3438" s="5">
        <v>41905</v>
      </c>
      <c r="C3438" s="5" t="s">
        <v>5389</v>
      </c>
      <c r="D3438" t="s">
        <v>5389</v>
      </c>
      <c r="G3438" t="s">
        <v>6159</v>
      </c>
    </row>
    <row r="3439" spans="1:7" x14ac:dyDescent="0.25">
      <c r="A3439" t="s">
        <v>2445</v>
      </c>
      <c r="B3439" s="5">
        <v>41856</v>
      </c>
      <c r="C3439" s="5" t="s">
        <v>5390</v>
      </c>
      <c r="D3439" t="s">
        <v>5390</v>
      </c>
      <c r="G3439" t="s">
        <v>6159</v>
      </c>
    </row>
    <row r="3440" spans="1:7" x14ac:dyDescent="0.25">
      <c r="A3440" t="s">
        <v>2954</v>
      </c>
      <c r="B3440" s="5">
        <v>40724</v>
      </c>
      <c r="C3440" s="5" t="s">
        <v>5391</v>
      </c>
      <c r="D3440" t="s">
        <v>5391</v>
      </c>
      <c r="G3440" t="s">
        <v>6159</v>
      </c>
    </row>
    <row r="3441" spans="1:7" x14ac:dyDescent="0.25">
      <c r="A3441" t="s">
        <v>170</v>
      </c>
      <c r="B3441" s="5">
        <v>40724</v>
      </c>
      <c r="C3441" s="5" t="s">
        <v>5392</v>
      </c>
      <c r="D3441" t="s">
        <v>5392</v>
      </c>
      <c r="G3441" t="s">
        <v>6159</v>
      </c>
    </row>
    <row r="3442" spans="1:7" x14ac:dyDescent="0.25">
      <c r="A3442" t="s">
        <v>51</v>
      </c>
      <c r="B3442" s="5">
        <v>41829</v>
      </c>
      <c r="C3442" s="5" t="s">
        <v>5393</v>
      </c>
      <c r="D3442" t="s">
        <v>5393</v>
      </c>
      <c r="G3442" t="s">
        <v>6159</v>
      </c>
    </row>
    <row r="3443" spans="1:7" x14ac:dyDescent="0.25">
      <c r="A3443" t="s">
        <v>2958</v>
      </c>
      <c r="B3443" s="5">
        <v>40752</v>
      </c>
      <c r="C3443" s="5" t="s">
        <v>5394</v>
      </c>
      <c r="D3443" t="s">
        <v>5394</v>
      </c>
      <c r="G3443" t="s">
        <v>6159</v>
      </c>
    </row>
    <row r="3444" spans="1:7" x14ac:dyDescent="0.25">
      <c r="A3444" t="s">
        <v>170</v>
      </c>
      <c r="B3444" s="5">
        <v>40752</v>
      </c>
      <c r="C3444" s="5" t="s">
        <v>5395</v>
      </c>
      <c r="D3444" t="s">
        <v>5395</v>
      </c>
      <c r="G3444" t="s">
        <v>6159</v>
      </c>
    </row>
    <row r="3445" spans="1:7" x14ac:dyDescent="0.25">
      <c r="A3445" t="s">
        <v>2203</v>
      </c>
      <c r="B3445" s="5">
        <v>40752</v>
      </c>
      <c r="C3445" s="5" t="s">
        <v>5396</v>
      </c>
      <c r="D3445" t="s">
        <v>5396</v>
      </c>
      <c r="G3445" t="s">
        <v>6159</v>
      </c>
    </row>
    <row r="3446" spans="1:7" x14ac:dyDescent="0.25">
      <c r="A3446" t="s">
        <v>2950</v>
      </c>
      <c r="B3446" s="5">
        <v>40751</v>
      </c>
      <c r="C3446" s="5" t="s">
        <v>5397</v>
      </c>
      <c r="D3446" t="s">
        <v>5397</v>
      </c>
      <c r="G3446" t="s">
        <v>6159</v>
      </c>
    </row>
    <row r="3447" spans="1:7" x14ac:dyDescent="0.25">
      <c r="A3447" t="s">
        <v>2698</v>
      </c>
      <c r="B3447" s="5">
        <v>40751</v>
      </c>
      <c r="C3447" s="5" t="s">
        <v>5398</v>
      </c>
      <c r="D3447" t="s">
        <v>5398</v>
      </c>
      <c r="G3447" t="s">
        <v>6159</v>
      </c>
    </row>
    <row r="3448" spans="1:7" x14ac:dyDescent="0.25">
      <c r="A3448" t="s">
        <v>2928</v>
      </c>
      <c r="B3448" s="5">
        <v>40724</v>
      </c>
      <c r="C3448" s="5" t="s">
        <v>5399</v>
      </c>
      <c r="D3448" t="s">
        <v>5399</v>
      </c>
      <c r="G3448" t="s">
        <v>6159</v>
      </c>
    </row>
    <row r="3449" spans="1:7" x14ac:dyDescent="0.25">
      <c r="A3449" t="s">
        <v>2958</v>
      </c>
      <c r="B3449" s="5">
        <v>40724</v>
      </c>
      <c r="C3449" s="5" t="s">
        <v>5400</v>
      </c>
      <c r="D3449" t="s">
        <v>5400</v>
      </c>
      <c r="G3449" t="s">
        <v>6159</v>
      </c>
    </row>
    <row r="3450" spans="1:7" x14ac:dyDescent="0.25">
      <c r="A3450" t="s">
        <v>51</v>
      </c>
      <c r="B3450" s="5">
        <v>40724</v>
      </c>
      <c r="C3450" s="5" t="s">
        <v>5401</v>
      </c>
      <c r="D3450" t="s">
        <v>5401</v>
      </c>
      <c r="G3450" t="s">
        <v>6159</v>
      </c>
    </row>
    <row r="3451" spans="1:7" x14ac:dyDescent="0.25">
      <c r="A3451" t="s">
        <v>17</v>
      </c>
      <c r="B3451" s="5">
        <v>40724</v>
      </c>
      <c r="C3451" s="5" t="s">
        <v>5402</v>
      </c>
      <c r="D3451" t="s">
        <v>5402</v>
      </c>
      <c r="G3451" t="s">
        <v>6159</v>
      </c>
    </row>
    <row r="3452" spans="1:7" x14ac:dyDescent="0.25">
      <c r="A3452" t="s">
        <v>2203</v>
      </c>
      <c r="B3452" s="5">
        <v>40724</v>
      </c>
      <c r="C3452" s="5" t="s">
        <v>5403</v>
      </c>
      <c r="D3452" t="s">
        <v>5403</v>
      </c>
      <c r="G3452" t="s">
        <v>6159</v>
      </c>
    </row>
    <row r="3453" spans="1:7" x14ac:dyDescent="0.25">
      <c r="A3453" t="s">
        <v>2927</v>
      </c>
      <c r="B3453" s="5">
        <v>40723</v>
      </c>
      <c r="C3453" s="5" t="s">
        <v>5404</v>
      </c>
      <c r="D3453" t="s">
        <v>5404</v>
      </c>
      <c r="G3453" t="s">
        <v>6159</v>
      </c>
    </row>
    <row r="3454" spans="1:7" x14ac:dyDescent="0.25">
      <c r="A3454" t="s">
        <v>2929</v>
      </c>
      <c r="B3454" s="5">
        <v>40723</v>
      </c>
      <c r="C3454" s="5" t="s">
        <v>5405</v>
      </c>
      <c r="D3454" t="s">
        <v>5405</v>
      </c>
      <c r="G3454" t="s">
        <v>6159</v>
      </c>
    </row>
    <row r="3455" spans="1:7" x14ac:dyDescent="0.25">
      <c r="A3455" t="s">
        <v>197</v>
      </c>
      <c r="B3455" s="5">
        <v>40723</v>
      </c>
      <c r="C3455" s="5" t="s">
        <v>5406</v>
      </c>
      <c r="D3455" t="s">
        <v>5406</v>
      </c>
      <c r="G3455" t="s">
        <v>6159</v>
      </c>
    </row>
    <row r="3456" spans="1:7" x14ac:dyDescent="0.25">
      <c r="A3456" t="s">
        <v>2698</v>
      </c>
      <c r="B3456" s="5">
        <v>40723</v>
      </c>
      <c r="C3456" s="5" t="s">
        <v>5407</v>
      </c>
      <c r="D3456" t="s">
        <v>5407</v>
      </c>
      <c r="G3456" t="s">
        <v>6159</v>
      </c>
    </row>
    <row r="3457" spans="1:7" x14ac:dyDescent="0.25">
      <c r="A3457" t="s">
        <v>2953</v>
      </c>
      <c r="B3457" s="5">
        <v>40723</v>
      </c>
      <c r="C3457" s="5" t="s">
        <v>5408</v>
      </c>
      <c r="D3457" t="s">
        <v>5408</v>
      </c>
      <c r="G3457" t="s">
        <v>6159</v>
      </c>
    </row>
    <row r="3458" spans="1:7" x14ac:dyDescent="0.25">
      <c r="A3458" t="s">
        <v>2950</v>
      </c>
      <c r="B3458" s="5">
        <v>40723</v>
      </c>
      <c r="C3458" s="5" t="s">
        <v>5409</v>
      </c>
      <c r="D3458" t="s">
        <v>5409</v>
      </c>
      <c r="G3458" t="s">
        <v>6159</v>
      </c>
    </row>
    <row r="3459" spans="1:7" x14ac:dyDescent="0.25">
      <c r="A3459" t="s">
        <v>2836</v>
      </c>
      <c r="B3459" s="5">
        <v>41458</v>
      </c>
      <c r="C3459" s="5" t="s">
        <v>5410</v>
      </c>
      <c r="D3459" t="s">
        <v>5410</v>
      </c>
      <c r="G3459" t="s">
        <v>6159</v>
      </c>
    </row>
    <row r="3460" spans="1:7" x14ac:dyDescent="0.25">
      <c r="A3460" t="s">
        <v>2445</v>
      </c>
      <c r="B3460" s="5">
        <v>40429</v>
      </c>
      <c r="C3460" s="5" t="s">
        <v>5411</v>
      </c>
      <c r="D3460" t="s">
        <v>5411</v>
      </c>
      <c r="G3460" t="s">
        <v>6159</v>
      </c>
    </row>
    <row r="3461" spans="1:7" x14ac:dyDescent="0.25">
      <c r="A3461" t="s">
        <v>17</v>
      </c>
      <c r="B3461" s="5">
        <v>41829</v>
      </c>
      <c r="C3461" s="5" t="s">
        <v>5412</v>
      </c>
      <c r="D3461" t="s">
        <v>5412</v>
      </c>
      <c r="G3461" t="s">
        <v>6159</v>
      </c>
    </row>
    <row r="3462" spans="1:7" x14ac:dyDescent="0.25">
      <c r="A3462" t="s">
        <v>2927</v>
      </c>
      <c r="B3462" s="5">
        <v>41828</v>
      </c>
      <c r="C3462" s="5" t="s">
        <v>5413</v>
      </c>
      <c r="D3462" t="s">
        <v>5413</v>
      </c>
      <c r="G3462" t="s">
        <v>6159</v>
      </c>
    </row>
    <row r="3463" spans="1:7" x14ac:dyDescent="0.25">
      <c r="A3463" t="s">
        <v>2953</v>
      </c>
      <c r="B3463" s="5">
        <v>41828</v>
      </c>
      <c r="C3463" s="5" t="s">
        <v>5414</v>
      </c>
      <c r="D3463" t="s">
        <v>5414</v>
      </c>
      <c r="G3463" t="s">
        <v>6159</v>
      </c>
    </row>
    <row r="3464" spans="1:7" x14ac:dyDescent="0.25">
      <c r="A3464" t="s">
        <v>2445</v>
      </c>
      <c r="B3464" s="5">
        <v>41828</v>
      </c>
      <c r="C3464" s="5" t="s">
        <v>5415</v>
      </c>
      <c r="D3464" t="s">
        <v>5415</v>
      </c>
      <c r="G3464" t="s">
        <v>6159</v>
      </c>
    </row>
    <row r="3465" spans="1:7" x14ac:dyDescent="0.25">
      <c r="A3465" t="s">
        <v>197</v>
      </c>
      <c r="B3465" s="5">
        <v>41828</v>
      </c>
      <c r="C3465" s="5" t="s">
        <v>5416</v>
      </c>
      <c r="D3465" t="s">
        <v>5416</v>
      </c>
      <c r="G3465" t="s">
        <v>6159</v>
      </c>
    </row>
    <row r="3466" spans="1:7" x14ac:dyDescent="0.25">
      <c r="A3466" t="s">
        <v>51</v>
      </c>
      <c r="B3466" s="5">
        <v>40752</v>
      </c>
      <c r="C3466" s="5" t="s">
        <v>5417</v>
      </c>
      <c r="D3466" t="s">
        <v>5417</v>
      </c>
      <c r="G3466" t="s">
        <v>6159</v>
      </c>
    </row>
    <row r="3467" spans="1:7" x14ac:dyDescent="0.25">
      <c r="A3467" t="s">
        <v>17</v>
      </c>
      <c r="B3467" s="5">
        <v>40752</v>
      </c>
      <c r="C3467" s="5" t="s">
        <v>5418</v>
      </c>
      <c r="D3467" t="s">
        <v>5418</v>
      </c>
      <c r="G3467" t="s">
        <v>6159</v>
      </c>
    </row>
    <row r="3468" spans="1:7" x14ac:dyDescent="0.25">
      <c r="A3468" t="s">
        <v>2928</v>
      </c>
      <c r="B3468" s="5">
        <v>40752</v>
      </c>
      <c r="C3468" s="5" t="s">
        <v>5419</v>
      </c>
      <c r="D3468" t="s">
        <v>5419</v>
      </c>
      <c r="G3468" t="s">
        <v>6159</v>
      </c>
    </row>
    <row r="3469" spans="1:7" x14ac:dyDescent="0.25">
      <c r="A3469" t="s">
        <v>2954</v>
      </c>
      <c r="B3469" s="5">
        <v>40752</v>
      </c>
      <c r="C3469" s="5" t="s">
        <v>5420</v>
      </c>
      <c r="D3469" t="s">
        <v>5420</v>
      </c>
      <c r="G3469" t="s">
        <v>6159</v>
      </c>
    </row>
    <row r="3470" spans="1:7" x14ac:dyDescent="0.25">
      <c r="A3470" t="s">
        <v>2445</v>
      </c>
      <c r="B3470" s="5">
        <v>40751</v>
      </c>
      <c r="C3470" s="5" t="s">
        <v>5421</v>
      </c>
      <c r="D3470" t="s">
        <v>5421</v>
      </c>
      <c r="G3470" t="s">
        <v>6159</v>
      </c>
    </row>
    <row r="3471" spans="1:7" x14ac:dyDescent="0.25">
      <c r="A3471" t="s">
        <v>2953</v>
      </c>
      <c r="B3471" s="5">
        <v>40751</v>
      </c>
      <c r="C3471" s="5" t="s">
        <v>5422</v>
      </c>
      <c r="D3471" t="s">
        <v>5422</v>
      </c>
      <c r="G3471" t="s">
        <v>6159</v>
      </c>
    </row>
    <row r="3472" spans="1:7" x14ac:dyDescent="0.25">
      <c r="A3472" t="s">
        <v>2929</v>
      </c>
      <c r="B3472" s="5">
        <v>40751</v>
      </c>
      <c r="C3472" s="5" t="s">
        <v>5423</v>
      </c>
      <c r="D3472" t="s">
        <v>5423</v>
      </c>
      <c r="G3472" t="s">
        <v>6159</v>
      </c>
    </row>
    <row r="3473" spans="1:7" x14ac:dyDescent="0.25">
      <c r="A3473" t="s">
        <v>197</v>
      </c>
      <c r="B3473" s="5">
        <v>40751</v>
      </c>
      <c r="C3473" s="5" t="s">
        <v>5424</v>
      </c>
      <c r="D3473" t="s">
        <v>5424</v>
      </c>
      <c r="G3473" t="s">
        <v>6159</v>
      </c>
    </row>
    <row r="3474" spans="1:7" x14ac:dyDescent="0.25">
      <c r="A3474" t="s">
        <v>2927</v>
      </c>
      <c r="B3474" s="5">
        <v>40751</v>
      </c>
      <c r="C3474" s="5" t="s">
        <v>5425</v>
      </c>
      <c r="D3474" t="s">
        <v>5425</v>
      </c>
      <c r="G3474" t="s">
        <v>6159</v>
      </c>
    </row>
    <row r="3475" spans="1:7" x14ac:dyDescent="0.25">
      <c r="A3475" t="s">
        <v>170</v>
      </c>
      <c r="B3475" s="5">
        <v>41829</v>
      </c>
      <c r="C3475" s="5" t="s">
        <v>5426</v>
      </c>
      <c r="D3475" t="s">
        <v>5426</v>
      </c>
      <c r="G3475" t="s">
        <v>6159</v>
      </c>
    </row>
    <row r="3476" spans="1:7" x14ac:dyDescent="0.25">
      <c r="A3476" t="s">
        <v>2954</v>
      </c>
      <c r="B3476" s="5">
        <v>41829</v>
      </c>
      <c r="C3476" s="5" t="s">
        <v>5427</v>
      </c>
      <c r="D3476" t="s">
        <v>5427</v>
      </c>
      <c r="G3476" t="s">
        <v>6159</v>
      </c>
    </row>
    <row r="3477" spans="1:7" x14ac:dyDescent="0.25">
      <c r="A3477" t="s">
        <v>2929</v>
      </c>
      <c r="B3477" s="5">
        <v>41828</v>
      </c>
      <c r="C3477" s="5" t="s">
        <v>5428</v>
      </c>
      <c r="D3477" t="s">
        <v>5428</v>
      </c>
      <c r="G3477" t="s">
        <v>6159</v>
      </c>
    </row>
    <row r="3478" spans="1:7" x14ac:dyDescent="0.25">
      <c r="A3478" t="s">
        <v>2698</v>
      </c>
      <c r="B3478" s="5">
        <v>41828</v>
      </c>
      <c r="C3478" s="5" t="s">
        <v>5429</v>
      </c>
      <c r="D3478" t="s">
        <v>5429</v>
      </c>
      <c r="G3478" t="s">
        <v>6159</v>
      </c>
    </row>
    <row r="3479" spans="1:7" x14ac:dyDescent="0.25">
      <c r="A3479" t="s">
        <v>2928</v>
      </c>
      <c r="B3479" s="5">
        <v>41828</v>
      </c>
      <c r="C3479" s="5" t="s">
        <v>5430</v>
      </c>
      <c r="D3479" t="s">
        <v>5430</v>
      </c>
      <c r="G3479" t="s">
        <v>6159</v>
      </c>
    </row>
    <row r="3480" spans="1:7" x14ac:dyDescent="0.25">
      <c r="A3480" t="s">
        <v>2203</v>
      </c>
      <c r="B3480" s="5">
        <v>41829</v>
      </c>
      <c r="C3480" s="5" t="s">
        <v>5431</v>
      </c>
      <c r="D3480" t="s">
        <v>5431</v>
      </c>
      <c r="G3480" t="s">
        <v>6159</v>
      </c>
    </row>
    <row r="3481" spans="1:7" x14ac:dyDescent="0.25">
      <c r="A3481" t="s">
        <v>2945</v>
      </c>
      <c r="B3481" s="5">
        <v>38536</v>
      </c>
      <c r="C3481" s="5" t="s">
        <v>5432</v>
      </c>
      <c r="D3481" t="s">
        <v>5432</v>
      </c>
      <c r="G3481" t="s">
        <v>6159</v>
      </c>
    </row>
    <row r="3482" spans="1:7" x14ac:dyDescent="0.25">
      <c r="A3482" t="s">
        <v>260</v>
      </c>
      <c r="B3482" s="5">
        <v>38536</v>
      </c>
      <c r="C3482" s="5" t="s">
        <v>5433</v>
      </c>
      <c r="D3482" t="s">
        <v>5433</v>
      </c>
      <c r="G3482" t="s">
        <v>6159</v>
      </c>
    </row>
    <row r="3483" spans="1:7" x14ac:dyDescent="0.25">
      <c r="A3483" t="s">
        <v>242</v>
      </c>
      <c r="B3483" s="5">
        <v>38536</v>
      </c>
      <c r="C3483" s="5" t="s">
        <v>5434</v>
      </c>
      <c r="D3483" t="s">
        <v>5434</v>
      </c>
      <c r="G3483" t="s">
        <v>6159</v>
      </c>
    </row>
    <row r="3484" spans="1:7" x14ac:dyDescent="0.25">
      <c r="A3484" t="s">
        <v>2946</v>
      </c>
      <c r="B3484" s="5">
        <v>38536</v>
      </c>
      <c r="C3484" s="5" t="s">
        <v>5435</v>
      </c>
      <c r="D3484" t="s">
        <v>5435</v>
      </c>
      <c r="G3484" t="s">
        <v>6159</v>
      </c>
    </row>
    <row r="3485" spans="1:7" x14ac:dyDescent="0.25">
      <c r="A3485" t="s">
        <v>131</v>
      </c>
      <c r="B3485" s="5">
        <v>38537</v>
      </c>
      <c r="C3485" s="5" t="s">
        <v>5436</v>
      </c>
      <c r="D3485" t="s">
        <v>5436</v>
      </c>
      <c r="G3485" t="s">
        <v>6159</v>
      </c>
    </row>
    <row r="3486" spans="1:7" x14ac:dyDescent="0.25">
      <c r="A3486" t="s">
        <v>2945</v>
      </c>
      <c r="B3486" s="5">
        <v>38537</v>
      </c>
      <c r="C3486" s="5" t="s">
        <v>5437</v>
      </c>
      <c r="D3486" t="s">
        <v>5437</v>
      </c>
      <c r="G3486" t="s">
        <v>6159</v>
      </c>
    </row>
    <row r="3487" spans="1:7" x14ac:dyDescent="0.25">
      <c r="A3487" t="s">
        <v>260</v>
      </c>
      <c r="B3487" s="5">
        <v>38537</v>
      </c>
      <c r="C3487" s="5" t="s">
        <v>5438</v>
      </c>
      <c r="D3487" t="s">
        <v>5438</v>
      </c>
      <c r="G3487" t="s">
        <v>6159</v>
      </c>
    </row>
    <row r="3488" spans="1:7" x14ac:dyDescent="0.25">
      <c r="A3488" t="s">
        <v>242</v>
      </c>
      <c r="B3488" s="5">
        <v>38537</v>
      </c>
      <c r="C3488" s="5" t="s">
        <v>5439</v>
      </c>
      <c r="D3488" t="s">
        <v>5439</v>
      </c>
      <c r="G3488" t="s">
        <v>6159</v>
      </c>
    </row>
    <row r="3489" spans="1:7" x14ac:dyDescent="0.25">
      <c r="A3489" t="s">
        <v>2946</v>
      </c>
      <c r="B3489" s="5">
        <v>38537</v>
      </c>
      <c r="C3489" s="5" t="s">
        <v>5440</v>
      </c>
      <c r="D3489" t="s">
        <v>5440</v>
      </c>
      <c r="G3489" t="s">
        <v>6159</v>
      </c>
    </row>
    <row r="3490" spans="1:7" x14ac:dyDescent="0.25">
      <c r="A3490" t="s">
        <v>2937</v>
      </c>
      <c r="B3490" s="5">
        <v>38538</v>
      </c>
      <c r="C3490" s="5" t="s">
        <v>5441</v>
      </c>
      <c r="D3490" t="s">
        <v>5441</v>
      </c>
      <c r="G3490" t="s">
        <v>6159</v>
      </c>
    </row>
    <row r="3491" spans="1:7" x14ac:dyDescent="0.25">
      <c r="A3491" t="s">
        <v>131</v>
      </c>
      <c r="B3491" s="5">
        <v>38538</v>
      </c>
      <c r="C3491" s="5" t="s">
        <v>5442</v>
      </c>
      <c r="D3491" t="s">
        <v>5442</v>
      </c>
      <c r="G3491" t="s">
        <v>6159</v>
      </c>
    </row>
    <row r="3492" spans="1:7" x14ac:dyDescent="0.25">
      <c r="A3492" t="s">
        <v>260</v>
      </c>
      <c r="B3492" s="5">
        <v>38538</v>
      </c>
      <c r="C3492" s="5" t="s">
        <v>5443</v>
      </c>
      <c r="D3492" t="s">
        <v>5443</v>
      </c>
      <c r="G3492" t="s">
        <v>6159</v>
      </c>
    </row>
    <row r="3493" spans="1:7" x14ac:dyDescent="0.25">
      <c r="A3493" t="s">
        <v>2945</v>
      </c>
      <c r="B3493" s="5">
        <v>38538</v>
      </c>
      <c r="C3493" s="5" t="s">
        <v>5444</v>
      </c>
      <c r="D3493" t="s">
        <v>5444</v>
      </c>
      <c r="G3493" t="s">
        <v>6159</v>
      </c>
    </row>
    <row r="3494" spans="1:7" x14ac:dyDescent="0.25">
      <c r="A3494" t="s">
        <v>242</v>
      </c>
      <c r="B3494" s="5">
        <v>38538</v>
      </c>
      <c r="C3494" s="5" t="s">
        <v>5445</v>
      </c>
      <c r="D3494" t="s">
        <v>5445</v>
      </c>
      <c r="G3494" t="s">
        <v>6159</v>
      </c>
    </row>
    <row r="3495" spans="1:7" x14ac:dyDescent="0.25">
      <c r="A3495" t="s">
        <v>2946</v>
      </c>
      <c r="B3495" s="5">
        <v>38538</v>
      </c>
      <c r="C3495" s="5" t="s">
        <v>5446</v>
      </c>
      <c r="D3495" t="s">
        <v>5446</v>
      </c>
      <c r="G3495" t="s">
        <v>6159</v>
      </c>
    </row>
    <row r="3496" spans="1:7" x14ac:dyDescent="0.25">
      <c r="A3496" t="s">
        <v>382</v>
      </c>
      <c r="B3496" s="5">
        <v>38623</v>
      </c>
      <c r="C3496" s="5" t="s">
        <v>5447</v>
      </c>
      <c r="D3496" t="s">
        <v>5447</v>
      </c>
      <c r="G3496" t="s">
        <v>6159</v>
      </c>
    </row>
    <row r="3497" spans="1:7" x14ac:dyDescent="0.25">
      <c r="A3497" t="s">
        <v>2170</v>
      </c>
      <c r="B3497" s="5">
        <v>38658</v>
      </c>
      <c r="C3497" s="5" t="s">
        <v>5448</v>
      </c>
      <c r="D3497" t="s">
        <v>5448</v>
      </c>
      <c r="G3497" t="s">
        <v>6159</v>
      </c>
    </row>
    <row r="3498" spans="1:7" x14ac:dyDescent="0.25">
      <c r="A3498" t="s">
        <v>382</v>
      </c>
      <c r="B3498" s="5">
        <v>38694</v>
      </c>
      <c r="C3498" s="5" t="s">
        <v>5449</v>
      </c>
      <c r="D3498" t="s">
        <v>5449</v>
      </c>
      <c r="G3498" t="s">
        <v>6159</v>
      </c>
    </row>
    <row r="3499" spans="1:7" x14ac:dyDescent="0.25">
      <c r="A3499" t="s">
        <v>382</v>
      </c>
      <c r="B3499" s="5">
        <v>38763</v>
      </c>
      <c r="C3499" s="5" t="s">
        <v>5450</v>
      </c>
      <c r="D3499" t="s">
        <v>5450</v>
      </c>
      <c r="G3499" t="s">
        <v>6159</v>
      </c>
    </row>
    <row r="3500" spans="1:7" x14ac:dyDescent="0.25">
      <c r="A3500" t="s">
        <v>2980</v>
      </c>
      <c r="B3500" s="5">
        <v>38791</v>
      </c>
      <c r="C3500" s="5" t="s">
        <v>5451</v>
      </c>
      <c r="D3500" t="s">
        <v>5451</v>
      </c>
      <c r="G3500" t="s">
        <v>6159</v>
      </c>
    </row>
    <row r="3501" spans="1:7" x14ac:dyDescent="0.25">
      <c r="A3501" t="s">
        <v>342</v>
      </c>
      <c r="B3501" s="5">
        <v>38797</v>
      </c>
      <c r="C3501" s="5" t="s">
        <v>5452</v>
      </c>
      <c r="D3501" t="s">
        <v>5452</v>
      </c>
      <c r="G3501" t="s">
        <v>6159</v>
      </c>
    </row>
    <row r="3502" spans="1:7" x14ac:dyDescent="0.25">
      <c r="A3502" t="s">
        <v>382</v>
      </c>
      <c r="B3502" s="5">
        <v>38818</v>
      </c>
      <c r="C3502" s="5" t="s">
        <v>5453</v>
      </c>
      <c r="D3502" t="s">
        <v>5453</v>
      </c>
      <c r="G3502" t="s">
        <v>6159</v>
      </c>
    </row>
    <row r="3503" spans="1:7" x14ac:dyDescent="0.25">
      <c r="A3503" t="s">
        <v>2960</v>
      </c>
      <c r="B3503" s="5">
        <v>38819</v>
      </c>
      <c r="C3503" s="5" t="s">
        <v>5454</v>
      </c>
      <c r="D3503" t="s">
        <v>5454</v>
      </c>
      <c r="G3503" t="s">
        <v>6159</v>
      </c>
    </row>
    <row r="3504" spans="1:7" x14ac:dyDescent="0.25">
      <c r="A3504" t="s">
        <v>2836</v>
      </c>
      <c r="B3504" s="5">
        <v>41144</v>
      </c>
      <c r="C3504" s="5" t="s">
        <v>5455</v>
      </c>
      <c r="D3504" t="s">
        <v>5455</v>
      </c>
      <c r="G3504" t="s">
        <v>6159</v>
      </c>
    </row>
    <row r="3505" spans="1:7" x14ac:dyDescent="0.25">
      <c r="A3505" t="s">
        <v>2812</v>
      </c>
      <c r="B3505" s="5">
        <v>39837</v>
      </c>
      <c r="C3505" s="5" t="s">
        <v>5456</v>
      </c>
      <c r="D3505" t="s">
        <v>5456</v>
      </c>
      <c r="G3505" t="s">
        <v>6159</v>
      </c>
    </row>
    <row r="3506" spans="1:7" x14ac:dyDescent="0.25">
      <c r="A3506" t="s">
        <v>2812</v>
      </c>
      <c r="B3506" s="5">
        <v>39811</v>
      </c>
      <c r="C3506" s="5" t="s">
        <v>5457</v>
      </c>
      <c r="D3506" t="s">
        <v>5457</v>
      </c>
      <c r="G3506" t="s">
        <v>6159</v>
      </c>
    </row>
    <row r="3507" spans="1:7" x14ac:dyDescent="0.25">
      <c r="A3507" t="s">
        <v>342</v>
      </c>
      <c r="B3507" s="5">
        <v>38966</v>
      </c>
      <c r="C3507" s="5" t="s">
        <v>5458</v>
      </c>
      <c r="D3507" t="s">
        <v>5458</v>
      </c>
      <c r="G3507" t="s">
        <v>6159</v>
      </c>
    </row>
    <row r="3508" spans="1:7" x14ac:dyDescent="0.25">
      <c r="A3508" t="s">
        <v>2115</v>
      </c>
      <c r="B3508" s="5">
        <v>38993</v>
      </c>
      <c r="C3508" s="5" t="s">
        <v>5459</v>
      </c>
      <c r="D3508" t="s">
        <v>5459</v>
      </c>
      <c r="G3508" t="s">
        <v>6159</v>
      </c>
    </row>
    <row r="3509" spans="1:7" x14ac:dyDescent="0.25">
      <c r="A3509" t="s">
        <v>326</v>
      </c>
      <c r="B3509" s="5">
        <v>38993</v>
      </c>
      <c r="C3509" s="5" t="s">
        <v>5460</v>
      </c>
      <c r="D3509" t="s">
        <v>5460</v>
      </c>
      <c r="G3509" t="s">
        <v>6159</v>
      </c>
    </row>
    <row r="3510" spans="1:7" x14ac:dyDescent="0.25">
      <c r="A3510" t="s">
        <v>2952</v>
      </c>
      <c r="B3510" s="5">
        <v>38994</v>
      </c>
      <c r="C3510" s="5" t="s">
        <v>5461</v>
      </c>
      <c r="D3510" t="s">
        <v>5461</v>
      </c>
      <c r="G3510" t="s">
        <v>6159</v>
      </c>
    </row>
    <row r="3511" spans="1:7" x14ac:dyDescent="0.25">
      <c r="A3511" t="s">
        <v>342</v>
      </c>
      <c r="B3511" s="5">
        <v>39260</v>
      </c>
      <c r="C3511" s="5" t="s">
        <v>5462</v>
      </c>
      <c r="D3511" t="s">
        <v>5462</v>
      </c>
      <c r="G3511" t="s">
        <v>6159</v>
      </c>
    </row>
    <row r="3512" spans="1:7" x14ac:dyDescent="0.25">
      <c r="A3512" t="s">
        <v>285</v>
      </c>
      <c r="B3512" s="5">
        <v>39625</v>
      </c>
      <c r="C3512" s="5" t="s">
        <v>5463</v>
      </c>
      <c r="D3512" t="s">
        <v>5463</v>
      </c>
      <c r="G3512" t="s">
        <v>6159</v>
      </c>
    </row>
    <row r="3513" spans="1:7" x14ac:dyDescent="0.25">
      <c r="A3513" t="s">
        <v>2941</v>
      </c>
      <c r="B3513" s="5">
        <v>39562</v>
      </c>
      <c r="C3513" s="5" t="s">
        <v>5464</v>
      </c>
      <c r="D3513" t="s">
        <v>5464</v>
      </c>
      <c r="G3513" t="s">
        <v>6159</v>
      </c>
    </row>
    <row r="3514" spans="1:7" x14ac:dyDescent="0.25">
      <c r="A3514" t="s">
        <v>2967</v>
      </c>
      <c r="B3514" s="5">
        <v>39453</v>
      </c>
      <c r="C3514" s="5" t="s">
        <v>5465</v>
      </c>
      <c r="D3514" t="s">
        <v>5465</v>
      </c>
      <c r="G3514" t="s">
        <v>6159</v>
      </c>
    </row>
    <row r="3515" spans="1:7" x14ac:dyDescent="0.25">
      <c r="A3515" t="s">
        <v>2946</v>
      </c>
      <c r="B3515" s="5">
        <v>39453</v>
      </c>
      <c r="C3515" s="5" t="s">
        <v>5466</v>
      </c>
      <c r="D3515" t="s">
        <v>5466</v>
      </c>
      <c r="G3515" t="s">
        <v>6159</v>
      </c>
    </row>
    <row r="3516" spans="1:7" x14ac:dyDescent="0.25">
      <c r="A3516" t="s">
        <v>2981</v>
      </c>
      <c r="B3516" s="5">
        <v>39453</v>
      </c>
      <c r="C3516" s="5" t="s">
        <v>5467</v>
      </c>
      <c r="D3516" t="s">
        <v>5467</v>
      </c>
      <c r="G3516" t="s">
        <v>6159</v>
      </c>
    </row>
    <row r="3517" spans="1:7" x14ac:dyDescent="0.25">
      <c r="A3517" t="s">
        <v>2940</v>
      </c>
      <c r="B3517" s="5">
        <v>39453</v>
      </c>
      <c r="C3517" s="5" t="s">
        <v>5468</v>
      </c>
      <c r="D3517" t="s">
        <v>5468</v>
      </c>
      <c r="G3517" t="s">
        <v>6159</v>
      </c>
    </row>
    <row r="3518" spans="1:7" x14ac:dyDescent="0.25">
      <c r="A3518" t="s">
        <v>2963</v>
      </c>
      <c r="B3518" s="5">
        <v>39453</v>
      </c>
      <c r="C3518" s="5" t="s">
        <v>5469</v>
      </c>
      <c r="D3518" t="s">
        <v>5469</v>
      </c>
      <c r="G3518" t="s">
        <v>6159</v>
      </c>
    </row>
    <row r="3519" spans="1:7" x14ac:dyDescent="0.25">
      <c r="A3519" t="s">
        <v>172</v>
      </c>
      <c r="B3519" s="5">
        <v>39453</v>
      </c>
      <c r="C3519" s="5" t="s">
        <v>5470</v>
      </c>
      <c r="D3519" t="s">
        <v>5470</v>
      </c>
      <c r="G3519" t="s">
        <v>6159</v>
      </c>
    </row>
    <row r="3520" spans="1:7" x14ac:dyDescent="0.25">
      <c r="A3520" t="s">
        <v>2962</v>
      </c>
      <c r="B3520" s="5">
        <v>39453</v>
      </c>
      <c r="C3520" s="5" t="s">
        <v>5471</v>
      </c>
      <c r="D3520" t="s">
        <v>5471</v>
      </c>
      <c r="G3520" t="s">
        <v>6159</v>
      </c>
    </row>
    <row r="3521" spans="1:7" x14ac:dyDescent="0.25">
      <c r="A3521" t="s">
        <v>2836</v>
      </c>
      <c r="B3521" s="5">
        <v>41526</v>
      </c>
      <c r="C3521" s="5" t="s">
        <v>5472</v>
      </c>
      <c r="D3521" t="s">
        <v>5472</v>
      </c>
      <c r="G3521" t="s">
        <v>6159</v>
      </c>
    </row>
    <row r="3522" spans="1:7" x14ac:dyDescent="0.25">
      <c r="A3522" t="s">
        <v>190</v>
      </c>
      <c r="B3522" s="5">
        <v>39702</v>
      </c>
      <c r="C3522" s="5" t="s">
        <v>5473</v>
      </c>
      <c r="D3522" t="s">
        <v>5473</v>
      </c>
      <c r="G3522" t="s">
        <v>6159</v>
      </c>
    </row>
    <row r="3523" spans="1:7" x14ac:dyDescent="0.25">
      <c r="A3523" t="s">
        <v>2812</v>
      </c>
      <c r="B3523" s="5">
        <v>39838</v>
      </c>
      <c r="C3523" s="5" t="s">
        <v>5474</v>
      </c>
      <c r="D3523" t="s">
        <v>5474</v>
      </c>
      <c r="G3523" t="s">
        <v>6159</v>
      </c>
    </row>
    <row r="3524" spans="1:7" x14ac:dyDescent="0.25">
      <c r="A3524" t="s">
        <v>2897</v>
      </c>
      <c r="B3524" s="5">
        <v>41233</v>
      </c>
      <c r="C3524" s="5" t="s">
        <v>5475</v>
      </c>
      <c r="D3524" t="s">
        <v>5475</v>
      </c>
      <c r="G3524" t="s">
        <v>6159</v>
      </c>
    </row>
    <row r="3525" spans="1:7" x14ac:dyDescent="0.25">
      <c r="A3525" t="s">
        <v>2812</v>
      </c>
      <c r="B3525" s="5">
        <v>39727</v>
      </c>
      <c r="C3525" s="5" t="s">
        <v>5476</v>
      </c>
      <c r="D3525" t="s">
        <v>5476</v>
      </c>
      <c r="G3525" t="s">
        <v>6159</v>
      </c>
    </row>
    <row r="3526" spans="1:7" x14ac:dyDescent="0.25">
      <c r="A3526" t="s">
        <v>2812</v>
      </c>
      <c r="B3526" s="5">
        <v>39726</v>
      </c>
      <c r="C3526" s="5" t="s">
        <v>5477</v>
      </c>
      <c r="D3526" t="s">
        <v>5477</v>
      </c>
      <c r="G3526" t="s">
        <v>6159</v>
      </c>
    </row>
    <row r="3527" spans="1:7" x14ac:dyDescent="0.25">
      <c r="A3527" t="s">
        <v>2975</v>
      </c>
      <c r="B3527" s="5">
        <v>39712</v>
      </c>
      <c r="C3527" s="5" t="s">
        <v>5478</v>
      </c>
      <c r="D3527" t="s">
        <v>5478</v>
      </c>
      <c r="G3527" t="s">
        <v>6159</v>
      </c>
    </row>
    <row r="3528" spans="1:7" x14ac:dyDescent="0.25">
      <c r="A3528" t="s">
        <v>211</v>
      </c>
      <c r="B3528" s="5">
        <v>39702</v>
      </c>
      <c r="C3528" s="5" t="s">
        <v>5479</v>
      </c>
      <c r="D3528" t="s">
        <v>5479</v>
      </c>
      <c r="G3528" t="s">
        <v>6159</v>
      </c>
    </row>
    <row r="3529" spans="1:7" x14ac:dyDescent="0.25">
      <c r="A3529" t="s">
        <v>2897</v>
      </c>
      <c r="B3529" s="5">
        <v>41368</v>
      </c>
      <c r="C3529" s="5" t="s">
        <v>5480</v>
      </c>
      <c r="D3529" t="s">
        <v>5480</v>
      </c>
      <c r="G3529" t="s">
        <v>6159</v>
      </c>
    </row>
    <row r="3530" spans="1:7" x14ac:dyDescent="0.25">
      <c r="A3530" t="s">
        <v>2841</v>
      </c>
      <c r="B3530" s="5">
        <v>40064</v>
      </c>
      <c r="C3530" s="5" t="s">
        <v>5481</v>
      </c>
      <c r="D3530" t="s">
        <v>5481</v>
      </c>
      <c r="G3530" t="s">
        <v>6159</v>
      </c>
    </row>
    <row r="3531" spans="1:7" x14ac:dyDescent="0.25">
      <c r="A3531" t="s">
        <v>2936</v>
      </c>
      <c r="B3531" s="5">
        <v>40051</v>
      </c>
      <c r="C3531" s="5" t="s">
        <v>5482</v>
      </c>
      <c r="D3531" t="s">
        <v>5482</v>
      </c>
      <c r="G3531" t="s">
        <v>6159</v>
      </c>
    </row>
    <row r="3532" spans="1:7" x14ac:dyDescent="0.25">
      <c r="A3532" t="s">
        <v>2815</v>
      </c>
      <c r="B3532" s="5">
        <v>40001</v>
      </c>
      <c r="C3532" s="5" t="s">
        <v>5483</v>
      </c>
      <c r="D3532" t="s">
        <v>5483</v>
      </c>
      <c r="G3532" t="s">
        <v>6159</v>
      </c>
    </row>
    <row r="3533" spans="1:7" x14ac:dyDescent="0.25">
      <c r="A3533" t="s">
        <v>2811</v>
      </c>
      <c r="B3533" s="5">
        <v>40001</v>
      </c>
      <c r="C3533" s="5" t="s">
        <v>5484</v>
      </c>
      <c r="D3533" t="s">
        <v>5484</v>
      </c>
      <c r="G3533" t="s">
        <v>6159</v>
      </c>
    </row>
    <row r="3534" spans="1:7" x14ac:dyDescent="0.25">
      <c r="A3534" t="s">
        <v>2841</v>
      </c>
      <c r="B3534" s="5">
        <v>40000</v>
      </c>
      <c r="C3534" s="5" t="s">
        <v>5485</v>
      </c>
      <c r="D3534" t="s">
        <v>5485</v>
      </c>
      <c r="G3534" t="s">
        <v>6159</v>
      </c>
    </row>
    <row r="3535" spans="1:7" x14ac:dyDescent="0.25">
      <c r="A3535" t="s">
        <v>2845</v>
      </c>
      <c r="B3535" s="5">
        <v>40724</v>
      </c>
      <c r="C3535" s="5" t="s">
        <v>5486</v>
      </c>
      <c r="D3535" t="s">
        <v>5486</v>
      </c>
      <c r="G3535" t="s">
        <v>6159</v>
      </c>
    </row>
    <row r="3536" spans="1:7" x14ac:dyDescent="0.25">
      <c r="A3536" t="s">
        <v>2836</v>
      </c>
      <c r="B3536" s="5">
        <v>41527</v>
      </c>
      <c r="C3536" s="5" t="s">
        <v>5487</v>
      </c>
      <c r="D3536" t="s">
        <v>5487</v>
      </c>
      <c r="G3536" t="s">
        <v>6159</v>
      </c>
    </row>
    <row r="3537" spans="1:7" x14ac:dyDescent="0.25">
      <c r="A3537" t="s">
        <v>2836</v>
      </c>
      <c r="B3537" s="5">
        <v>41509</v>
      </c>
      <c r="C3537" s="5" t="s">
        <v>5488</v>
      </c>
      <c r="D3537" t="s">
        <v>5488</v>
      </c>
      <c r="G3537" t="s">
        <v>6159</v>
      </c>
    </row>
    <row r="3538" spans="1:7" x14ac:dyDescent="0.25">
      <c r="A3538" t="s">
        <v>2950</v>
      </c>
      <c r="B3538" s="5">
        <v>40429</v>
      </c>
      <c r="C3538" s="5" t="s">
        <v>5489</v>
      </c>
      <c r="D3538" t="s">
        <v>5489</v>
      </c>
      <c r="G3538" t="s">
        <v>6159</v>
      </c>
    </row>
    <row r="3539" spans="1:7" x14ac:dyDescent="0.25">
      <c r="A3539" t="s">
        <v>197</v>
      </c>
      <c r="B3539" s="5">
        <v>40382</v>
      </c>
      <c r="C3539" s="5" t="s">
        <v>5490</v>
      </c>
      <c r="D3539" t="s">
        <v>5490</v>
      </c>
      <c r="G3539" t="s">
        <v>6159</v>
      </c>
    </row>
    <row r="3540" spans="1:7" x14ac:dyDescent="0.25">
      <c r="A3540" t="s">
        <v>2953</v>
      </c>
      <c r="B3540" s="5">
        <v>40371</v>
      </c>
      <c r="C3540" s="5" t="s">
        <v>5491</v>
      </c>
      <c r="D3540" t="s">
        <v>5491</v>
      </c>
      <c r="G3540" t="s">
        <v>6159</v>
      </c>
    </row>
    <row r="3541" spans="1:7" x14ac:dyDescent="0.25">
      <c r="A3541" t="s">
        <v>2445</v>
      </c>
      <c r="B3541" s="5">
        <v>40371</v>
      </c>
      <c r="C3541" s="5" t="s">
        <v>5492</v>
      </c>
      <c r="D3541" t="s">
        <v>5492</v>
      </c>
      <c r="G3541" t="s">
        <v>6159</v>
      </c>
    </row>
    <row r="3542" spans="1:7" x14ac:dyDescent="0.25">
      <c r="A3542" t="s">
        <v>2950</v>
      </c>
      <c r="B3542" s="5">
        <v>40371</v>
      </c>
      <c r="C3542" s="5" t="s">
        <v>5493</v>
      </c>
      <c r="D3542" t="s">
        <v>5493</v>
      </c>
      <c r="G3542" t="s">
        <v>6159</v>
      </c>
    </row>
    <row r="3543" spans="1:7" x14ac:dyDescent="0.25">
      <c r="A3543" t="s">
        <v>2897</v>
      </c>
      <c r="B3543" s="5">
        <v>41079</v>
      </c>
      <c r="C3543" s="5" t="s">
        <v>5494</v>
      </c>
      <c r="D3543" t="s">
        <v>5494</v>
      </c>
      <c r="G3543" t="s">
        <v>6159</v>
      </c>
    </row>
    <row r="3544" spans="1:7" x14ac:dyDescent="0.25">
      <c r="A3544" t="s">
        <v>2845</v>
      </c>
      <c r="B3544" s="5">
        <v>40862</v>
      </c>
      <c r="C3544" s="5" t="s">
        <v>5495</v>
      </c>
      <c r="D3544" t="s">
        <v>5495</v>
      </c>
      <c r="G3544" t="s">
        <v>6159</v>
      </c>
    </row>
    <row r="3545" spans="1:7" x14ac:dyDescent="0.25">
      <c r="A3545" t="s">
        <v>2872</v>
      </c>
      <c r="B3545" s="5">
        <v>41416</v>
      </c>
      <c r="C3545" s="5" t="s">
        <v>5496</v>
      </c>
      <c r="D3545" t="s">
        <v>5496</v>
      </c>
      <c r="G3545" t="s">
        <v>6159</v>
      </c>
    </row>
    <row r="3546" spans="1:7" x14ac:dyDescent="0.25">
      <c r="A3546" t="s">
        <v>2897</v>
      </c>
      <c r="B3546" s="5">
        <v>41597</v>
      </c>
      <c r="C3546" s="5" t="s">
        <v>5497</v>
      </c>
      <c r="D3546" t="s">
        <v>5497</v>
      </c>
      <c r="G3546" t="s">
        <v>6159</v>
      </c>
    </row>
    <row r="3547" spans="1:7" x14ac:dyDescent="0.25">
      <c r="A3547" t="s">
        <v>2836</v>
      </c>
      <c r="B3547" s="5">
        <v>41508</v>
      </c>
      <c r="C3547" s="5" t="s">
        <v>5498</v>
      </c>
      <c r="D3547" t="s">
        <v>5498</v>
      </c>
      <c r="G3547" t="s">
        <v>6159</v>
      </c>
    </row>
    <row r="3548" spans="1:7" x14ac:dyDescent="0.25">
      <c r="A3548" t="s">
        <v>2938</v>
      </c>
      <c r="B3548" s="5">
        <v>38537</v>
      </c>
      <c r="C3548" s="5" t="s">
        <v>5499</v>
      </c>
      <c r="D3548" t="s">
        <v>5499</v>
      </c>
      <c r="G3548" t="s">
        <v>6159</v>
      </c>
    </row>
    <row r="3549" spans="1:7" x14ac:dyDescent="0.25">
      <c r="A3549" t="s">
        <v>2939</v>
      </c>
      <c r="B3549" s="5">
        <v>38537</v>
      </c>
      <c r="C3549" s="5" t="s">
        <v>5500</v>
      </c>
      <c r="D3549" t="s">
        <v>5500</v>
      </c>
      <c r="G3549" t="s">
        <v>6159</v>
      </c>
    </row>
    <row r="3550" spans="1:7" x14ac:dyDescent="0.25">
      <c r="A3550" t="s">
        <v>2940</v>
      </c>
      <c r="B3550" s="5">
        <v>38537</v>
      </c>
      <c r="C3550" s="5" t="s">
        <v>5501</v>
      </c>
      <c r="D3550" t="s">
        <v>5501</v>
      </c>
      <c r="G3550" t="s">
        <v>6159</v>
      </c>
    </row>
    <row r="3551" spans="1:7" x14ac:dyDescent="0.25">
      <c r="A3551" t="s">
        <v>2937</v>
      </c>
      <c r="B3551" s="5">
        <v>38537</v>
      </c>
      <c r="C3551" s="5" t="s">
        <v>5502</v>
      </c>
      <c r="D3551" t="s">
        <v>5502</v>
      </c>
      <c r="G3551" t="s">
        <v>6159</v>
      </c>
    </row>
    <row r="3552" spans="1:7" x14ac:dyDescent="0.25">
      <c r="A3552" t="s">
        <v>2938</v>
      </c>
      <c r="B3552" s="5">
        <v>38538</v>
      </c>
      <c r="C3552" s="5" t="s">
        <v>5503</v>
      </c>
      <c r="D3552" t="s">
        <v>5503</v>
      </c>
      <c r="G3552" t="s">
        <v>6159</v>
      </c>
    </row>
    <row r="3553" spans="1:7" x14ac:dyDescent="0.25">
      <c r="A3553" t="s">
        <v>2939</v>
      </c>
      <c r="B3553" s="5">
        <v>38538</v>
      </c>
      <c r="C3553" s="5" t="s">
        <v>5504</v>
      </c>
      <c r="D3553" t="s">
        <v>5504</v>
      </c>
      <c r="G3553" t="s">
        <v>6159</v>
      </c>
    </row>
    <row r="3554" spans="1:7" x14ac:dyDescent="0.25">
      <c r="A3554" t="s">
        <v>2940</v>
      </c>
      <c r="B3554" s="5">
        <v>38538</v>
      </c>
      <c r="C3554" s="5" t="s">
        <v>5505</v>
      </c>
      <c r="D3554" t="s">
        <v>5505</v>
      </c>
      <c r="G3554" t="s">
        <v>6159</v>
      </c>
    </row>
    <row r="3555" spans="1:7" x14ac:dyDescent="0.25">
      <c r="A3555" t="s">
        <v>2975</v>
      </c>
      <c r="B3555" s="5">
        <v>39321</v>
      </c>
      <c r="C3555" s="5" t="s">
        <v>5506</v>
      </c>
      <c r="D3555" t="s">
        <v>5506</v>
      </c>
      <c r="G3555" t="s">
        <v>6159</v>
      </c>
    </row>
    <row r="3556" spans="1:7" x14ac:dyDescent="0.25">
      <c r="A3556" t="s">
        <v>182</v>
      </c>
      <c r="B3556" s="5">
        <v>39612</v>
      </c>
      <c r="C3556" s="5" t="s">
        <v>5507</v>
      </c>
      <c r="D3556" t="s">
        <v>5507</v>
      </c>
      <c r="G3556" t="s">
        <v>6159</v>
      </c>
    </row>
    <row r="3557" spans="1:7" x14ac:dyDescent="0.25">
      <c r="A3557" t="s">
        <v>2982</v>
      </c>
      <c r="B3557" s="5">
        <v>39624</v>
      </c>
      <c r="C3557" s="5" t="s">
        <v>5508</v>
      </c>
      <c r="D3557" t="s">
        <v>5508</v>
      </c>
      <c r="G3557" t="s">
        <v>6159</v>
      </c>
    </row>
    <row r="3558" spans="1:7" x14ac:dyDescent="0.25">
      <c r="A3558" t="s">
        <v>2982</v>
      </c>
      <c r="B3558" s="5">
        <v>39596</v>
      </c>
      <c r="C3558" s="5" t="s">
        <v>5509</v>
      </c>
      <c r="D3558" t="s">
        <v>5509</v>
      </c>
      <c r="G3558" t="s">
        <v>6159</v>
      </c>
    </row>
    <row r="3559" spans="1:7" x14ac:dyDescent="0.25">
      <c r="A3559" t="s">
        <v>2982</v>
      </c>
      <c r="B3559" s="5">
        <v>39570</v>
      </c>
      <c r="C3559" s="5" t="s">
        <v>5510</v>
      </c>
      <c r="D3559" t="s">
        <v>5510</v>
      </c>
      <c r="G3559" t="s">
        <v>6159</v>
      </c>
    </row>
    <row r="3560" spans="1:7" x14ac:dyDescent="0.25">
      <c r="A3560" t="s">
        <v>2983</v>
      </c>
      <c r="B3560" s="5">
        <v>39387</v>
      </c>
      <c r="C3560" s="5" t="s">
        <v>5511</v>
      </c>
      <c r="D3560" t="s">
        <v>5511</v>
      </c>
      <c r="G3560" t="s">
        <v>6159</v>
      </c>
    </row>
    <row r="3561" spans="1:7" x14ac:dyDescent="0.25">
      <c r="A3561" t="s">
        <v>2982</v>
      </c>
      <c r="B3561" s="5">
        <v>39637</v>
      </c>
      <c r="C3561" s="5" t="s">
        <v>5512</v>
      </c>
      <c r="D3561" t="s">
        <v>5512</v>
      </c>
      <c r="G3561" t="s">
        <v>6159</v>
      </c>
    </row>
    <row r="3562" spans="1:7" x14ac:dyDescent="0.25">
      <c r="A3562" t="s">
        <v>2984</v>
      </c>
      <c r="B3562" s="5">
        <v>40051</v>
      </c>
      <c r="C3562" s="5" t="s">
        <v>5513</v>
      </c>
      <c r="D3562" t="s">
        <v>5513</v>
      </c>
      <c r="G3562" t="s">
        <v>6159</v>
      </c>
    </row>
    <row r="3563" spans="1:7" x14ac:dyDescent="0.25">
      <c r="A3563" t="s">
        <v>2932</v>
      </c>
      <c r="B3563" s="5">
        <v>42138</v>
      </c>
      <c r="C3563" s="5" t="s">
        <v>5514</v>
      </c>
      <c r="D3563" t="s">
        <v>5514</v>
      </c>
      <c r="G3563" t="s">
        <v>6159</v>
      </c>
    </row>
    <row r="3564" spans="1:7" x14ac:dyDescent="0.25">
      <c r="A3564" t="s">
        <v>2813</v>
      </c>
      <c r="B3564" s="5">
        <v>42248</v>
      </c>
      <c r="C3564" s="5" t="s">
        <v>5515</v>
      </c>
      <c r="D3564" t="s">
        <v>5515</v>
      </c>
      <c r="G3564" t="s">
        <v>6159</v>
      </c>
    </row>
    <row r="3565" spans="1:7" x14ac:dyDescent="0.25">
      <c r="A3565" t="s">
        <v>2933</v>
      </c>
      <c r="B3565" s="5">
        <v>42248</v>
      </c>
      <c r="C3565" s="5" t="s">
        <v>5516</v>
      </c>
      <c r="D3565" t="s">
        <v>5516</v>
      </c>
      <c r="G3565" t="s">
        <v>6159</v>
      </c>
    </row>
    <row r="3566" spans="1:7" x14ac:dyDescent="0.25">
      <c r="A3566" t="s">
        <v>2933</v>
      </c>
      <c r="B3566" s="5">
        <v>42138</v>
      </c>
      <c r="C3566" s="5" t="s">
        <v>5517</v>
      </c>
      <c r="D3566" t="s">
        <v>5517</v>
      </c>
      <c r="G3566" t="s">
        <v>6159</v>
      </c>
    </row>
    <row r="3567" spans="1:7" x14ac:dyDescent="0.25">
      <c r="A3567" t="s">
        <v>2932</v>
      </c>
      <c r="B3567" s="5">
        <v>42248</v>
      </c>
      <c r="C3567" s="5" t="s">
        <v>5518</v>
      </c>
      <c r="D3567" t="s">
        <v>5518</v>
      </c>
      <c r="G3567" t="s">
        <v>6159</v>
      </c>
    </row>
    <row r="3568" spans="1:7" x14ac:dyDescent="0.25">
      <c r="A3568" t="s">
        <v>2861</v>
      </c>
      <c r="B3568" s="5">
        <v>38911</v>
      </c>
      <c r="C3568" s="5" t="s">
        <v>5519</v>
      </c>
      <c r="D3568" t="s">
        <v>5519</v>
      </c>
      <c r="G3568" t="s">
        <v>6159</v>
      </c>
    </row>
    <row r="3569" spans="1:7" x14ac:dyDescent="0.25">
      <c r="A3569" t="s">
        <v>2985</v>
      </c>
      <c r="B3569" s="5">
        <v>41113</v>
      </c>
      <c r="C3569" s="5" t="s">
        <v>5520</v>
      </c>
      <c r="D3569" t="s">
        <v>5520</v>
      </c>
      <c r="G3569" t="s">
        <v>6159</v>
      </c>
    </row>
    <row r="3570" spans="1:7" x14ac:dyDescent="0.25">
      <c r="A3570" t="s">
        <v>332</v>
      </c>
      <c r="B3570" s="5">
        <v>40395</v>
      </c>
      <c r="C3570" s="5" t="s">
        <v>5521</v>
      </c>
      <c r="D3570" t="s">
        <v>5521</v>
      </c>
      <c r="G3570" t="s">
        <v>6159</v>
      </c>
    </row>
    <row r="3571" spans="1:7" x14ac:dyDescent="0.25">
      <c r="A3571" t="s">
        <v>2812</v>
      </c>
      <c r="B3571" s="5">
        <v>40212</v>
      </c>
      <c r="C3571" s="5" t="s">
        <v>5522</v>
      </c>
      <c r="D3571" t="s">
        <v>5522</v>
      </c>
      <c r="G3571" t="s">
        <v>6159</v>
      </c>
    </row>
    <row r="3572" spans="1:7" x14ac:dyDescent="0.25">
      <c r="A3572" t="s">
        <v>59</v>
      </c>
      <c r="B3572" s="5">
        <v>40395</v>
      </c>
      <c r="C3572" s="5" t="s">
        <v>5523</v>
      </c>
      <c r="D3572" t="s">
        <v>5523</v>
      </c>
      <c r="G3572" t="s">
        <v>6159</v>
      </c>
    </row>
    <row r="3573" spans="1:7" x14ac:dyDescent="0.25">
      <c r="A3573" t="s">
        <v>2866</v>
      </c>
      <c r="B3573" s="5">
        <v>40395</v>
      </c>
      <c r="C3573" s="5" t="s">
        <v>5524</v>
      </c>
      <c r="D3573" t="s">
        <v>5524</v>
      </c>
      <c r="G3573" t="s">
        <v>6159</v>
      </c>
    </row>
    <row r="3574" spans="1:7" x14ac:dyDescent="0.25">
      <c r="A3574" t="s">
        <v>318</v>
      </c>
      <c r="B3574" s="5">
        <v>40395</v>
      </c>
      <c r="C3574" s="5" t="s">
        <v>5525</v>
      </c>
      <c r="D3574" t="s">
        <v>5525</v>
      </c>
      <c r="G3574" t="s">
        <v>6159</v>
      </c>
    </row>
    <row r="3575" spans="1:7" x14ac:dyDescent="0.25">
      <c r="A3575" t="s">
        <v>315</v>
      </c>
      <c r="B3575" s="5">
        <v>42249</v>
      </c>
      <c r="C3575" s="5" t="s">
        <v>5526</v>
      </c>
      <c r="D3575" t="s">
        <v>5526</v>
      </c>
      <c r="G3575" t="s">
        <v>6159</v>
      </c>
    </row>
    <row r="3576" spans="1:7" x14ac:dyDescent="0.25">
      <c r="A3576" t="s">
        <v>2813</v>
      </c>
      <c r="B3576" s="5">
        <v>39204</v>
      </c>
      <c r="C3576" s="5" t="s">
        <v>5527</v>
      </c>
      <c r="D3576" t="s">
        <v>5527</v>
      </c>
      <c r="G3576" t="s">
        <v>6159</v>
      </c>
    </row>
    <row r="3577" spans="1:7" x14ac:dyDescent="0.25">
      <c r="A3577" t="s">
        <v>2975</v>
      </c>
      <c r="B3577" s="5">
        <v>39288</v>
      </c>
      <c r="C3577" s="5" t="s">
        <v>5528</v>
      </c>
      <c r="D3577" t="s">
        <v>5528</v>
      </c>
      <c r="G3577" t="s">
        <v>6159</v>
      </c>
    </row>
    <row r="3578" spans="1:7" x14ac:dyDescent="0.25">
      <c r="A3578" t="s">
        <v>2975</v>
      </c>
      <c r="B3578" s="5">
        <v>39644</v>
      </c>
      <c r="C3578" s="5" t="s">
        <v>5529</v>
      </c>
      <c r="D3578" t="s">
        <v>5529</v>
      </c>
      <c r="G3578" t="s">
        <v>6159</v>
      </c>
    </row>
  </sheetData>
  <autoFilter ref="A1:G357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3"/>
  <sheetViews>
    <sheetView workbookViewId="0">
      <pane ySplit="1" topLeftCell="A2507" activePane="bottomLeft" state="frozen"/>
      <selection pane="bottomLeft" activeCell="A2" sqref="A2"/>
    </sheetView>
  </sheetViews>
  <sheetFormatPr defaultRowHeight="15" x14ac:dyDescent="0.25"/>
  <cols>
    <col min="1" max="1" width="13.85546875" bestFit="1" customWidth="1"/>
    <col min="2" max="2" width="10.42578125" bestFit="1" customWidth="1"/>
    <col min="3" max="3" width="20" bestFit="1" customWidth="1"/>
  </cols>
  <sheetData>
    <row r="1" spans="1:4" x14ac:dyDescent="0.25">
      <c r="A1" t="s">
        <v>2808</v>
      </c>
      <c r="B1" t="s">
        <v>2809</v>
      </c>
      <c r="C1" t="s">
        <v>2986</v>
      </c>
      <c r="D1" t="s">
        <v>2987</v>
      </c>
    </row>
    <row r="2" spans="1:4" x14ac:dyDescent="0.25">
      <c r="A2" t="s">
        <v>2810</v>
      </c>
      <c r="B2" s="5">
        <v>39036</v>
      </c>
      <c r="C2" t="str">
        <f>A2&amp;"_"&amp;B2</f>
        <v>LCSIL006.13_39036</v>
      </c>
      <c r="D2">
        <f>COUNTIF(data.SampSummary!$C$2:$C$1407,C2)</f>
        <v>0</v>
      </c>
    </row>
    <row r="3" spans="1:4" x14ac:dyDescent="0.25">
      <c r="A3" t="s">
        <v>68</v>
      </c>
      <c r="B3" s="5">
        <v>39037</v>
      </c>
      <c r="C3" t="str">
        <f t="shared" ref="C3:C66" si="0">A3&amp;"_"&amp;B3</f>
        <v>LCSLR001.42_39037</v>
      </c>
      <c r="D3">
        <f>COUNTIF(data.SampSummary!$C$2:$C$1407,C3)</f>
        <v>0</v>
      </c>
    </row>
    <row r="4" spans="1:4" x14ac:dyDescent="0.25">
      <c r="A4" t="s">
        <v>2811</v>
      </c>
      <c r="B4" s="5">
        <v>39049</v>
      </c>
      <c r="C4" t="str">
        <f t="shared" si="0"/>
        <v>LCLCR216.67_39049</v>
      </c>
      <c r="D4">
        <f>COUNTIF(data.SampSummary!$C$2:$C$1407,C4)</f>
        <v>0</v>
      </c>
    </row>
    <row r="5" spans="1:4" x14ac:dyDescent="0.25">
      <c r="A5" t="s">
        <v>2812</v>
      </c>
      <c r="B5" s="5">
        <v>39049</v>
      </c>
      <c r="C5" t="str">
        <f t="shared" si="0"/>
        <v>LCLCR226.31_39049</v>
      </c>
      <c r="D5">
        <f>COUNTIF(data.SampSummary!$C$2:$C$1407,C5)</f>
        <v>0</v>
      </c>
    </row>
    <row r="6" spans="1:4" x14ac:dyDescent="0.25">
      <c r="A6" t="s">
        <v>111</v>
      </c>
      <c r="B6" s="5">
        <v>39049</v>
      </c>
      <c r="C6" t="str">
        <f t="shared" si="0"/>
        <v>LCLCR211.73_39049</v>
      </c>
      <c r="D6">
        <f>COUNTIF(data.SampSummary!$C$2:$C$1407,C6)</f>
        <v>0</v>
      </c>
    </row>
    <row r="7" spans="1:4" x14ac:dyDescent="0.25">
      <c r="A7" t="s">
        <v>120</v>
      </c>
      <c r="B7" s="5">
        <v>39049</v>
      </c>
      <c r="C7" t="str">
        <f t="shared" si="0"/>
        <v>LCLCR311.31_39049</v>
      </c>
      <c r="D7">
        <f>COUNTIF(data.SampSummary!$C$2:$C$1407,C7)</f>
        <v>0</v>
      </c>
    </row>
    <row r="8" spans="1:4" x14ac:dyDescent="0.25">
      <c r="A8" t="s">
        <v>137</v>
      </c>
      <c r="B8" s="5">
        <v>39049</v>
      </c>
      <c r="C8" t="str">
        <f t="shared" si="0"/>
        <v>LCCOY000.71_39049</v>
      </c>
      <c r="D8">
        <f>COUNTIF(data.SampSummary!$C$2:$C$1407,C8)</f>
        <v>0</v>
      </c>
    </row>
    <row r="9" spans="1:4" x14ac:dyDescent="0.25">
      <c r="A9" t="s">
        <v>2810</v>
      </c>
      <c r="B9" s="5">
        <v>39147</v>
      </c>
      <c r="C9" t="str">
        <f t="shared" si="0"/>
        <v>LCSIL006.13_39147</v>
      </c>
      <c r="D9">
        <f>COUNTIF(data.SampSummary!$C$2:$C$1407,C9)</f>
        <v>0</v>
      </c>
    </row>
    <row r="10" spans="1:4" x14ac:dyDescent="0.25">
      <c r="A10" t="s">
        <v>2812</v>
      </c>
      <c r="B10" s="5">
        <v>39147</v>
      </c>
      <c r="C10" t="str">
        <f t="shared" si="0"/>
        <v>LCLCR226.31_39147</v>
      </c>
      <c r="D10">
        <f>COUNTIF(data.SampSummary!$C$2:$C$1407,C10)</f>
        <v>0</v>
      </c>
    </row>
    <row r="11" spans="1:4" x14ac:dyDescent="0.25">
      <c r="A11" t="s">
        <v>2811</v>
      </c>
      <c r="B11" s="5">
        <v>39147</v>
      </c>
      <c r="C11" t="str">
        <f t="shared" si="0"/>
        <v>LCLCR216.67_39147</v>
      </c>
      <c r="D11">
        <f>COUNTIF(data.SampSummary!$C$2:$C$1407,C11)</f>
        <v>0</v>
      </c>
    </row>
    <row r="12" spans="1:4" x14ac:dyDescent="0.25">
      <c r="A12" t="s">
        <v>111</v>
      </c>
      <c r="B12" s="5">
        <v>39147</v>
      </c>
      <c r="C12" t="str">
        <f t="shared" si="0"/>
        <v>LCLCR211.73_39147</v>
      </c>
      <c r="D12">
        <f>COUNTIF(data.SampSummary!$C$2:$C$1407,C12)</f>
        <v>0</v>
      </c>
    </row>
    <row r="13" spans="1:4" x14ac:dyDescent="0.25">
      <c r="A13" t="s">
        <v>137</v>
      </c>
      <c r="B13" s="5">
        <v>39148</v>
      </c>
      <c r="C13" t="str">
        <f t="shared" si="0"/>
        <v>LCCOY000.71_39148</v>
      </c>
      <c r="D13">
        <f>COUNTIF(data.SampSummary!$C$2:$C$1407,C13)</f>
        <v>0</v>
      </c>
    </row>
    <row r="14" spans="1:4" x14ac:dyDescent="0.25">
      <c r="A14" t="s">
        <v>68</v>
      </c>
      <c r="B14" s="5">
        <v>39148</v>
      </c>
      <c r="C14" t="str">
        <f t="shared" si="0"/>
        <v>LCSLR001.42_39148</v>
      </c>
      <c r="D14">
        <f>COUNTIF(data.SampSummary!$C$2:$C$1407,C14)</f>
        <v>0</v>
      </c>
    </row>
    <row r="15" spans="1:4" x14ac:dyDescent="0.25">
      <c r="A15" t="s">
        <v>68</v>
      </c>
      <c r="B15" s="5">
        <v>39226</v>
      </c>
      <c r="C15" t="str">
        <f t="shared" si="0"/>
        <v>LCSLR001.42_39226</v>
      </c>
      <c r="D15">
        <f>COUNTIF(data.SampSummary!$C$2:$C$1407,C15)</f>
        <v>1</v>
      </c>
    </row>
    <row r="16" spans="1:4" x14ac:dyDescent="0.25">
      <c r="A16" t="s">
        <v>69</v>
      </c>
      <c r="B16" s="5">
        <v>41723</v>
      </c>
      <c r="C16" t="str">
        <f t="shared" si="0"/>
        <v>SRWRK007.97_41723</v>
      </c>
      <c r="D16">
        <f>COUNTIF(data.SampSummary!$C$2:$C$1407,C16)</f>
        <v>0</v>
      </c>
    </row>
    <row r="17" spans="1:4" x14ac:dyDescent="0.25">
      <c r="A17" t="s">
        <v>69</v>
      </c>
      <c r="B17" s="5">
        <v>41603</v>
      </c>
      <c r="C17" t="str">
        <f t="shared" si="0"/>
        <v>SRWRK007.97_41603</v>
      </c>
      <c r="D17">
        <f>COUNTIF(data.SampSummary!$C$2:$C$1407,C17)</f>
        <v>0</v>
      </c>
    </row>
    <row r="18" spans="1:4" x14ac:dyDescent="0.25">
      <c r="A18" t="s">
        <v>2813</v>
      </c>
      <c r="B18" s="5">
        <v>39175</v>
      </c>
      <c r="C18" t="str">
        <f t="shared" si="0"/>
        <v>LCWAN002.19_39175</v>
      </c>
      <c r="D18">
        <f>COUNTIF(data.SampSummary!$C$2:$C$1407,C18)</f>
        <v>0</v>
      </c>
    </row>
    <row r="19" spans="1:4" x14ac:dyDescent="0.25">
      <c r="A19" t="s">
        <v>2812</v>
      </c>
      <c r="B19" s="5">
        <v>39139</v>
      </c>
      <c r="C19" t="str">
        <f t="shared" si="0"/>
        <v>LCLCR226.31_39139</v>
      </c>
      <c r="D19">
        <f>COUNTIF(data.SampSummary!$C$2:$C$1407,C19)</f>
        <v>0</v>
      </c>
    </row>
    <row r="20" spans="1:4" x14ac:dyDescent="0.25">
      <c r="A20" t="s">
        <v>2814</v>
      </c>
      <c r="B20" s="5">
        <v>39139</v>
      </c>
      <c r="C20" t="str">
        <f t="shared" si="0"/>
        <v>LCSIL000.06_39139</v>
      </c>
      <c r="D20">
        <f>COUNTIF(data.SampSummary!$C$2:$C$1407,C20)</f>
        <v>0</v>
      </c>
    </row>
    <row r="21" spans="1:4" x14ac:dyDescent="0.25">
      <c r="A21" t="s">
        <v>2815</v>
      </c>
      <c r="B21" s="5">
        <v>39139</v>
      </c>
      <c r="C21" t="str">
        <f t="shared" si="0"/>
        <v>LCLCR212.96_39139</v>
      </c>
      <c r="D21">
        <f>COUNTIF(data.SampSummary!$C$2:$C$1407,C21)</f>
        <v>0</v>
      </c>
    </row>
    <row r="22" spans="1:4" x14ac:dyDescent="0.25">
      <c r="A22" t="s">
        <v>244</v>
      </c>
      <c r="B22" s="5">
        <v>39042</v>
      </c>
      <c r="C22" t="str">
        <f t="shared" si="0"/>
        <v>SCSON015.35_39042</v>
      </c>
      <c r="D22">
        <f>COUNTIF(data.SampSummary!$C$2:$C$1407,C22)</f>
        <v>0</v>
      </c>
    </row>
    <row r="23" spans="1:4" x14ac:dyDescent="0.25">
      <c r="A23" t="s">
        <v>2816</v>
      </c>
      <c r="B23" s="5">
        <v>39581</v>
      </c>
      <c r="C23" t="str">
        <f t="shared" si="0"/>
        <v>LCLCR324.92_39581</v>
      </c>
      <c r="D23">
        <f>COUNTIF(data.SampSummary!$C$2:$C$1407,C23)</f>
        <v>0</v>
      </c>
    </row>
    <row r="24" spans="1:4" x14ac:dyDescent="0.25">
      <c r="A24" t="s">
        <v>2817</v>
      </c>
      <c r="B24" s="5">
        <v>39581</v>
      </c>
      <c r="C24" t="str">
        <f t="shared" si="0"/>
        <v>LCLCR346.01_39581</v>
      </c>
      <c r="D24">
        <f>COUNTIF(data.SampSummary!$C$2:$C$1407,C24)</f>
        <v>0</v>
      </c>
    </row>
    <row r="25" spans="1:4" x14ac:dyDescent="0.25">
      <c r="A25" t="s">
        <v>2818</v>
      </c>
      <c r="B25" s="5">
        <v>38567</v>
      </c>
      <c r="C25" t="str">
        <f t="shared" si="0"/>
        <v>UGGLR505.96_38567</v>
      </c>
      <c r="D25">
        <f>COUNTIF(data.SampSummary!$C$2:$C$1407,C25)</f>
        <v>0</v>
      </c>
    </row>
    <row r="26" spans="1:4" x14ac:dyDescent="0.25">
      <c r="A26" t="s">
        <v>37</v>
      </c>
      <c r="B26" s="5">
        <v>39307</v>
      </c>
      <c r="C26" t="str">
        <f t="shared" si="0"/>
        <v>VRWOK000.82_39307</v>
      </c>
      <c r="D26">
        <f>COUNTIF(data.SampSummary!$C$2:$C$1407,C26)</f>
        <v>0</v>
      </c>
    </row>
    <row r="27" spans="1:4" x14ac:dyDescent="0.25">
      <c r="A27" t="s">
        <v>2115</v>
      </c>
      <c r="B27" s="5">
        <v>38568</v>
      </c>
      <c r="C27" t="str">
        <f t="shared" si="0"/>
        <v>UGGLR471.49_38568</v>
      </c>
      <c r="D27">
        <f>COUNTIF(data.SampSummary!$C$2:$C$1407,C27)</f>
        <v>0</v>
      </c>
    </row>
    <row r="28" spans="1:4" x14ac:dyDescent="0.25">
      <c r="A28" t="s">
        <v>328</v>
      </c>
      <c r="B28" s="5">
        <v>38568</v>
      </c>
      <c r="C28" t="str">
        <f t="shared" si="0"/>
        <v>UGSFR019.04_38568</v>
      </c>
      <c r="D28">
        <f>COUNTIF(data.SampSummary!$C$2:$C$1407,C28)</f>
        <v>0</v>
      </c>
    </row>
    <row r="29" spans="1:4" x14ac:dyDescent="0.25">
      <c r="A29" t="s">
        <v>326</v>
      </c>
      <c r="B29" s="5">
        <v>38568</v>
      </c>
      <c r="C29" t="str">
        <f t="shared" si="0"/>
        <v>UGSFR006.42_38568</v>
      </c>
      <c r="D29">
        <f>COUNTIF(data.SampSummary!$C$2:$C$1407,C29)</f>
        <v>0</v>
      </c>
    </row>
    <row r="30" spans="1:4" x14ac:dyDescent="0.25">
      <c r="A30" t="s">
        <v>238</v>
      </c>
      <c r="B30" s="5">
        <v>38573</v>
      </c>
      <c r="C30" t="str">
        <f t="shared" si="0"/>
        <v>UGBLR008.19_38573</v>
      </c>
      <c r="D30">
        <f>COUNTIF(data.SampSummary!$C$2:$C$1407,C30)</f>
        <v>0</v>
      </c>
    </row>
    <row r="31" spans="1:4" x14ac:dyDescent="0.25">
      <c r="A31" t="s">
        <v>262</v>
      </c>
      <c r="B31" s="5">
        <v>38573</v>
      </c>
      <c r="C31" t="str">
        <f t="shared" si="0"/>
        <v>UGEAG040.33_38573</v>
      </c>
      <c r="D31">
        <f>COUNTIF(data.SampSummary!$C$2:$C$1407,C31)</f>
        <v>0</v>
      </c>
    </row>
    <row r="32" spans="1:4" x14ac:dyDescent="0.25">
      <c r="A32" t="s">
        <v>140</v>
      </c>
      <c r="B32" s="5">
        <v>38573</v>
      </c>
      <c r="C32" t="str">
        <f t="shared" si="0"/>
        <v>UGEAG056.85_38573</v>
      </c>
      <c r="D32">
        <f>COUNTIF(data.SampSummary!$C$2:$C$1407,C32)</f>
        <v>0</v>
      </c>
    </row>
    <row r="33" spans="1:4" x14ac:dyDescent="0.25">
      <c r="A33" t="s">
        <v>2108</v>
      </c>
      <c r="B33" s="5">
        <v>38579</v>
      </c>
      <c r="C33" t="str">
        <f t="shared" si="0"/>
        <v>UGSFR151.22_38579</v>
      </c>
      <c r="D33">
        <f>COUNTIF(data.SampSummary!$C$2:$C$1407,C33)</f>
        <v>0</v>
      </c>
    </row>
    <row r="34" spans="1:4" x14ac:dyDescent="0.25">
      <c r="A34" t="s">
        <v>35</v>
      </c>
      <c r="B34" s="5">
        <v>38580</v>
      </c>
      <c r="C34" t="str">
        <f t="shared" si="0"/>
        <v>UGCMB004.23_38580</v>
      </c>
      <c r="D34">
        <f>COUNTIF(data.SampSummary!$C$2:$C$1407,C34)</f>
        <v>0</v>
      </c>
    </row>
    <row r="35" spans="1:4" x14ac:dyDescent="0.25">
      <c r="A35" t="s">
        <v>161</v>
      </c>
      <c r="B35" s="5">
        <v>38581</v>
      </c>
      <c r="C35" t="str">
        <f t="shared" si="0"/>
        <v>UGBLR028.99_38581</v>
      </c>
      <c r="D35">
        <f>COUNTIF(data.SampSummary!$C$2:$C$1407,C35)</f>
        <v>0</v>
      </c>
    </row>
    <row r="36" spans="1:4" x14ac:dyDescent="0.25">
      <c r="A36" t="s">
        <v>2819</v>
      </c>
      <c r="B36" s="5">
        <v>38581</v>
      </c>
      <c r="C36" t="str">
        <f t="shared" si="0"/>
        <v>UGKPK000.12_38581</v>
      </c>
      <c r="D36">
        <f>COUNTIF(data.SampSummary!$C$2:$C$1407,C36)</f>
        <v>0</v>
      </c>
    </row>
    <row r="37" spans="1:4" x14ac:dyDescent="0.25">
      <c r="A37" t="s">
        <v>38</v>
      </c>
      <c r="B37" s="5">
        <v>38581</v>
      </c>
      <c r="C37" t="str">
        <f t="shared" si="0"/>
        <v>UGBLR046.35_38581</v>
      </c>
      <c r="D37">
        <f>COUNTIF(data.SampSummary!$C$2:$C$1407,C37)</f>
        <v>0</v>
      </c>
    </row>
    <row r="38" spans="1:4" x14ac:dyDescent="0.25">
      <c r="A38" t="s">
        <v>1577</v>
      </c>
      <c r="B38" s="5">
        <v>38593</v>
      </c>
      <c r="C38" t="str">
        <f t="shared" si="0"/>
        <v>UGSCV002.56_38593</v>
      </c>
      <c r="D38">
        <f>COUNTIF(data.SampSummary!$C$2:$C$1407,C38)</f>
        <v>0</v>
      </c>
    </row>
    <row r="39" spans="1:4" x14ac:dyDescent="0.25">
      <c r="A39" t="s">
        <v>1530</v>
      </c>
      <c r="B39" s="5">
        <v>38594</v>
      </c>
      <c r="C39" t="str">
        <f t="shared" si="0"/>
        <v>UGCAV014.44_38594</v>
      </c>
      <c r="D39">
        <f>COUNTIF(data.SampSummary!$C$2:$C$1407,C39)</f>
        <v>0</v>
      </c>
    </row>
    <row r="40" spans="1:4" x14ac:dyDescent="0.25">
      <c r="A40" t="s">
        <v>79</v>
      </c>
      <c r="B40" s="5">
        <v>38594</v>
      </c>
      <c r="C40" t="str">
        <f t="shared" si="0"/>
        <v>UGETK011.80_38594</v>
      </c>
      <c r="D40">
        <f>COUNTIF(data.SampSummary!$C$2:$C$1407,C40)</f>
        <v>0</v>
      </c>
    </row>
    <row r="41" spans="1:4" x14ac:dyDescent="0.25">
      <c r="A41" t="s">
        <v>2820</v>
      </c>
      <c r="B41" s="5">
        <v>38594</v>
      </c>
      <c r="C41" t="str">
        <f t="shared" si="0"/>
        <v>UGNCV000.04_38594</v>
      </c>
      <c r="D41">
        <f>COUNTIF(data.SampSummary!$C$2:$C$1407,C41)</f>
        <v>0</v>
      </c>
    </row>
    <row r="42" spans="1:4" x14ac:dyDescent="0.25">
      <c r="A42" t="s">
        <v>362</v>
      </c>
      <c r="B42" s="5">
        <v>38607</v>
      </c>
      <c r="C42" t="str">
        <f t="shared" si="0"/>
        <v>SCSCR034.56_38607</v>
      </c>
      <c r="D42">
        <f>COUNTIF(data.SampSummary!$C$2:$C$1407,C42)</f>
        <v>0</v>
      </c>
    </row>
    <row r="43" spans="1:4" x14ac:dyDescent="0.25">
      <c r="A43" t="s">
        <v>2821</v>
      </c>
      <c r="B43" s="5">
        <v>38608</v>
      </c>
      <c r="C43" t="str">
        <f t="shared" si="0"/>
        <v>SCSAB016.28_38608</v>
      </c>
      <c r="D43">
        <f>COUNTIF(data.SampSummary!$C$2:$C$1407,C43)</f>
        <v>0</v>
      </c>
    </row>
    <row r="44" spans="1:4" x14ac:dyDescent="0.25">
      <c r="A44" t="s">
        <v>2822</v>
      </c>
      <c r="B44" s="5">
        <v>38615</v>
      </c>
      <c r="C44" t="str">
        <f t="shared" si="0"/>
        <v>SCPOT001.62_38615</v>
      </c>
      <c r="D44">
        <f>COUNTIF(data.SampSummary!$C$2:$C$1407,C44)</f>
        <v>0</v>
      </c>
    </row>
    <row r="45" spans="1:4" x14ac:dyDescent="0.25">
      <c r="A45" t="s">
        <v>2823</v>
      </c>
      <c r="B45" s="5">
        <v>38615</v>
      </c>
      <c r="C45" t="str">
        <f t="shared" si="0"/>
        <v>SCNGW004.87_38615</v>
      </c>
      <c r="D45">
        <f>COUNTIF(data.SampSummary!$C$2:$C$1407,C45)</f>
        <v>0</v>
      </c>
    </row>
    <row r="46" spans="1:4" x14ac:dyDescent="0.25">
      <c r="A46" t="s">
        <v>2824</v>
      </c>
      <c r="B46" s="5">
        <v>38616</v>
      </c>
      <c r="C46" t="str">
        <f t="shared" si="0"/>
        <v>SCSCR099.40_38616</v>
      </c>
      <c r="D46">
        <f>COUNTIF(data.SampSummary!$C$2:$C$1407,C46)</f>
        <v>0</v>
      </c>
    </row>
    <row r="47" spans="1:4" x14ac:dyDescent="0.25">
      <c r="A47" t="s">
        <v>2773</v>
      </c>
      <c r="B47" s="5">
        <v>38616</v>
      </c>
      <c r="C47" t="str">
        <f t="shared" si="0"/>
        <v>SCSCR111.66_38616</v>
      </c>
      <c r="D47">
        <f>COUNTIF(data.SampSummary!$C$2:$C$1407,C47)</f>
        <v>0</v>
      </c>
    </row>
    <row r="48" spans="1:4" x14ac:dyDescent="0.25">
      <c r="A48" t="s">
        <v>377</v>
      </c>
      <c r="B48" s="5">
        <v>38621</v>
      </c>
      <c r="C48" t="str">
        <f t="shared" si="0"/>
        <v>SCCIE004.25_38621</v>
      </c>
      <c r="D48">
        <f>COUNTIF(data.SampSummary!$C$2:$C$1407,C48)</f>
        <v>0</v>
      </c>
    </row>
    <row r="49" spans="1:4" x14ac:dyDescent="0.25">
      <c r="A49" t="s">
        <v>2825</v>
      </c>
      <c r="B49" s="5">
        <v>38622</v>
      </c>
      <c r="C49" t="str">
        <f t="shared" si="0"/>
        <v>SCPRK010.26_38622</v>
      </c>
      <c r="D49">
        <f>COUNTIF(data.SampSummary!$C$2:$C$1407,C49)</f>
        <v>0</v>
      </c>
    </row>
    <row r="50" spans="1:4" x14ac:dyDescent="0.25">
      <c r="A50" t="s">
        <v>2826</v>
      </c>
      <c r="B50" s="5">
        <v>38622</v>
      </c>
      <c r="C50" t="str">
        <f t="shared" si="0"/>
        <v>SCCIE022.42_38622</v>
      </c>
      <c r="D50">
        <f>COUNTIF(data.SampSummary!$C$2:$C$1407,C50)</f>
        <v>0</v>
      </c>
    </row>
    <row r="51" spans="1:4" x14ac:dyDescent="0.25">
      <c r="A51" t="s">
        <v>208</v>
      </c>
      <c r="B51" s="5">
        <v>38623</v>
      </c>
      <c r="C51" t="str">
        <f t="shared" si="0"/>
        <v>SCSON014.52_38623</v>
      </c>
      <c r="D51">
        <f>COUNTIF(data.SampSummary!$C$2:$C$1407,C51)</f>
        <v>0</v>
      </c>
    </row>
    <row r="52" spans="1:4" x14ac:dyDescent="0.25">
      <c r="A52" t="s">
        <v>320</v>
      </c>
      <c r="B52" s="5">
        <v>38623</v>
      </c>
      <c r="C52" t="str">
        <f t="shared" si="0"/>
        <v>UGGLR452.43_38623</v>
      </c>
      <c r="D52">
        <f>COUNTIF(data.SampSummary!$C$2:$C$1407,C52)</f>
        <v>0</v>
      </c>
    </row>
    <row r="53" spans="1:4" x14ac:dyDescent="0.25">
      <c r="A53" t="s">
        <v>2827</v>
      </c>
      <c r="B53" s="5">
        <v>40974</v>
      </c>
      <c r="C53" t="str">
        <f t="shared" si="0"/>
        <v>VREVR027.67_40974</v>
      </c>
      <c r="D53">
        <f>COUNTIF(data.SampSummary!$C$2:$C$1407,C53)</f>
        <v>0</v>
      </c>
    </row>
    <row r="54" spans="1:4" x14ac:dyDescent="0.25">
      <c r="A54" t="s">
        <v>39</v>
      </c>
      <c r="B54" s="5">
        <v>38624</v>
      </c>
      <c r="C54" t="str">
        <f t="shared" si="0"/>
        <v>UGFRY009.52_38624</v>
      </c>
      <c r="D54">
        <f>COUNTIF(data.SampSummary!$C$2:$C$1407,C54)</f>
        <v>0</v>
      </c>
    </row>
    <row r="55" spans="1:4" x14ac:dyDescent="0.25">
      <c r="A55" t="s">
        <v>308</v>
      </c>
      <c r="B55" s="5">
        <v>38629</v>
      </c>
      <c r="C55" t="str">
        <f t="shared" si="0"/>
        <v>SRTON019.37_38629</v>
      </c>
      <c r="D55">
        <f>COUNTIF(data.SampSummary!$C$2:$C$1407,C55)</f>
        <v>0</v>
      </c>
    </row>
    <row r="56" spans="1:4" x14ac:dyDescent="0.25">
      <c r="A56" t="s">
        <v>2819</v>
      </c>
      <c r="B56" s="5">
        <v>38650</v>
      </c>
      <c r="C56" t="str">
        <f t="shared" si="0"/>
        <v>UGKPK000.12_38650</v>
      </c>
      <c r="D56">
        <f>COUNTIF(data.SampSummary!$C$2:$C$1407,C56)</f>
        <v>0</v>
      </c>
    </row>
    <row r="57" spans="1:4" x14ac:dyDescent="0.25">
      <c r="A57" t="s">
        <v>161</v>
      </c>
      <c r="B57" s="5">
        <v>38650</v>
      </c>
      <c r="C57" t="str">
        <f t="shared" si="0"/>
        <v>UGBLR028.99_38650</v>
      </c>
      <c r="D57">
        <f>COUNTIF(data.SampSummary!$C$2:$C$1407,C57)</f>
        <v>0</v>
      </c>
    </row>
    <row r="58" spans="1:4" x14ac:dyDescent="0.25">
      <c r="A58" t="s">
        <v>38</v>
      </c>
      <c r="B58" s="5">
        <v>38651</v>
      </c>
      <c r="C58" t="str">
        <f t="shared" si="0"/>
        <v>UGBLR046.35_38651</v>
      </c>
      <c r="D58">
        <f>COUNTIF(data.SampSummary!$C$2:$C$1407,C58)</f>
        <v>0</v>
      </c>
    </row>
    <row r="59" spans="1:4" x14ac:dyDescent="0.25">
      <c r="A59" t="s">
        <v>2108</v>
      </c>
      <c r="B59" s="5">
        <v>38651</v>
      </c>
      <c r="C59" t="str">
        <f t="shared" si="0"/>
        <v>UGSFR151.22_38651</v>
      </c>
      <c r="D59">
        <f>COUNTIF(data.SampSummary!$C$2:$C$1407,C59)</f>
        <v>0</v>
      </c>
    </row>
    <row r="60" spans="1:4" x14ac:dyDescent="0.25">
      <c r="A60" t="s">
        <v>35</v>
      </c>
      <c r="B60" s="5">
        <v>38651</v>
      </c>
      <c r="C60" t="str">
        <f t="shared" si="0"/>
        <v>UGCMB004.23_38651</v>
      </c>
      <c r="D60">
        <f>COUNTIF(data.SampSummary!$C$2:$C$1407,C60)</f>
        <v>0</v>
      </c>
    </row>
    <row r="61" spans="1:4" x14ac:dyDescent="0.25">
      <c r="A61" t="s">
        <v>262</v>
      </c>
      <c r="B61" s="5">
        <v>38657</v>
      </c>
      <c r="C61" t="str">
        <f t="shared" si="0"/>
        <v>UGEAG040.33_38657</v>
      </c>
      <c r="D61">
        <f>COUNTIF(data.SampSummary!$C$2:$C$1407,C61)</f>
        <v>0</v>
      </c>
    </row>
    <row r="62" spans="1:4" x14ac:dyDescent="0.25">
      <c r="A62" t="s">
        <v>140</v>
      </c>
      <c r="B62" s="5">
        <v>38657</v>
      </c>
      <c r="C62" t="str">
        <f t="shared" si="0"/>
        <v>UGEAG056.85_38657</v>
      </c>
      <c r="D62">
        <f>COUNTIF(data.SampSummary!$C$2:$C$1407,C62)</f>
        <v>0</v>
      </c>
    </row>
    <row r="63" spans="1:4" x14ac:dyDescent="0.25">
      <c r="A63" t="s">
        <v>357</v>
      </c>
      <c r="B63" s="5">
        <v>38658</v>
      </c>
      <c r="C63" t="str">
        <f t="shared" si="0"/>
        <v>UGSFR034.57_38658</v>
      </c>
      <c r="D63">
        <f>COUNTIF(data.SampSummary!$C$2:$C$1407,C63)</f>
        <v>0</v>
      </c>
    </row>
    <row r="64" spans="1:4" x14ac:dyDescent="0.25">
      <c r="A64" t="s">
        <v>79</v>
      </c>
      <c r="B64" s="5">
        <v>38664</v>
      </c>
      <c r="C64" t="str">
        <f t="shared" si="0"/>
        <v>UGETK011.80_38664</v>
      </c>
      <c r="D64">
        <f>COUNTIF(data.SampSummary!$C$2:$C$1407,C64)</f>
        <v>0</v>
      </c>
    </row>
    <row r="65" spans="1:4" x14ac:dyDescent="0.25">
      <c r="A65" t="s">
        <v>2820</v>
      </c>
      <c r="B65" s="5">
        <v>38665</v>
      </c>
      <c r="C65" t="str">
        <f t="shared" si="0"/>
        <v>UGNCV000.04_38665</v>
      </c>
      <c r="D65">
        <f>COUNTIF(data.SampSummary!$C$2:$C$1407,C65)</f>
        <v>0</v>
      </c>
    </row>
    <row r="66" spans="1:4" x14ac:dyDescent="0.25">
      <c r="A66" t="s">
        <v>1530</v>
      </c>
      <c r="B66" s="5">
        <v>38665</v>
      </c>
      <c r="C66" t="str">
        <f t="shared" si="0"/>
        <v>UGCAV014.44_38665</v>
      </c>
      <c r="D66">
        <f>COUNTIF(data.SampSummary!$C$2:$C$1407,C66)</f>
        <v>0</v>
      </c>
    </row>
    <row r="67" spans="1:4" x14ac:dyDescent="0.25">
      <c r="A67" t="s">
        <v>1577</v>
      </c>
      <c r="B67" s="5">
        <v>38665</v>
      </c>
      <c r="C67" t="str">
        <f t="shared" ref="C67:C130" si="1">A67&amp;"_"&amp;B67</f>
        <v>UGSCV002.56_38665</v>
      </c>
      <c r="D67">
        <f>COUNTIF(data.SampSummary!$C$2:$C$1407,C67)</f>
        <v>0</v>
      </c>
    </row>
    <row r="68" spans="1:4" x14ac:dyDescent="0.25">
      <c r="A68" t="s">
        <v>2773</v>
      </c>
      <c r="B68" s="5">
        <v>38671</v>
      </c>
      <c r="C68" t="str">
        <f t="shared" si="1"/>
        <v>SCSCR111.66_38671</v>
      </c>
      <c r="D68">
        <f>COUNTIF(data.SampSummary!$C$2:$C$1407,C68)</f>
        <v>0</v>
      </c>
    </row>
    <row r="69" spans="1:4" x14ac:dyDescent="0.25">
      <c r="A69" t="s">
        <v>362</v>
      </c>
      <c r="B69" s="5">
        <v>38671</v>
      </c>
      <c r="C69" t="str">
        <f t="shared" si="1"/>
        <v>SCSCR034.56_38671</v>
      </c>
      <c r="D69">
        <f>COUNTIF(data.SampSummary!$C$2:$C$1407,C69)</f>
        <v>0</v>
      </c>
    </row>
    <row r="70" spans="1:4" x14ac:dyDescent="0.25">
      <c r="A70" t="s">
        <v>2822</v>
      </c>
      <c r="B70" s="5">
        <v>38672</v>
      </c>
      <c r="C70" t="str">
        <f t="shared" si="1"/>
        <v>SCPOT001.62_38672</v>
      </c>
      <c r="D70">
        <f>COUNTIF(data.SampSummary!$C$2:$C$1407,C70)</f>
        <v>0</v>
      </c>
    </row>
    <row r="71" spans="1:4" x14ac:dyDescent="0.25">
      <c r="A71" t="s">
        <v>2115</v>
      </c>
      <c r="B71" s="5">
        <v>38685</v>
      </c>
      <c r="C71" t="str">
        <f t="shared" si="1"/>
        <v>UGGLR471.49_38685</v>
      </c>
      <c r="D71">
        <f>COUNTIF(data.SampSummary!$C$2:$C$1407,C71)</f>
        <v>0</v>
      </c>
    </row>
    <row r="72" spans="1:4" x14ac:dyDescent="0.25">
      <c r="A72" t="s">
        <v>2828</v>
      </c>
      <c r="B72" s="5">
        <v>39952</v>
      </c>
      <c r="C72" t="str">
        <f t="shared" si="1"/>
        <v>LCLCR301.17_39952</v>
      </c>
      <c r="D72">
        <f>COUNTIF(data.SampSummary!$C$2:$C$1407,C72)</f>
        <v>0</v>
      </c>
    </row>
    <row r="73" spans="1:4" x14ac:dyDescent="0.25">
      <c r="A73" t="s">
        <v>328</v>
      </c>
      <c r="B73" s="5">
        <v>38686</v>
      </c>
      <c r="C73" t="str">
        <f t="shared" si="1"/>
        <v>UGSFR019.04_38686</v>
      </c>
      <c r="D73">
        <f>COUNTIF(data.SampSummary!$C$2:$C$1407,C73)</f>
        <v>0</v>
      </c>
    </row>
    <row r="74" spans="1:4" x14ac:dyDescent="0.25">
      <c r="A74" t="s">
        <v>326</v>
      </c>
      <c r="B74" s="5">
        <v>38686</v>
      </c>
      <c r="C74" t="str">
        <f t="shared" si="1"/>
        <v>UGSFR006.42_38686</v>
      </c>
      <c r="D74">
        <f>COUNTIF(data.SampSummary!$C$2:$C$1407,C74)</f>
        <v>0</v>
      </c>
    </row>
    <row r="75" spans="1:4" x14ac:dyDescent="0.25">
      <c r="A75" t="s">
        <v>2818</v>
      </c>
      <c r="B75" s="5">
        <v>38686</v>
      </c>
      <c r="C75" t="str">
        <f t="shared" si="1"/>
        <v>UGGLR505.96_38686</v>
      </c>
      <c r="D75">
        <f>COUNTIF(data.SampSummary!$C$2:$C$1407,C75)</f>
        <v>0</v>
      </c>
    </row>
    <row r="76" spans="1:4" x14ac:dyDescent="0.25">
      <c r="A76" t="s">
        <v>308</v>
      </c>
      <c r="B76" s="5">
        <v>38687</v>
      </c>
      <c r="C76" t="str">
        <f t="shared" si="1"/>
        <v>SRTON019.37_38687</v>
      </c>
      <c r="D76">
        <f>COUNTIF(data.SampSummary!$C$2:$C$1407,C76)</f>
        <v>0</v>
      </c>
    </row>
    <row r="77" spans="1:4" x14ac:dyDescent="0.25">
      <c r="A77" t="s">
        <v>377</v>
      </c>
      <c r="B77" s="5">
        <v>38692</v>
      </c>
      <c r="C77" t="str">
        <f t="shared" si="1"/>
        <v>SCCIE004.25_38692</v>
      </c>
      <c r="D77">
        <f>COUNTIF(data.SampSummary!$C$2:$C$1407,C77)</f>
        <v>0</v>
      </c>
    </row>
    <row r="78" spans="1:4" x14ac:dyDescent="0.25">
      <c r="A78" t="s">
        <v>2826</v>
      </c>
      <c r="B78" s="5">
        <v>38693</v>
      </c>
      <c r="C78" t="str">
        <f t="shared" si="1"/>
        <v>SCCIE022.42_38693</v>
      </c>
      <c r="D78">
        <f>COUNTIF(data.SampSummary!$C$2:$C$1407,C78)</f>
        <v>0</v>
      </c>
    </row>
    <row r="79" spans="1:4" x14ac:dyDescent="0.25">
      <c r="A79" t="s">
        <v>2825</v>
      </c>
      <c r="B79" s="5">
        <v>38693</v>
      </c>
      <c r="C79" t="str">
        <f t="shared" si="1"/>
        <v>SCPRK010.26_38693</v>
      </c>
      <c r="D79">
        <f>COUNTIF(data.SampSummary!$C$2:$C$1407,C79)</f>
        <v>0</v>
      </c>
    </row>
    <row r="80" spans="1:4" x14ac:dyDescent="0.25">
      <c r="A80" t="s">
        <v>208</v>
      </c>
      <c r="B80" s="5">
        <v>38694</v>
      </c>
      <c r="C80" t="str">
        <f t="shared" si="1"/>
        <v>SCSON014.52_38694</v>
      </c>
      <c r="D80">
        <f>COUNTIF(data.SampSummary!$C$2:$C$1407,C80)</f>
        <v>0</v>
      </c>
    </row>
    <row r="81" spans="1:4" x14ac:dyDescent="0.25">
      <c r="A81" t="s">
        <v>342</v>
      </c>
      <c r="B81" s="5">
        <v>38699</v>
      </c>
      <c r="C81" t="str">
        <f t="shared" si="1"/>
        <v>UGBON000.17_38699</v>
      </c>
      <c r="D81">
        <f>COUNTIF(data.SampSummary!$C$2:$C$1407,C81)</f>
        <v>0</v>
      </c>
    </row>
    <row r="82" spans="1:4" x14ac:dyDescent="0.25">
      <c r="A82" t="s">
        <v>320</v>
      </c>
      <c r="B82" s="5">
        <v>38699</v>
      </c>
      <c r="C82" t="str">
        <f t="shared" si="1"/>
        <v>UGGLR452.43_38699</v>
      </c>
      <c r="D82">
        <f>COUNTIF(data.SampSummary!$C$2:$C$1407,C82)</f>
        <v>0</v>
      </c>
    </row>
    <row r="83" spans="1:4" x14ac:dyDescent="0.25">
      <c r="A83" t="s">
        <v>39</v>
      </c>
      <c r="B83" s="5">
        <v>38700</v>
      </c>
      <c r="C83" t="str">
        <f t="shared" si="1"/>
        <v>UGFRY009.52_38700</v>
      </c>
      <c r="D83">
        <f>COUNTIF(data.SampSummary!$C$2:$C$1407,C83)</f>
        <v>0</v>
      </c>
    </row>
    <row r="84" spans="1:4" x14ac:dyDescent="0.25">
      <c r="A84" t="s">
        <v>2829</v>
      </c>
      <c r="B84" s="5">
        <v>38700</v>
      </c>
      <c r="C84" t="str">
        <f t="shared" si="1"/>
        <v>UGA1H011.08_38700</v>
      </c>
      <c r="D84">
        <f>COUNTIF(data.SampSummary!$C$2:$C$1407,C84)</f>
        <v>0</v>
      </c>
    </row>
    <row r="85" spans="1:4" x14ac:dyDescent="0.25">
      <c r="A85" t="s">
        <v>2823</v>
      </c>
      <c r="B85" s="5">
        <v>38727</v>
      </c>
      <c r="C85" t="str">
        <f t="shared" si="1"/>
        <v>SCNGW004.87_38727</v>
      </c>
      <c r="D85">
        <f>COUNTIF(data.SampSummary!$C$2:$C$1407,C85)</f>
        <v>0</v>
      </c>
    </row>
    <row r="86" spans="1:4" x14ac:dyDescent="0.25">
      <c r="A86" t="s">
        <v>2773</v>
      </c>
      <c r="B86" s="5">
        <v>38727</v>
      </c>
      <c r="C86" t="str">
        <f t="shared" si="1"/>
        <v>SCSCR111.66_38727</v>
      </c>
      <c r="D86">
        <f>COUNTIF(data.SampSummary!$C$2:$C$1407,C86)</f>
        <v>0</v>
      </c>
    </row>
    <row r="87" spans="1:4" x14ac:dyDescent="0.25">
      <c r="A87" t="s">
        <v>2822</v>
      </c>
      <c r="B87" s="5">
        <v>38728</v>
      </c>
      <c r="C87" t="str">
        <f t="shared" si="1"/>
        <v>SCPOT001.62_38728</v>
      </c>
      <c r="D87">
        <f>COUNTIF(data.SampSummary!$C$2:$C$1407,C87)</f>
        <v>0</v>
      </c>
    </row>
    <row r="88" spans="1:4" x14ac:dyDescent="0.25">
      <c r="A88" t="s">
        <v>362</v>
      </c>
      <c r="B88" s="5">
        <v>38740</v>
      </c>
      <c r="C88" t="str">
        <f t="shared" si="1"/>
        <v>SCSCR034.56_38740</v>
      </c>
      <c r="D88">
        <f>COUNTIF(data.SampSummary!$C$2:$C$1407,C88)</f>
        <v>0</v>
      </c>
    </row>
    <row r="89" spans="1:4" x14ac:dyDescent="0.25">
      <c r="A89" t="s">
        <v>333</v>
      </c>
      <c r="B89" s="5">
        <v>39931</v>
      </c>
      <c r="C89" t="str">
        <f t="shared" si="1"/>
        <v>UGEAG011.09_39931</v>
      </c>
      <c r="D89">
        <f>COUNTIF(data.SampSummary!$C$2:$C$1407,C89)</f>
        <v>1</v>
      </c>
    </row>
    <row r="90" spans="1:4" x14ac:dyDescent="0.25">
      <c r="A90" t="s">
        <v>377</v>
      </c>
      <c r="B90" s="5">
        <v>38762</v>
      </c>
      <c r="C90" t="str">
        <f t="shared" si="1"/>
        <v>SCCIE004.25_38762</v>
      </c>
      <c r="D90">
        <f>COUNTIF(data.SampSummary!$C$2:$C$1407,C90)</f>
        <v>0</v>
      </c>
    </row>
    <row r="91" spans="1:4" x14ac:dyDescent="0.25">
      <c r="A91" t="s">
        <v>2825</v>
      </c>
      <c r="B91" s="5">
        <v>38762</v>
      </c>
      <c r="C91" t="str">
        <f t="shared" si="1"/>
        <v>SCPRK010.26_38762</v>
      </c>
      <c r="D91">
        <f>COUNTIF(data.SampSummary!$C$2:$C$1407,C91)</f>
        <v>0</v>
      </c>
    </row>
    <row r="92" spans="1:4" x14ac:dyDescent="0.25">
      <c r="A92" t="s">
        <v>2115</v>
      </c>
      <c r="B92" s="5">
        <v>38762</v>
      </c>
      <c r="C92" t="str">
        <f t="shared" si="1"/>
        <v>UGGLR471.49_38762</v>
      </c>
      <c r="D92">
        <f>COUNTIF(data.SampSummary!$C$2:$C$1407,C92)</f>
        <v>0</v>
      </c>
    </row>
    <row r="93" spans="1:4" x14ac:dyDescent="0.25">
      <c r="A93" t="s">
        <v>328</v>
      </c>
      <c r="B93" s="5">
        <v>38763</v>
      </c>
      <c r="C93" t="str">
        <f t="shared" si="1"/>
        <v>UGSFR019.04_38763</v>
      </c>
      <c r="D93">
        <f>COUNTIF(data.SampSummary!$C$2:$C$1407,C93)</f>
        <v>0</v>
      </c>
    </row>
    <row r="94" spans="1:4" x14ac:dyDescent="0.25">
      <c r="A94" t="s">
        <v>326</v>
      </c>
      <c r="B94" s="5">
        <v>38763</v>
      </c>
      <c r="C94" t="str">
        <f t="shared" si="1"/>
        <v>UGSFR006.42_38763</v>
      </c>
      <c r="D94">
        <f>COUNTIF(data.SampSummary!$C$2:$C$1407,C94)</f>
        <v>0</v>
      </c>
    </row>
    <row r="95" spans="1:4" x14ac:dyDescent="0.25">
      <c r="A95" t="s">
        <v>2775</v>
      </c>
      <c r="B95" s="5">
        <v>38763</v>
      </c>
      <c r="C95" t="str">
        <f t="shared" si="1"/>
        <v>SCSON018.31_38763</v>
      </c>
      <c r="D95">
        <f>COUNTIF(data.SampSummary!$C$2:$C$1407,C95)</f>
        <v>0</v>
      </c>
    </row>
    <row r="96" spans="1:4" x14ac:dyDescent="0.25">
      <c r="A96" t="s">
        <v>2818</v>
      </c>
      <c r="B96" s="5">
        <v>38763</v>
      </c>
      <c r="C96" t="str">
        <f t="shared" si="1"/>
        <v>UGGLR505.96_38763</v>
      </c>
      <c r="D96">
        <f>COUNTIF(data.SampSummary!$C$2:$C$1407,C96)</f>
        <v>0</v>
      </c>
    </row>
    <row r="97" spans="1:4" x14ac:dyDescent="0.25">
      <c r="A97" t="s">
        <v>208</v>
      </c>
      <c r="B97" s="5">
        <v>38763</v>
      </c>
      <c r="C97" t="str">
        <f t="shared" si="1"/>
        <v>SCSON014.52_38763</v>
      </c>
      <c r="D97">
        <f>COUNTIF(data.SampSummary!$C$2:$C$1407,C97)</f>
        <v>0</v>
      </c>
    </row>
    <row r="98" spans="1:4" x14ac:dyDescent="0.25">
      <c r="A98" t="s">
        <v>275</v>
      </c>
      <c r="B98" s="5">
        <v>39911</v>
      </c>
      <c r="C98" t="str">
        <f t="shared" si="1"/>
        <v>MGLAS004.52_39911</v>
      </c>
      <c r="D98">
        <f>COUNTIF(data.SampSummary!$C$2:$C$1407,C98)</f>
        <v>1</v>
      </c>
    </row>
    <row r="99" spans="1:4" x14ac:dyDescent="0.25">
      <c r="A99" t="s">
        <v>2826</v>
      </c>
      <c r="B99" s="5">
        <v>38764</v>
      </c>
      <c r="C99" t="str">
        <f t="shared" si="1"/>
        <v>SCCIE022.42_38764</v>
      </c>
      <c r="D99">
        <f>COUNTIF(data.SampSummary!$C$2:$C$1407,C99)</f>
        <v>0</v>
      </c>
    </row>
    <row r="100" spans="1:4" x14ac:dyDescent="0.25">
      <c r="A100" t="s">
        <v>308</v>
      </c>
      <c r="B100" s="5">
        <v>38770</v>
      </c>
      <c r="C100" t="str">
        <f t="shared" si="1"/>
        <v>SRTON019.37_38770</v>
      </c>
      <c r="D100">
        <f>COUNTIF(data.SampSummary!$C$2:$C$1407,C100)</f>
        <v>0</v>
      </c>
    </row>
    <row r="101" spans="1:4" x14ac:dyDescent="0.25">
      <c r="A101" t="s">
        <v>357</v>
      </c>
      <c r="B101" s="5">
        <v>38776</v>
      </c>
      <c r="C101" t="str">
        <f t="shared" si="1"/>
        <v>UGSFR034.57_38776</v>
      </c>
      <c r="D101">
        <f>COUNTIF(data.SampSummary!$C$2:$C$1407,C101)</f>
        <v>0</v>
      </c>
    </row>
    <row r="102" spans="1:4" x14ac:dyDescent="0.25">
      <c r="A102" t="s">
        <v>93</v>
      </c>
      <c r="B102" s="5">
        <v>42542</v>
      </c>
      <c r="C102" t="str">
        <f t="shared" si="1"/>
        <v>SRCDY002.95_42542</v>
      </c>
      <c r="D102">
        <f>COUNTIF(data.SampSummary!$C$2:$C$1407,C102)</f>
        <v>1</v>
      </c>
    </row>
    <row r="103" spans="1:4" x14ac:dyDescent="0.25">
      <c r="A103" t="s">
        <v>140</v>
      </c>
      <c r="B103" s="5">
        <v>38777</v>
      </c>
      <c r="C103" t="str">
        <f t="shared" si="1"/>
        <v>UGEAG056.85_38777</v>
      </c>
      <c r="D103">
        <f>COUNTIF(data.SampSummary!$C$2:$C$1407,C103)</f>
        <v>0</v>
      </c>
    </row>
    <row r="104" spans="1:4" x14ac:dyDescent="0.25">
      <c r="A104" t="s">
        <v>262</v>
      </c>
      <c r="B104" s="5">
        <v>38777</v>
      </c>
      <c r="C104" t="str">
        <f t="shared" si="1"/>
        <v>UGEAG040.33_38777</v>
      </c>
      <c r="D104">
        <f>COUNTIF(data.SampSummary!$C$2:$C$1407,C104)</f>
        <v>0</v>
      </c>
    </row>
    <row r="105" spans="1:4" x14ac:dyDescent="0.25">
      <c r="A105" t="s">
        <v>238</v>
      </c>
      <c r="B105" s="5">
        <v>38778</v>
      </c>
      <c r="C105" t="str">
        <f t="shared" si="1"/>
        <v>UGBLR008.19_38778</v>
      </c>
      <c r="D105">
        <f>COUNTIF(data.SampSummary!$C$2:$C$1407,C105)</f>
        <v>0</v>
      </c>
    </row>
    <row r="106" spans="1:4" x14ac:dyDescent="0.25">
      <c r="A106" t="s">
        <v>79</v>
      </c>
      <c r="B106" s="5">
        <v>38790</v>
      </c>
      <c r="C106" t="str">
        <f t="shared" si="1"/>
        <v>UGETK011.80_38790</v>
      </c>
      <c r="D106">
        <f>COUNTIF(data.SampSummary!$C$2:$C$1407,C106)</f>
        <v>0</v>
      </c>
    </row>
    <row r="107" spans="1:4" x14ac:dyDescent="0.25">
      <c r="A107" t="s">
        <v>38</v>
      </c>
      <c r="B107" s="5">
        <v>39904</v>
      </c>
      <c r="C107" t="str">
        <f t="shared" si="1"/>
        <v>UGBLR046.35_39904</v>
      </c>
      <c r="D107">
        <f>COUNTIF(data.SampSummary!$C$2:$C$1407,C107)</f>
        <v>0</v>
      </c>
    </row>
    <row r="108" spans="1:4" x14ac:dyDescent="0.25">
      <c r="A108" t="s">
        <v>2108</v>
      </c>
      <c r="B108" s="5">
        <v>39903</v>
      </c>
      <c r="C108" t="str">
        <f t="shared" si="1"/>
        <v>UGSFR151.22_39903</v>
      </c>
      <c r="D108">
        <f>COUNTIF(data.SampSummary!$C$2:$C$1407,C108)</f>
        <v>0</v>
      </c>
    </row>
    <row r="109" spans="1:4" x14ac:dyDescent="0.25">
      <c r="A109" t="s">
        <v>2820</v>
      </c>
      <c r="B109" s="5">
        <v>38791</v>
      </c>
      <c r="C109" t="str">
        <f t="shared" si="1"/>
        <v>UGNCV000.04_38791</v>
      </c>
      <c r="D109">
        <f>COUNTIF(data.SampSummary!$C$2:$C$1407,C109)</f>
        <v>0</v>
      </c>
    </row>
    <row r="110" spans="1:4" x14ac:dyDescent="0.25">
      <c r="A110" t="s">
        <v>1577</v>
      </c>
      <c r="B110" s="5">
        <v>38791</v>
      </c>
      <c r="C110" t="str">
        <f t="shared" si="1"/>
        <v>UGSCV002.56_38791</v>
      </c>
      <c r="D110">
        <f>COUNTIF(data.SampSummary!$C$2:$C$1407,C110)</f>
        <v>0</v>
      </c>
    </row>
    <row r="111" spans="1:4" x14ac:dyDescent="0.25">
      <c r="A111" t="s">
        <v>1530</v>
      </c>
      <c r="B111" s="5">
        <v>38791</v>
      </c>
      <c r="C111" t="str">
        <f t="shared" si="1"/>
        <v>UGCAV014.44_38791</v>
      </c>
      <c r="D111">
        <f>COUNTIF(data.SampSummary!$C$2:$C$1407,C111)</f>
        <v>0</v>
      </c>
    </row>
    <row r="112" spans="1:4" x14ac:dyDescent="0.25">
      <c r="A112" t="s">
        <v>320</v>
      </c>
      <c r="B112" s="5">
        <v>38797</v>
      </c>
      <c r="C112" t="str">
        <f t="shared" si="1"/>
        <v>UGGLR452.43_38797</v>
      </c>
      <c r="D112">
        <f>COUNTIF(data.SampSummary!$C$2:$C$1407,C112)</f>
        <v>0</v>
      </c>
    </row>
    <row r="113" spans="1:4" x14ac:dyDescent="0.25">
      <c r="A113" t="s">
        <v>2829</v>
      </c>
      <c r="B113" s="5">
        <v>38798</v>
      </c>
      <c r="C113" t="str">
        <f t="shared" si="1"/>
        <v>UGA1H011.08_38798</v>
      </c>
      <c r="D113">
        <f>COUNTIF(data.SampSummary!$C$2:$C$1407,C113)</f>
        <v>0</v>
      </c>
    </row>
    <row r="114" spans="1:4" x14ac:dyDescent="0.25">
      <c r="A114" t="s">
        <v>39</v>
      </c>
      <c r="B114" s="5">
        <v>38798</v>
      </c>
      <c r="C114" t="str">
        <f t="shared" si="1"/>
        <v>UGFRY009.52_38798</v>
      </c>
      <c r="D114">
        <f>COUNTIF(data.SampSummary!$C$2:$C$1407,C114)</f>
        <v>0</v>
      </c>
    </row>
    <row r="115" spans="1:4" x14ac:dyDescent="0.25">
      <c r="A115" t="s">
        <v>161</v>
      </c>
      <c r="B115" s="5">
        <v>38811</v>
      </c>
      <c r="C115" t="str">
        <f t="shared" si="1"/>
        <v>UGBLR028.99_38811</v>
      </c>
      <c r="D115">
        <f>COUNTIF(data.SampSummary!$C$2:$C$1407,C115)</f>
        <v>0</v>
      </c>
    </row>
    <row r="116" spans="1:4" x14ac:dyDescent="0.25">
      <c r="A116" t="s">
        <v>2819</v>
      </c>
      <c r="B116" s="5">
        <v>38811</v>
      </c>
      <c r="C116" t="str">
        <f t="shared" si="1"/>
        <v>UGKPK000.12_38811</v>
      </c>
      <c r="D116">
        <f>COUNTIF(data.SampSummary!$C$2:$C$1407,C116)</f>
        <v>0</v>
      </c>
    </row>
    <row r="117" spans="1:4" x14ac:dyDescent="0.25">
      <c r="A117" t="s">
        <v>2108</v>
      </c>
      <c r="B117" s="5">
        <v>38812</v>
      </c>
      <c r="C117" t="str">
        <f t="shared" si="1"/>
        <v>UGSFR151.22_38812</v>
      </c>
      <c r="D117">
        <f>COUNTIF(data.SampSummary!$C$2:$C$1407,C117)</f>
        <v>0</v>
      </c>
    </row>
    <row r="118" spans="1:4" x14ac:dyDescent="0.25">
      <c r="A118" t="s">
        <v>38</v>
      </c>
      <c r="B118" s="5">
        <v>38812</v>
      </c>
      <c r="C118" t="str">
        <f t="shared" si="1"/>
        <v>UGBLR046.35_38812</v>
      </c>
      <c r="D118">
        <f>COUNTIF(data.SampSummary!$C$2:$C$1407,C118)</f>
        <v>0</v>
      </c>
    </row>
    <row r="119" spans="1:4" x14ac:dyDescent="0.25">
      <c r="A119" t="s">
        <v>35</v>
      </c>
      <c r="B119" s="5">
        <v>38812</v>
      </c>
      <c r="C119" t="str">
        <f t="shared" si="1"/>
        <v>UGCMB004.23_38812</v>
      </c>
      <c r="D119">
        <f>COUNTIF(data.SampSummary!$C$2:$C$1407,C119)</f>
        <v>0</v>
      </c>
    </row>
    <row r="120" spans="1:4" x14ac:dyDescent="0.25">
      <c r="A120" t="s">
        <v>339</v>
      </c>
      <c r="B120" s="5">
        <v>39890</v>
      </c>
      <c r="C120" t="str">
        <f t="shared" si="1"/>
        <v>UGEAG015.23_39890</v>
      </c>
      <c r="D120">
        <f>COUNTIF(data.SampSummary!$C$2:$C$1407,C120)</f>
        <v>0</v>
      </c>
    </row>
    <row r="121" spans="1:4" x14ac:dyDescent="0.25">
      <c r="A121" t="s">
        <v>140</v>
      </c>
      <c r="B121" s="5">
        <v>39889</v>
      </c>
      <c r="C121" t="str">
        <f t="shared" si="1"/>
        <v>UGEAG056.85_39889</v>
      </c>
      <c r="D121">
        <f>COUNTIF(data.SampSummary!$C$2:$C$1407,C121)</f>
        <v>0</v>
      </c>
    </row>
    <row r="122" spans="1:4" x14ac:dyDescent="0.25">
      <c r="A122" t="s">
        <v>377</v>
      </c>
      <c r="B122" s="5">
        <v>38817</v>
      </c>
      <c r="C122" t="str">
        <f t="shared" si="1"/>
        <v>SCCIE004.25_38817</v>
      </c>
      <c r="D122">
        <f>COUNTIF(data.SampSummary!$C$2:$C$1407,C122)</f>
        <v>0</v>
      </c>
    </row>
    <row r="123" spans="1:4" x14ac:dyDescent="0.25">
      <c r="A123" t="s">
        <v>2825</v>
      </c>
      <c r="B123" s="5">
        <v>38818</v>
      </c>
      <c r="C123" t="str">
        <f t="shared" si="1"/>
        <v>SCPRK010.26_38818</v>
      </c>
      <c r="D123">
        <f>COUNTIF(data.SampSummary!$C$2:$C$1407,C123)</f>
        <v>0</v>
      </c>
    </row>
    <row r="124" spans="1:4" x14ac:dyDescent="0.25">
      <c r="A124" t="s">
        <v>208</v>
      </c>
      <c r="B124" s="5">
        <v>38819</v>
      </c>
      <c r="C124" t="str">
        <f t="shared" si="1"/>
        <v>SCSON014.52_38819</v>
      </c>
      <c r="D124">
        <f>COUNTIF(data.SampSummary!$C$2:$C$1407,C124)</f>
        <v>1</v>
      </c>
    </row>
    <row r="125" spans="1:4" x14ac:dyDescent="0.25">
      <c r="A125" t="s">
        <v>18</v>
      </c>
      <c r="B125" s="5">
        <v>39884</v>
      </c>
      <c r="C125" t="str">
        <f t="shared" si="1"/>
        <v>SPGRA007.71_39884</v>
      </c>
      <c r="D125">
        <f>COUNTIF(data.SampSummary!$C$2:$C$1407,C125)</f>
        <v>0</v>
      </c>
    </row>
    <row r="126" spans="1:4" x14ac:dyDescent="0.25">
      <c r="A126" t="s">
        <v>2826</v>
      </c>
      <c r="B126" s="5">
        <v>38819</v>
      </c>
      <c r="C126" t="str">
        <f t="shared" si="1"/>
        <v>SCCIE022.42_38819</v>
      </c>
      <c r="D126">
        <f>COUNTIF(data.SampSummary!$C$2:$C$1407,C126)</f>
        <v>0</v>
      </c>
    </row>
    <row r="127" spans="1:4" x14ac:dyDescent="0.25">
      <c r="A127" t="s">
        <v>2818</v>
      </c>
      <c r="B127" s="5">
        <v>38824</v>
      </c>
      <c r="C127" t="str">
        <f t="shared" si="1"/>
        <v>UGGLR505.96_38824</v>
      </c>
      <c r="D127">
        <f>COUNTIF(data.SampSummary!$C$2:$C$1407,C127)</f>
        <v>0</v>
      </c>
    </row>
    <row r="128" spans="1:4" x14ac:dyDescent="0.25">
      <c r="A128" t="s">
        <v>328</v>
      </c>
      <c r="B128" s="5">
        <v>38825</v>
      </c>
      <c r="C128" t="str">
        <f t="shared" si="1"/>
        <v>UGSFR019.04_38825</v>
      </c>
      <c r="D128">
        <f>COUNTIF(data.SampSummary!$C$2:$C$1407,C128)</f>
        <v>1</v>
      </c>
    </row>
    <row r="129" spans="1:4" x14ac:dyDescent="0.25">
      <c r="A129" t="s">
        <v>326</v>
      </c>
      <c r="B129" s="5">
        <v>38825</v>
      </c>
      <c r="C129" t="str">
        <f t="shared" si="1"/>
        <v>UGSFR006.42_38825</v>
      </c>
      <c r="D129">
        <f>COUNTIF(data.SampSummary!$C$2:$C$1407,C129)</f>
        <v>1</v>
      </c>
    </row>
    <row r="130" spans="1:4" x14ac:dyDescent="0.25">
      <c r="A130" t="s">
        <v>2115</v>
      </c>
      <c r="B130" s="5">
        <v>38826</v>
      </c>
      <c r="C130" t="str">
        <f t="shared" si="1"/>
        <v>UGGLR471.49_38826</v>
      </c>
      <c r="D130">
        <f>COUNTIF(data.SampSummary!$C$2:$C$1407,C130)</f>
        <v>0</v>
      </c>
    </row>
    <row r="131" spans="1:4" x14ac:dyDescent="0.25">
      <c r="A131" t="s">
        <v>2829</v>
      </c>
      <c r="B131" s="5">
        <v>38833</v>
      </c>
      <c r="C131" t="str">
        <f t="shared" ref="C131:C194" si="2">A131&amp;"_"&amp;B131</f>
        <v>UGA1H011.08_38833</v>
      </c>
      <c r="D131">
        <f>COUNTIF(data.SampSummary!$C$2:$C$1407,C131)</f>
        <v>0</v>
      </c>
    </row>
    <row r="132" spans="1:4" x14ac:dyDescent="0.25">
      <c r="A132" t="s">
        <v>2830</v>
      </c>
      <c r="B132" s="5">
        <v>39874</v>
      </c>
      <c r="C132" t="str">
        <f t="shared" si="2"/>
        <v>LCLCR200.23_39874</v>
      </c>
      <c r="D132">
        <f>COUNTIF(data.SampSummary!$C$2:$C$1407,C132)</f>
        <v>0</v>
      </c>
    </row>
    <row r="133" spans="1:4" x14ac:dyDescent="0.25">
      <c r="A133" t="s">
        <v>362</v>
      </c>
      <c r="B133" s="5">
        <v>38840</v>
      </c>
      <c r="C133" t="str">
        <f t="shared" si="2"/>
        <v>SCSCR034.56_38840</v>
      </c>
      <c r="D133">
        <f>COUNTIF(data.SampSummary!$C$2:$C$1407,C133)</f>
        <v>1</v>
      </c>
    </row>
    <row r="134" spans="1:4" x14ac:dyDescent="0.25">
      <c r="A134" t="s">
        <v>1530</v>
      </c>
      <c r="B134" s="5">
        <v>38846</v>
      </c>
      <c r="C134" t="str">
        <f t="shared" si="2"/>
        <v>UGCAV014.44_38846</v>
      </c>
      <c r="D134">
        <f>COUNTIF(data.SampSummary!$C$2:$C$1407,C134)</f>
        <v>0</v>
      </c>
    </row>
    <row r="135" spans="1:4" x14ac:dyDescent="0.25">
      <c r="A135" t="s">
        <v>201</v>
      </c>
      <c r="B135" s="5">
        <v>39855</v>
      </c>
      <c r="C135" t="str">
        <f t="shared" si="2"/>
        <v>SPSPR006.75_39855</v>
      </c>
      <c r="D135">
        <f>COUNTIF(data.SampSummary!$C$2:$C$1407,C135)</f>
        <v>0</v>
      </c>
    </row>
    <row r="136" spans="1:4" x14ac:dyDescent="0.25">
      <c r="A136" t="s">
        <v>262</v>
      </c>
      <c r="B136" s="5">
        <v>38854</v>
      </c>
      <c r="C136" t="str">
        <f t="shared" si="2"/>
        <v>UGEAG040.33_38854</v>
      </c>
      <c r="D136">
        <f>COUNTIF(data.SampSummary!$C$2:$C$1407,C136)</f>
        <v>1</v>
      </c>
    </row>
    <row r="137" spans="1:4" x14ac:dyDescent="0.25">
      <c r="A137" t="s">
        <v>140</v>
      </c>
      <c r="B137" s="5">
        <v>38854</v>
      </c>
      <c r="C137" t="str">
        <f t="shared" si="2"/>
        <v>UGEAG056.85_38854</v>
      </c>
      <c r="D137">
        <f>COUNTIF(data.SampSummary!$C$2:$C$1407,C137)</f>
        <v>1</v>
      </c>
    </row>
    <row r="138" spans="1:4" x14ac:dyDescent="0.25">
      <c r="A138" t="s">
        <v>357</v>
      </c>
      <c r="B138" s="5">
        <v>38855</v>
      </c>
      <c r="C138" t="str">
        <f t="shared" si="2"/>
        <v>UGSFR034.57_38855</v>
      </c>
      <c r="D138">
        <f>COUNTIF(data.SampSummary!$C$2:$C$1407,C138)</f>
        <v>1</v>
      </c>
    </row>
    <row r="139" spans="1:4" x14ac:dyDescent="0.25">
      <c r="A139" t="s">
        <v>2822</v>
      </c>
      <c r="B139" s="5">
        <v>38881</v>
      </c>
      <c r="C139" t="str">
        <f t="shared" si="2"/>
        <v>SCPOT001.62_38881</v>
      </c>
      <c r="D139">
        <f>COUNTIF(data.SampSummary!$C$2:$C$1407,C139)</f>
        <v>0</v>
      </c>
    </row>
    <row r="140" spans="1:4" x14ac:dyDescent="0.25">
      <c r="A140" t="s">
        <v>2823</v>
      </c>
      <c r="B140" s="5">
        <v>38881</v>
      </c>
      <c r="C140" t="str">
        <f t="shared" si="2"/>
        <v>SCNGW004.87_38881</v>
      </c>
      <c r="D140">
        <f>COUNTIF(data.SampSummary!$C$2:$C$1407,C140)</f>
        <v>0</v>
      </c>
    </row>
    <row r="141" spans="1:4" x14ac:dyDescent="0.25">
      <c r="A141" t="s">
        <v>2773</v>
      </c>
      <c r="B141" s="5">
        <v>38881</v>
      </c>
      <c r="C141" t="str">
        <f t="shared" si="2"/>
        <v>SCSCR111.66_38881</v>
      </c>
      <c r="D141">
        <f>COUNTIF(data.SampSummary!$C$2:$C$1407,C141)</f>
        <v>1</v>
      </c>
    </row>
    <row r="142" spans="1:4" x14ac:dyDescent="0.25">
      <c r="A142" t="s">
        <v>50</v>
      </c>
      <c r="B142" s="5">
        <v>42457</v>
      </c>
      <c r="C142" t="str">
        <f t="shared" si="2"/>
        <v>SRDCN001.90_42457</v>
      </c>
      <c r="D142">
        <f>COUNTIF(data.SampSummary!$C$2:$C$1407,C142)</f>
        <v>0</v>
      </c>
    </row>
    <row r="143" spans="1:4" x14ac:dyDescent="0.25">
      <c r="A143" t="s">
        <v>35</v>
      </c>
      <c r="B143" s="5">
        <v>38888</v>
      </c>
      <c r="C143" t="str">
        <f t="shared" si="2"/>
        <v>UGCMB004.23_38888</v>
      </c>
      <c r="D143">
        <f>COUNTIF(data.SampSummary!$C$2:$C$1407,C143)</f>
        <v>1</v>
      </c>
    </row>
    <row r="144" spans="1:4" x14ac:dyDescent="0.25">
      <c r="A144" t="s">
        <v>161</v>
      </c>
      <c r="B144" s="5">
        <v>38889</v>
      </c>
      <c r="C144" t="str">
        <f t="shared" si="2"/>
        <v>UGBLR028.99_38889</v>
      </c>
      <c r="D144">
        <f>COUNTIF(data.SampSummary!$C$2:$C$1407,C144)</f>
        <v>1</v>
      </c>
    </row>
    <row r="145" spans="1:4" x14ac:dyDescent="0.25">
      <c r="A145" t="s">
        <v>212</v>
      </c>
      <c r="B145" s="5">
        <v>41165</v>
      </c>
      <c r="C145" t="str">
        <f t="shared" si="2"/>
        <v>BWBWR025.86_41165</v>
      </c>
      <c r="D145">
        <f>COUNTIF(data.SampSummary!$C$2:$C$1407,C145)</f>
        <v>0</v>
      </c>
    </row>
    <row r="146" spans="1:4" x14ac:dyDescent="0.25">
      <c r="A146" t="s">
        <v>2773</v>
      </c>
      <c r="B146" s="5">
        <v>39825</v>
      </c>
      <c r="C146" t="str">
        <f t="shared" si="2"/>
        <v>SCSCR111.66_39825</v>
      </c>
      <c r="D146">
        <f>COUNTIF(data.SampSummary!$C$2:$C$1407,C146)</f>
        <v>0</v>
      </c>
    </row>
    <row r="147" spans="1:4" x14ac:dyDescent="0.25">
      <c r="A147" t="s">
        <v>183</v>
      </c>
      <c r="B147" s="5">
        <v>39800</v>
      </c>
      <c r="C147" t="str">
        <f t="shared" si="2"/>
        <v>SPSPR126.35_39800</v>
      </c>
      <c r="D147">
        <f>COUNTIF(data.SampSummary!$C$2:$C$1407,C147)</f>
        <v>1</v>
      </c>
    </row>
    <row r="148" spans="1:4" x14ac:dyDescent="0.25">
      <c r="A148" t="s">
        <v>66</v>
      </c>
      <c r="B148" s="5">
        <v>41200</v>
      </c>
      <c r="C148" t="str">
        <f t="shared" si="2"/>
        <v>SRBLR102.24_41200</v>
      </c>
      <c r="D148">
        <f>COUNTIF(data.SampSummary!$C$2:$C$1407,C148)</f>
        <v>0</v>
      </c>
    </row>
    <row r="149" spans="1:4" x14ac:dyDescent="0.25">
      <c r="A149" t="s">
        <v>138</v>
      </c>
      <c r="B149" s="5">
        <v>39034</v>
      </c>
      <c r="C149" t="str">
        <f t="shared" si="2"/>
        <v>LCECL018.17_39034</v>
      </c>
      <c r="D149">
        <f>COUNTIF(data.SampSummary!$C$2:$C$1407,C149)</f>
        <v>0</v>
      </c>
    </row>
    <row r="150" spans="1:4" x14ac:dyDescent="0.25">
      <c r="A150" t="s">
        <v>2831</v>
      </c>
      <c r="B150" s="5">
        <v>39034</v>
      </c>
      <c r="C150" t="str">
        <f t="shared" si="2"/>
        <v>SCSON018.17_39034</v>
      </c>
      <c r="D150">
        <f>COUNTIF(data.SampSummary!$C$2:$C$1407,C150)</f>
        <v>0</v>
      </c>
    </row>
    <row r="151" spans="1:4" x14ac:dyDescent="0.25">
      <c r="A151" t="s">
        <v>104</v>
      </c>
      <c r="B151" s="5">
        <v>39034</v>
      </c>
      <c r="C151" t="str">
        <f t="shared" si="2"/>
        <v>LCWLR000.92_39034</v>
      </c>
      <c r="D151">
        <f>COUNTIF(data.SampSummary!$C$2:$C$1407,C151)</f>
        <v>0</v>
      </c>
    </row>
    <row r="152" spans="1:4" x14ac:dyDescent="0.25">
      <c r="A152" t="s">
        <v>112</v>
      </c>
      <c r="B152" s="5">
        <v>39035</v>
      </c>
      <c r="C152" t="str">
        <f t="shared" si="2"/>
        <v>LCSHL031.05_39035</v>
      </c>
      <c r="D152">
        <f>COUNTIF(data.SampSummary!$C$2:$C$1407,C152)</f>
        <v>0</v>
      </c>
    </row>
    <row r="153" spans="1:4" x14ac:dyDescent="0.25">
      <c r="A153" t="s">
        <v>163</v>
      </c>
      <c r="B153" s="5">
        <v>39035</v>
      </c>
      <c r="C153" t="str">
        <f t="shared" si="2"/>
        <v>LCECL021.13_39035</v>
      </c>
      <c r="D153">
        <f>COUNTIF(data.SampSummary!$C$2:$C$1407,C153)</f>
        <v>0</v>
      </c>
    </row>
    <row r="154" spans="1:4" x14ac:dyDescent="0.25">
      <c r="A154" t="s">
        <v>1519</v>
      </c>
      <c r="B154" s="5">
        <v>39035</v>
      </c>
      <c r="C154" t="str">
        <f t="shared" si="2"/>
        <v>LCBRB000.27_39035</v>
      </c>
      <c r="D154">
        <f>COUNTIF(data.SampSummary!$C$2:$C$1407,C154)</f>
        <v>0</v>
      </c>
    </row>
    <row r="155" spans="1:4" x14ac:dyDescent="0.25">
      <c r="A155" t="s">
        <v>339</v>
      </c>
      <c r="B155" s="5">
        <v>39771</v>
      </c>
      <c r="C155" t="str">
        <f t="shared" si="2"/>
        <v>UGEAG015.23_39771</v>
      </c>
      <c r="D155">
        <f>COUNTIF(data.SampSummary!$C$2:$C$1407,C155)</f>
        <v>0</v>
      </c>
    </row>
    <row r="156" spans="1:4" x14ac:dyDescent="0.25">
      <c r="A156" t="s">
        <v>333</v>
      </c>
      <c r="B156" s="5">
        <v>39771</v>
      </c>
      <c r="C156" t="str">
        <f t="shared" si="2"/>
        <v>UGEAG011.09_39771</v>
      </c>
      <c r="D156">
        <f>COUNTIF(data.SampSummary!$C$2:$C$1407,C156)</f>
        <v>0</v>
      </c>
    </row>
    <row r="157" spans="1:4" x14ac:dyDescent="0.25">
      <c r="A157" t="s">
        <v>73</v>
      </c>
      <c r="B157" s="5">
        <v>39036</v>
      </c>
      <c r="C157" t="str">
        <f t="shared" si="2"/>
        <v>LCELR000.13_39036</v>
      </c>
      <c r="D157">
        <f>COUNTIF(data.SampSummary!$C$2:$C$1407,C157)</f>
        <v>0</v>
      </c>
    </row>
    <row r="158" spans="1:4" x14ac:dyDescent="0.25">
      <c r="A158" t="s">
        <v>101</v>
      </c>
      <c r="B158" s="5">
        <v>39036</v>
      </c>
      <c r="C158" t="str">
        <f t="shared" si="2"/>
        <v>LCLCR360.06_39036</v>
      </c>
      <c r="D158">
        <f>COUNTIF(data.SampSummary!$C$2:$C$1407,C158)</f>
        <v>0</v>
      </c>
    </row>
    <row r="159" spans="1:4" x14ac:dyDescent="0.25">
      <c r="A159" t="s">
        <v>2832</v>
      </c>
      <c r="B159" s="5">
        <v>39036</v>
      </c>
      <c r="C159" t="str">
        <f t="shared" si="2"/>
        <v>LCCHC060.61_39036</v>
      </c>
      <c r="D159">
        <f>COUNTIF(data.SampSummary!$C$2:$C$1407,C159)</f>
        <v>0</v>
      </c>
    </row>
    <row r="160" spans="1:4" x14ac:dyDescent="0.25">
      <c r="A160" t="s">
        <v>174</v>
      </c>
      <c r="B160" s="5">
        <v>39036</v>
      </c>
      <c r="C160" t="str">
        <f t="shared" si="2"/>
        <v>LCCHC081.26_39036</v>
      </c>
      <c r="D160">
        <f>COUNTIF(data.SampSummary!$C$2:$C$1407,C160)</f>
        <v>0</v>
      </c>
    </row>
    <row r="161" spans="1:4" x14ac:dyDescent="0.25">
      <c r="A161" t="s">
        <v>123</v>
      </c>
      <c r="B161" s="5">
        <v>39036</v>
      </c>
      <c r="C161" t="str">
        <f t="shared" si="2"/>
        <v>LCSIL041.04_39036</v>
      </c>
      <c r="D161">
        <f>COUNTIF(data.SampSummary!$C$2:$C$1407,C161)</f>
        <v>0</v>
      </c>
    </row>
    <row r="162" spans="1:4" x14ac:dyDescent="0.25">
      <c r="A162" t="s">
        <v>128</v>
      </c>
      <c r="B162" s="5">
        <v>39036</v>
      </c>
      <c r="C162" t="str">
        <f t="shared" si="2"/>
        <v>LCLCR340.02_39036</v>
      </c>
      <c r="D162">
        <f>COUNTIF(data.SampSummary!$C$2:$C$1407,C162)</f>
        <v>0</v>
      </c>
    </row>
    <row r="163" spans="1:4" x14ac:dyDescent="0.25">
      <c r="A163" t="s">
        <v>2833</v>
      </c>
      <c r="B163" s="5">
        <v>39037</v>
      </c>
      <c r="C163" t="str">
        <f t="shared" si="2"/>
        <v>LCCLE000.69_39037</v>
      </c>
      <c r="D163">
        <f>COUNTIF(data.SampSummary!$C$2:$C$1407,C163)</f>
        <v>0</v>
      </c>
    </row>
    <row r="164" spans="1:4" x14ac:dyDescent="0.25">
      <c r="A164" t="s">
        <v>2834</v>
      </c>
      <c r="B164" s="5">
        <v>39048</v>
      </c>
      <c r="C164" t="str">
        <f t="shared" si="2"/>
        <v>LCSIL013.53_39048</v>
      </c>
      <c r="D164">
        <f>COUNTIF(data.SampSummary!$C$2:$C$1407,C164)</f>
        <v>0</v>
      </c>
    </row>
    <row r="165" spans="1:4" x14ac:dyDescent="0.25">
      <c r="A165" t="s">
        <v>119</v>
      </c>
      <c r="B165" s="5">
        <v>39048</v>
      </c>
      <c r="C165" t="str">
        <f t="shared" si="2"/>
        <v>LCRUD003.45_39048</v>
      </c>
      <c r="D165">
        <f>COUNTIF(data.SampSummary!$C$2:$C$1407,C165)</f>
        <v>0</v>
      </c>
    </row>
    <row r="166" spans="1:4" x14ac:dyDescent="0.25">
      <c r="A166" t="s">
        <v>230</v>
      </c>
      <c r="B166" s="5">
        <v>39758</v>
      </c>
      <c r="C166" t="str">
        <f t="shared" si="2"/>
        <v>VREVR023.59_39758</v>
      </c>
      <c r="D166">
        <f>COUNTIF(data.SampSummary!$C$2:$C$1407,C166)</f>
        <v>1</v>
      </c>
    </row>
    <row r="167" spans="1:4" x14ac:dyDescent="0.25">
      <c r="A167" t="s">
        <v>112</v>
      </c>
      <c r="B167" s="5">
        <v>39744</v>
      </c>
      <c r="C167" t="str">
        <f t="shared" si="2"/>
        <v>LCSHL031.05_39744</v>
      </c>
      <c r="D167">
        <f>COUNTIF(data.SampSummary!$C$2:$C$1407,C167)</f>
        <v>1</v>
      </c>
    </row>
    <row r="168" spans="1:4" x14ac:dyDescent="0.25">
      <c r="A168" t="s">
        <v>136</v>
      </c>
      <c r="B168" s="5">
        <v>39049</v>
      </c>
      <c r="C168" t="str">
        <f t="shared" si="2"/>
        <v>LCLCR342.03_39049</v>
      </c>
      <c r="D168">
        <f>COUNTIF(data.SampSummary!$C$2:$C$1407,C168)</f>
        <v>0</v>
      </c>
    </row>
    <row r="169" spans="1:4" x14ac:dyDescent="0.25">
      <c r="A169" t="s">
        <v>165</v>
      </c>
      <c r="B169" s="5">
        <v>39743</v>
      </c>
      <c r="C169" t="str">
        <f t="shared" si="2"/>
        <v>SRBON001.69_39743</v>
      </c>
      <c r="D169">
        <f>COUNTIF(data.SampSummary!$C$2:$C$1407,C169)</f>
        <v>1</v>
      </c>
    </row>
    <row r="170" spans="1:4" x14ac:dyDescent="0.25">
      <c r="A170" t="s">
        <v>2835</v>
      </c>
      <c r="B170" s="5">
        <v>39050</v>
      </c>
      <c r="C170" t="str">
        <f t="shared" si="2"/>
        <v>LCRDF015.45_39050</v>
      </c>
      <c r="D170">
        <f>COUNTIF(data.SampSummary!$C$2:$C$1407,C170)</f>
        <v>0</v>
      </c>
    </row>
    <row r="171" spans="1:4" x14ac:dyDescent="0.25">
      <c r="A171" t="s">
        <v>211</v>
      </c>
      <c r="B171" s="5">
        <v>39741</v>
      </c>
      <c r="C171" t="str">
        <f t="shared" si="2"/>
        <v>MGAFR110.01_39741</v>
      </c>
      <c r="D171">
        <f>COUNTIF(data.SampSummary!$C$2:$C$1407,C171)</f>
        <v>1</v>
      </c>
    </row>
    <row r="172" spans="1:4" x14ac:dyDescent="0.25">
      <c r="A172" t="s">
        <v>2836</v>
      </c>
      <c r="B172" s="5">
        <v>39126</v>
      </c>
      <c r="C172" t="str">
        <f t="shared" si="2"/>
        <v>CLGLR010.53_39126</v>
      </c>
      <c r="D172">
        <f>COUNTIF(data.SampSummary!$C$2:$C$1407,C172)</f>
        <v>0</v>
      </c>
    </row>
    <row r="173" spans="1:4" x14ac:dyDescent="0.25">
      <c r="A173" t="s">
        <v>102</v>
      </c>
      <c r="B173" s="5">
        <v>39715</v>
      </c>
      <c r="C173" t="str">
        <f t="shared" si="2"/>
        <v>UGKPK011.18_39715</v>
      </c>
      <c r="D173">
        <f>COUNTIF(data.SampSummary!$C$2:$C$1407,C173)</f>
        <v>0</v>
      </c>
    </row>
    <row r="174" spans="1:4" x14ac:dyDescent="0.25">
      <c r="A174" t="s">
        <v>2837</v>
      </c>
      <c r="B174" s="5">
        <v>39146</v>
      </c>
      <c r="C174" t="str">
        <f t="shared" si="2"/>
        <v>LCNUT012.99_39146</v>
      </c>
      <c r="D174">
        <f>COUNTIF(data.SampSummary!$C$2:$C$1407,C174)</f>
        <v>0</v>
      </c>
    </row>
    <row r="175" spans="1:4" x14ac:dyDescent="0.25">
      <c r="A175" t="s">
        <v>112</v>
      </c>
      <c r="B175" s="5">
        <v>39146</v>
      </c>
      <c r="C175" t="str">
        <f t="shared" si="2"/>
        <v>LCSHL031.05_39146</v>
      </c>
      <c r="D175">
        <f>COUNTIF(data.SampSummary!$C$2:$C$1407,C175)</f>
        <v>0</v>
      </c>
    </row>
    <row r="176" spans="1:4" x14ac:dyDescent="0.25">
      <c r="A176" t="s">
        <v>2834</v>
      </c>
      <c r="B176" s="5">
        <v>39146</v>
      </c>
      <c r="C176" t="str">
        <f t="shared" si="2"/>
        <v>LCSIL013.53_39146</v>
      </c>
      <c r="D176">
        <f>COUNTIF(data.SampSummary!$C$2:$C$1407,C176)</f>
        <v>0</v>
      </c>
    </row>
    <row r="177" spans="1:4" x14ac:dyDescent="0.25">
      <c r="A177" t="s">
        <v>333</v>
      </c>
      <c r="B177" s="5">
        <v>39687</v>
      </c>
      <c r="C177" t="str">
        <f t="shared" si="2"/>
        <v>UGEAG011.09_39687</v>
      </c>
      <c r="D177">
        <f>COUNTIF(data.SampSummary!$C$2:$C$1407,C177)</f>
        <v>0</v>
      </c>
    </row>
    <row r="178" spans="1:4" x14ac:dyDescent="0.25">
      <c r="A178" t="s">
        <v>119</v>
      </c>
      <c r="B178" s="5">
        <v>39147</v>
      </c>
      <c r="C178" t="str">
        <f t="shared" si="2"/>
        <v>LCRUD003.45_39147</v>
      </c>
      <c r="D178">
        <f>COUNTIF(data.SampSummary!$C$2:$C$1407,C178)</f>
        <v>0</v>
      </c>
    </row>
    <row r="179" spans="1:4" x14ac:dyDescent="0.25">
      <c r="A179" t="s">
        <v>123</v>
      </c>
      <c r="B179" s="5">
        <v>39147</v>
      </c>
      <c r="C179" t="str">
        <f t="shared" si="2"/>
        <v>LCSIL041.04_39147</v>
      </c>
      <c r="D179">
        <f>COUNTIF(data.SampSummary!$C$2:$C$1407,C179)</f>
        <v>0</v>
      </c>
    </row>
    <row r="180" spans="1:4" x14ac:dyDescent="0.25">
      <c r="A180" t="s">
        <v>2838</v>
      </c>
      <c r="B180" s="5">
        <v>39147</v>
      </c>
      <c r="C180" t="str">
        <f t="shared" si="2"/>
        <v>LCSIL024.83_39147</v>
      </c>
      <c r="D180">
        <f>COUNTIF(data.SampSummary!$C$2:$C$1407,C180)</f>
        <v>0</v>
      </c>
    </row>
    <row r="181" spans="1:4" x14ac:dyDescent="0.25">
      <c r="A181" t="s">
        <v>136</v>
      </c>
      <c r="B181" s="5">
        <v>39147</v>
      </c>
      <c r="C181" t="str">
        <f t="shared" si="2"/>
        <v>LCLCR342.03_39147</v>
      </c>
      <c r="D181">
        <f>COUNTIF(data.SampSummary!$C$2:$C$1407,C181)</f>
        <v>0</v>
      </c>
    </row>
    <row r="182" spans="1:4" x14ac:dyDescent="0.25">
      <c r="A182" t="s">
        <v>120</v>
      </c>
      <c r="B182" s="5">
        <v>39148</v>
      </c>
      <c r="C182" t="str">
        <f t="shared" si="2"/>
        <v>LCLCR311.31_39148</v>
      </c>
      <c r="D182">
        <f>COUNTIF(data.SampSummary!$C$2:$C$1407,C182)</f>
        <v>0</v>
      </c>
    </row>
    <row r="183" spans="1:4" x14ac:dyDescent="0.25">
      <c r="A183" t="s">
        <v>2835</v>
      </c>
      <c r="B183" s="5">
        <v>39148</v>
      </c>
      <c r="C183" t="str">
        <f t="shared" si="2"/>
        <v>LCRDF015.45_39148</v>
      </c>
      <c r="D183">
        <f>COUNTIF(data.SampSummary!$C$2:$C$1407,C183)</f>
        <v>0</v>
      </c>
    </row>
    <row r="184" spans="1:4" x14ac:dyDescent="0.25">
      <c r="A184" t="s">
        <v>2839</v>
      </c>
      <c r="B184" s="5">
        <v>41368</v>
      </c>
      <c r="C184" t="str">
        <f t="shared" si="2"/>
        <v>CLGLR011.17_41368</v>
      </c>
      <c r="D184">
        <f>COUNTIF(data.SampSummary!$C$2:$C$1407,C184)</f>
        <v>0</v>
      </c>
    </row>
    <row r="185" spans="1:4" x14ac:dyDescent="0.25">
      <c r="A185" t="s">
        <v>104</v>
      </c>
      <c r="B185" s="5">
        <v>39167</v>
      </c>
      <c r="C185" t="str">
        <f t="shared" si="2"/>
        <v>LCWLR000.92_39167</v>
      </c>
      <c r="D185">
        <f>COUNTIF(data.SampSummary!$C$2:$C$1407,C185)</f>
        <v>0</v>
      </c>
    </row>
    <row r="186" spans="1:4" x14ac:dyDescent="0.25">
      <c r="A186" t="s">
        <v>211</v>
      </c>
      <c r="B186" s="5">
        <v>39673</v>
      </c>
      <c r="C186" t="str">
        <f t="shared" si="2"/>
        <v>MGAFR110.01_39673</v>
      </c>
      <c r="D186">
        <f>COUNTIF(data.SampSummary!$C$2:$C$1407,C186)</f>
        <v>0</v>
      </c>
    </row>
    <row r="187" spans="1:4" x14ac:dyDescent="0.25">
      <c r="A187" t="s">
        <v>101</v>
      </c>
      <c r="B187" s="5">
        <v>39168</v>
      </c>
      <c r="C187" t="str">
        <f t="shared" si="2"/>
        <v>LCLCR360.06_39168</v>
      </c>
      <c r="D187">
        <f>COUNTIF(data.SampSummary!$C$2:$C$1407,C187)</f>
        <v>0</v>
      </c>
    </row>
    <row r="188" spans="1:4" x14ac:dyDescent="0.25">
      <c r="A188" t="s">
        <v>73</v>
      </c>
      <c r="B188" s="5">
        <v>39168</v>
      </c>
      <c r="C188" t="str">
        <f t="shared" si="2"/>
        <v>LCELR000.13_39168</v>
      </c>
      <c r="D188">
        <f>COUNTIF(data.SampSummary!$C$2:$C$1407,C188)</f>
        <v>0</v>
      </c>
    </row>
    <row r="189" spans="1:4" x14ac:dyDescent="0.25">
      <c r="A189" t="s">
        <v>128</v>
      </c>
      <c r="B189" s="5">
        <v>39169</v>
      </c>
      <c r="C189" t="str">
        <f t="shared" si="2"/>
        <v>LCLCR340.02_39169</v>
      </c>
      <c r="D189">
        <f>COUNTIF(data.SampSummary!$C$2:$C$1407,C189)</f>
        <v>0</v>
      </c>
    </row>
    <row r="190" spans="1:4" x14ac:dyDescent="0.25">
      <c r="A190" t="s">
        <v>96</v>
      </c>
      <c r="B190" s="5">
        <v>39177</v>
      </c>
      <c r="C190" t="str">
        <f t="shared" si="2"/>
        <v>LCBEN002.57_39177</v>
      </c>
      <c r="D190">
        <f>COUNTIF(data.SampSummary!$C$2:$C$1407,C190)</f>
        <v>0</v>
      </c>
    </row>
    <row r="191" spans="1:4" x14ac:dyDescent="0.25">
      <c r="A191" t="s">
        <v>120</v>
      </c>
      <c r="B191" s="5">
        <v>39181</v>
      </c>
      <c r="C191" t="str">
        <f t="shared" si="2"/>
        <v>LCLCR311.31_39181</v>
      </c>
      <c r="D191">
        <f>COUNTIF(data.SampSummary!$C$2:$C$1407,C191)</f>
        <v>1</v>
      </c>
    </row>
    <row r="192" spans="1:4" x14ac:dyDescent="0.25">
      <c r="A192" t="s">
        <v>25</v>
      </c>
      <c r="B192" s="5">
        <v>39182</v>
      </c>
      <c r="C192" t="str">
        <f t="shared" si="2"/>
        <v>LCMLK001.18_39182</v>
      </c>
      <c r="D192">
        <f>COUNTIF(data.SampSummary!$C$2:$C$1407,C192)</f>
        <v>0</v>
      </c>
    </row>
    <row r="193" spans="1:4" x14ac:dyDescent="0.25">
      <c r="A193" t="s">
        <v>137</v>
      </c>
      <c r="B193" s="5">
        <v>39182</v>
      </c>
      <c r="C193" t="str">
        <f t="shared" si="2"/>
        <v>LCCOY000.71_39182</v>
      </c>
      <c r="D193">
        <f>COUNTIF(data.SampSummary!$C$2:$C$1407,C193)</f>
        <v>1</v>
      </c>
    </row>
    <row r="194" spans="1:4" x14ac:dyDescent="0.25">
      <c r="A194" t="s">
        <v>136</v>
      </c>
      <c r="B194" s="5">
        <v>39183</v>
      </c>
      <c r="C194" t="str">
        <f t="shared" si="2"/>
        <v>LCLCR342.03_39183</v>
      </c>
      <c r="D194">
        <f>COUNTIF(data.SampSummary!$C$2:$C$1407,C194)</f>
        <v>1</v>
      </c>
    </row>
    <row r="195" spans="1:4" x14ac:dyDescent="0.25">
      <c r="A195" t="s">
        <v>125</v>
      </c>
      <c r="B195" s="5">
        <v>39188</v>
      </c>
      <c r="C195" t="str">
        <f t="shared" ref="C195:C258" si="3">A195&amp;"_"&amp;B195</f>
        <v>LCSHL026.50_39188</v>
      </c>
      <c r="D195">
        <f>COUNTIF(data.SampSummary!$C$2:$C$1407,C195)</f>
        <v>1</v>
      </c>
    </row>
    <row r="196" spans="1:4" x14ac:dyDescent="0.25">
      <c r="A196" t="s">
        <v>112</v>
      </c>
      <c r="B196" s="5">
        <v>39189</v>
      </c>
      <c r="C196" t="str">
        <f t="shared" si="3"/>
        <v>LCSHL031.05_39189</v>
      </c>
      <c r="D196">
        <f>COUNTIF(data.SampSummary!$C$2:$C$1407,C196)</f>
        <v>1</v>
      </c>
    </row>
    <row r="197" spans="1:4" x14ac:dyDescent="0.25">
      <c r="A197" t="s">
        <v>128</v>
      </c>
      <c r="B197" s="5">
        <v>39190</v>
      </c>
      <c r="C197" t="str">
        <f t="shared" si="3"/>
        <v>LCLCR340.02_39190</v>
      </c>
      <c r="D197">
        <f>COUNTIF(data.SampSummary!$C$2:$C$1407,C197)</f>
        <v>1</v>
      </c>
    </row>
    <row r="198" spans="1:4" x14ac:dyDescent="0.25">
      <c r="A198" t="s">
        <v>107</v>
      </c>
      <c r="B198" s="5">
        <v>39191</v>
      </c>
      <c r="C198" t="str">
        <f t="shared" si="3"/>
        <v>LCELR007.19_39191</v>
      </c>
      <c r="D198">
        <f>COUNTIF(data.SampSummary!$C$2:$C$1407,C198)</f>
        <v>0</v>
      </c>
    </row>
    <row r="199" spans="1:4" x14ac:dyDescent="0.25">
      <c r="A199" t="s">
        <v>2838</v>
      </c>
      <c r="B199" s="5">
        <v>39195</v>
      </c>
      <c r="C199" t="str">
        <f t="shared" si="3"/>
        <v>LCSIL024.83_39195</v>
      </c>
      <c r="D199">
        <f>COUNTIF(data.SampSummary!$C$2:$C$1407,C199)</f>
        <v>0</v>
      </c>
    </row>
    <row r="200" spans="1:4" x14ac:dyDescent="0.25">
      <c r="A200" t="s">
        <v>66</v>
      </c>
      <c r="B200" s="5">
        <v>39639</v>
      </c>
      <c r="C200" t="str">
        <f t="shared" si="3"/>
        <v>SRBLR102.24_39639</v>
      </c>
      <c r="D200">
        <f>COUNTIF(data.SampSummary!$C$2:$C$1407,C200)</f>
        <v>1</v>
      </c>
    </row>
    <row r="201" spans="1:4" x14ac:dyDescent="0.25">
      <c r="A201" t="s">
        <v>123</v>
      </c>
      <c r="B201" s="5">
        <v>39196</v>
      </c>
      <c r="C201" t="str">
        <f t="shared" si="3"/>
        <v>LCSIL041.04_39196</v>
      </c>
      <c r="D201">
        <f>COUNTIF(data.SampSummary!$C$2:$C$1407,C201)</f>
        <v>1</v>
      </c>
    </row>
    <row r="202" spans="1:4" x14ac:dyDescent="0.25">
      <c r="A202" t="s">
        <v>111</v>
      </c>
      <c r="B202" s="5">
        <v>39196</v>
      </c>
      <c r="C202" t="str">
        <f t="shared" si="3"/>
        <v>LCLCR211.73_39196</v>
      </c>
      <c r="D202">
        <f>COUNTIF(data.SampSummary!$C$2:$C$1407,C202)</f>
        <v>1</v>
      </c>
    </row>
    <row r="203" spans="1:4" x14ac:dyDescent="0.25">
      <c r="A203" t="s">
        <v>2832</v>
      </c>
      <c r="B203" s="5">
        <v>39197</v>
      </c>
      <c r="C203" t="str">
        <f t="shared" si="3"/>
        <v>LCCHC060.61_39197</v>
      </c>
      <c r="D203">
        <f>COUNTIF(data.SampSummary!$C$2:$C$1407,C203)</f>
        <v>0</v>
      </c>
    </row>
    <row r="204" spans="1:4" x14ac:dyDescent="0.25">
      <c r="A204" t="s">
        <v>174</v>
      </c>
      <c r="B204" s="5">
        <v>39197</v>
      </c>
      <c r="C204" t="str">
        <f t="shared" si="3"/>
        <v>LCCHC081.26_39197</v>
      </c>
      <c r="D204">
        <f>COUNTIF(data.SampSummary!$C$2:$C$1407,C204)</f>
        <v>0</v>
      </c>
    </row>
    <row r="205" spans="1:4" x14ac:dyDescent="0.25">
      <c r="A205" t="s">
        <v>163</v>
      </c>
      <c r="B205" s="5">
        <v>39202</v>
      </c>
      <c r="C205" t="str">
        <f t="shared" si="3"/>
        <v>LCECL021.13_39202</v>
      </c>
      <c r="D205">
        <f>COUNTIF(data.SampSummary!$C$2:$C$1407,C205)</f>
        <v>0</v>
      </c>
    </row>
    <row r="206" spans="1:4" x14ac:dyDescent="0.25">
      <c r="A206" t="s">
        <v>2840</v>
      </c>
      <c r="B206" s="5">
        <v>39425</v>
      </c>
      <c r="C206" t="str">
        <f t="shared" si="3"/>
        <v>UGEAG011.51_39425</v>
      </c>
      <c r="D206">
        <f>COUNTIF(data.SampSummary!$C$2:$C$1407,C206)</f>
        <v>0</v>
      </c>
    </row>
    <row r="207" spans="1:4" x14ac:dyDescent="0.25">
      <c r="A207" t="s">
        <v>1519</v>
      </c>
      <c r="B207" s="5">
        <v>39203</v>
      </c>
      <c r="C207" t="str">
        <f t="shared" si="3"/>
        <v>LCBRB000.27_39203</v>
      </c>
      <c r="D207">
        <f>COUNTIF(data.SampSummary!$C$2:$C$1407,C207)</f>
        <v>0</v>
      </c>
    </row>
    <row r="208" spans="1:4" x14ac:dyDescent="0.25">
      <c r="A208" t="s">
        <v>2833</v>
      </c>
      <c r="B208" s="5">
        <v>39203</v>
      </c>
      <c r="C208" t="str">
        <f t="shared" si="3"/>
        <v>LCCLE000.69_39203</v>
      </c>
      <c r="D208">
        <f>COUNTIF(data.SampSummary!$C$2:$C$1407,C208)</f>
        <v>0</v>
      </c>
    </row>
    <row r="209" spans="1:4" x14ac:dyDescent="0.25">
      <c r="A209" t="s">
        <v>111</v>
      </c>
      <c r="B209" s="5">
        <v>39217</v>
      </c>
      <c r="C209" t="str">
        <f t="shared" si="3"/>
        <v>LCLCR211.73_39217</v>
      </c>
      <c r="D209">
        <f>COUNTIF(data.SampSummary!$C$2:$C$1407,C209)</f>
        <v>1</v>
      </c>
    </row>
    <row r="210" spans="1:4" x14ac:dyDescent="0.25">
      <c r="A210" t="s">
        <v>163</v>
      </c>
      <c r="B210" s="5">
        <v>39218</v>
      </c>
      <c r="C210" t="str">
        <f t="shared" si="3"/>
        <v>LCECL021.13_39218</v>
      </c>
      <c r="D210">
        <f>COUNTIF(data.SampSummary!$C$2:$C$1407,C210)</f>
        <v>0</v>
      </c>
    </row>
    <row r="211" spans="1:4" x14ac:dyDescent="0.25">
      <c r="A211" t="s">
        <v>1519</v>
      </c>
      <c r="B211" s="5">
        <v>39218</v>
      </c>
      <c r="C211" t="str">
        <f t="shared" si="3"/>
        <v>LCBRB000.27_39218</v>
      </c>
      <c r="D211">
        <f>COUNTIF(data.SampSummary!$C$2:$C$1407,C211)</f>
        <v>1</v>
      </c>
    </row>
    <row r="212" spans="1:4" x14ac:dyDescent="0.25">
      <c r="A212" t="s">
        <v>2812</v>
      </c>
      <c r="B212" s="5">
        <v>39219</v>
      </c>
      <c r="C212" t="str">
        <f t="shared" si="3"/>
        <v>LCLCR226.31_39219</v>
      </c>
      <c r="D212">
        <f>COUNTIF(data.SampSummary!$C$2:$C$1407,C212)</f>
        <v>0</v>
      </c>
    </row>
    <row r="213" spans="1:4" x14ac:dyDescent="0.25">
      <c r="A213" t="s">
        <v>2837</v>
      </c>
      <c r="B213" s="5">
        <v>39223</v>
      </c>
      <c r="C213" t="str">
        <f t="shared" si="3"/>
        <v>LCNUT012.99_39223</v>
      </c>
      <c r="D213">
        <f>COUNTIF(data.SampSummary!$C$2:$C$1407,C213)</f>
        <v>0</v>
      </c>
    </row>
    <row r="214" spans="1:4" x14ac:dyDescent="0.25">
      <c r="A214" t="s">
        <v>118</v>
      </c>
      <c r="B214" s="5">
        <v>40330</v>
      </c>
      <c r="C214" t="str">
        <f t="shared" si="3"/>
        <v>LCSIL027.05_40330</v>
      </c>
      <c r="D214">
        <f>COUNTIF(data.SampSummary!$C$2:$C$1407,C214)</f>
        <v>0</v>
      </c>
    </row>
    <row r="215" spans="1:4" x14ac:dyDescent="0.25">
      <c r="A215" t="s">
        <v>25</v>
      </c>
      <c r="B215" s="5">
        <v>39224</v>
      </c>
      <c r="C215" t="str">
        <f t="shared" si="3"/>
        <v>LCMLK001.18_39224</v>
      </c>
      <c r="D215">
        <f>COUNTIF(data.SampSummary!$C$2:$C$1407,C215)</f>
        <v>1</v>
      </c>
    </row>
    <row r="216" spans="1:4" x14ac:dyDescent="0.25">
      <c r="A216" t="s">
        <v>180</v>
      </c>
      <c r="B216" s="5">
        <v>39225</v>
      </c>
      <c r="C216" t="str">
        <f t="shared" si="3"/>
        <v>LCMRS043.17_39225</v>
      </c>
      <c r="D216">
        <f>COUNTIF(data.SampSummary!$C$2:$C$1407,C216)</f>
        <v>1</v>
      </c>
    </row>
    <row r="217" spans="1:4" x14ac:dyDescent="0.25">
      <c r="A217" t="s">
        <v>119</v>
      </c>
      <c r="B217" s="5">
        <v>39225</v>
      </c>
      <c r="C217" t="str">
        <f t="shared" si="3"/>
        <v>LCRUD003.45_39225</v>
      </c>
      <c r="D217">
        <f>COUNTIF(data.SampSummary!$C$2:$C$1407,C217)</f>
        <v>1</v>
      </c>
    </row>
    <row r="218" spans="1:4" x14ac:dyDescent="0.25">
      <c r="A218" t="s">
        <v>61</v>
      </c>
      <c r="B218" s="5">
        <v>39237</v>
      </c>
      <c r="C218" t="str">
        <f t="shared" si="3"/>
        <v>LCHAL004.59_39237</v>
      </c>
      <c r="D218">
        <f>COUNTIF(data.SampSummary!$C$2:$C$1407,C218)</f>
        <v>1</v>
      </c>
    </row>
    <row r="219" spans="1:4" x14ac:dyDescent="0.25">
      <c r="A219" t="s">
        <v>101</v>
      </c>
      <c r="B219" s="5">
        <v>39238</v>
      </c>
      <c r="C219" t="str">
        <f t="shared" si="3"/>
        <v>LCLCR360.06_39238</v>
      </c>
      <c r="D219">
        <f>COUNTIF(data.SampSummary!$C$2:$C$1407,C219)</f>
        <v>1</v>
      </c>
    </row>
    <row r="220" spans="1:4" x14ac:dyDescent="0.25">
      <c r="A220" t="s">
        <v>73</v>
      </c>
      <c r="B220" s="5">
        <v>39245</v>
      </c>
      <c r="C220" t="str">
        <f t="shared" si="3"/>
        <v>LCELR000.13_39245</v>
      </c>
      <c r="D220">
        <f>COUNTIF(data.SampSummary!$C$2:$C$1407,C220)</f>
        <v>1</v>
      </c>
    </row>
    <row r="221" spans="1:4" x14ac:dyDescent="0.25">
      <c r="A221" t="s">
        <v>104</v>
      </c>
      <c r="B221" s="5">
        <v>39245</v>
      </c>
      <c r="C221" t="str">
        <f t="shared" si="3"/>
        <v>LCWLR000.92_39245</v>
      </c>
      <c r="D221">
        <f>COUNTIF(data.SampSummary!$C$2:$C$1407,C221)</f>
        <v>1</v>
      </c>
    </row>
    <row r="222" spans="1:4" x14ac:dyDescent="0.25">
      <c r="A222" t="s">
        <v>107</v>
      </c>
      <c r="B222" s="5">
        <v>39246</v>
      </c>
      <c r="C222" t="str">
        <f t="shared" si="3"/>
        <v>LCELR007.19_39246</v>
      </c>
      <c r="D222">
        <f>COUNTIF(data.SampSummary!$C$2:$C$1407,C222)</f>
        <v>1</v>
      </c>
    </row>
    <row r="223" spans="1:4" x14ac:dyDescent="0.25">
      <c r="A223" t="s">
        <v>87</v>
      </c>
      <c r="B223" s="5">
        <v>39246</v>
      </c>
      <c r="C223" t="str">
        <f t="shared" si="3"/>
        <v>LCLVL001.32_39246</v>
      </c>
      <c r="D223">
        <f>COUNTIF(data.SampSummary!$C$2:$C$1407,C223)</f>
        <v>1</v>
      </c>
    </row>
    <row r="224" spans="1:4" x14ac:dyDescent="0.25">
      <c r="A224" t="s">
        <v>62</v>
      </c>
      <c r="B224" s="5">
        <v>39251</v>
      </c>
      <c r="C224" t="str">
        <f t="shared" si="3"/>
        <v>LCBRB006.74_39251</v>
      </c>
      <c r="D224">
        <f>COUNTIF(data.SampSummary!$C$2:$C$1407,C224)</f>
        <v>1</v>
      </c>
    </row>
    <row r="225" spans="1:4" x14ac:dyDescent="0.25">
      <c r="A225" t="s">
        <v>174</v>
      </c>
      <c r="B225" s="5">
        <v>39252</v>
      </c>
      <c r="C225" t="str">
        <f t="shared" si="3"/>
        <v>LCCHC081.26_39252</v>
      </c>
      <c r="D225">
        <f>COUNTIF(data.SampSummary!$C$2:$C$1407,C225)</f>
        <v>1</v>
      </c>
    </row>
    <row r="226" spans="1:4" x14ac:dyDescent="0.25">
      <c r="A226" t="s">
        <v>138</v>
      </c>
      <c r="B226" s="5">
        <v>39253</v>
      </c>
      <c r="C226" t="str">
        <f t="shared" si="3"/>
        <v>LCECL018.17_39253</v>
      </c>
      <c r="D226">
        <f>COUNTIF(data.SampSummary!$C$2:$C$1407,C226)</f>
        <v>0</v>
      </c>
    </row>
    <row r="227" spans="1:4" x14ac:dyDescent="0.25">
      <c r="A227" t="s">
        <v>103</v>
      </c>
      <c r="B227" s="5">
        <v>39254</v>
      </c>
      <c r="C227" t="str">
        <f t="shared" si="3"/>
        <v>LCSLR003.72_39254</v>
      </c>
      <c r="D227">
        <f>COUNTIF(data.SampSummary!$C$2:$C$1407,C227)</f>
        <v>1</v>
      </c>
    </row>
    <row r="228" spans="1:4" x14ac:dyDescent="0.25">
      <c r="A228" t="s">
        <v>33</v>
      </c>
      <c r="B228" s="5">
        <v>39259</v>
      </c>
      <c r="C228" t="str">
        <f t="shared" si="3"/>
        <v>LCMIN018.05_39259</v>
      </c>
      <c r="D228">
        <f>COUNTIF(data.SampSummary!$C$2:$C$1407,C228)</f>
        <v>1</v>
      </c>
    </row>
    <row r="229" spans="1:4" x14ac:dyDescent="0.25">
      <c r="A229" t="s">
        <v>167</v>
      </c>
      <c r="B229" s="5">
        <v>39260</v>
      </c>
      <c r="C229" t="str">
        <f t="shared" si="3"/>
        <v>LCSHL029.75_39260</v>
      </c>
      <c r="D229">
        <f>COUNTIF(data.SampSummary!$C$2:$C$1407,C229)</f>
        <v>1</v>
      </c>
    </row>
    <row r="230" spans="1:4" x14ac:dyDescent="0.25">
      <c r="A230" t="s">
        <v>320</v>
      </c>
      <c r="B230" s="5">
        <v>39260</v>
      </c>
      <c r="C230" t="str">
        <f t="shared" si="3"/>
        <v>UGGLR452.43_39260</v>
      </c>
      <c r="D230">
        <f>COUNTIF(data.SampSummary!$C$2:$C$1407,C230)</f>
        <v>0</v>
      </c>
    </row>
    <row r="231" spans="1:4" x14ac:dyDescent="0.25">
      <c r="A231" t="s">
        <v>2841</v>
      </c>
      <c r="B231" s="5">
        <v>40267</v>
      </c>
      <c r="C231" t="str">
        <f t="shared" si="3"/>
        <v>LCLCR206.75_40267</v>
      </c>
      <c r="D231">
        <f>COUNTIF(data.SampSummary!$C$2:$C$1407,C231)</f>
        <v>0</v>
      </c>
    </row>
    <row r="232" spans="1:4" x14ac:dyDescent="0.25">
      <c r="A232" t="s">
        <v>124</v>
      </c>
      <c r="B232" s="5">
        <v>39261</v>
      </c>
      <c r="C232" t="str">
        <f t="shared" si="3"/>
        <v>LCSIL043.84_39261</v>
      </c>
      <c r="D232">
        <f>COUNTIF(data.SampSummary!$C$2:$C$1407,C232)</f>
        <v>1</v>
      </c>
    </row>
    <row r="233" spans="1:4" x14ac:dyDescent="0.25">
      <c r="A233" t="s">
        <v>2842</v>
      </c>
      <c r="B233" s="5">
        <v>39261</v>
      </c>
      <c r="C233" t="str">
        <f t="shared" si="3"/>
        <v>UGGLR485.91_39261</v>
      </c>
      <c r="D233">
        <f>COUNTIF(data.SampSummary!$C$2:$C$1407,C233)</f>
        <v>0</v>
      </c>
    </row>
    <row r="234" spans="1:4" x14ac:dyDescent="0.25">
      <c r="A234" t="s">
        <v>2843</v>
      </c>
      <c r="B234" s="5">
        <v>39261</v>
      </c>
      <c r="C234" t="str">
        <f t="shared" si="3"/>
        <v>UGGLR515.55_39261</v>
      </c>
      <c r="D234">
        <f>COUNTIF(data.SampSummary!$C$2:$C$1407,C234)</f>
        <v>0</v>
      </c>
    </row>
    <row r="235" spans="1:4" x14ac:dyDescent="0.25">
      <c r="A235" t="s">
        <v>2844</v>
      </c>
      <c r="B235" s="5">
        <v>39261</v>
      </c>
      <c r="C235" t="str">
        <f t="shared" si="3"/>
        <v>UGGLR501.45_39261</v>
      </c>
      <c r="D235">
        <f>COUNTIF(data.SampSummary!$C$2:$C$1407,C235)</f>
        <v>0</v>
      </c>
    </row>
    <row r="236" spans="1:4" x14ac:dyDescent="0.25">
      <c r="A236" t="s">
        <v>324</v>
      </c>
      <c r="B236" s="5">
        <v>39262</v>
      </c>
      <c r="C236" t="str">
        <f t="shared" si="3"/>
        <v>UGGLR451.46_39262</v>
      </c>
      <c r="D236">
        <f>COUNTIF(data.SampSummary!$C$2:$C$1407,C236)</f>
        <v>0</v>
      </c>
    </row>
    <row r="237" spans="1:4" x14ac:dyDescent="0.25">
      <c r="A237" t="s">
        <v>230</v>
      </c>
      <c r="B237" s="5">
        <v>39624</v>
      </c>
      <c r="C237" t="str">
        <f t="shared" si="3"/>
        <v>VREVR023.59_39624</v>
      </c>
      <c r="D237">
        <f>COUNTIF(data.SampSummary!$C$2:$C$1407,C237)</f>
        <v>1</v>
      </c>
    </row>
    <row r="238" spans="1:4" x14ac:dyDescent="0.25">
      <c r="A238" t="s">
        <v>60</v>
      </c>
      <c r="B238" s="5">
        <v>39623</v>
      </c>
      <c r="C238" t="str">
        <f t="shared" si="3"/>
        <v>VREVR051.15_39623</v>
      </c>
      <c r="D238">
        <f>COUNTIF(data.SampSummary!$C$2:$C$1407,C238)</f>
        <v>1</v>
      </c>
    </row>
    <row r="239" spans="1:4" x14ac:dyDescent="0.25">
      <c r="A239" t="s">
        <v>2845</v>
      </c>
      <c r="B239" s="5">
        <v>40155</v>
      </c>
      <c r="C239" t="str">
        <f t="shared" si="3"/>
        <v>VRAMG003.62_40155</v>
      </c>
      <c r="D239">
        <f>COUNTIF(data.SampSummary!$C$2:$C$1407,C239)</f>
        <v>0</v>
      </c>
    </row>
    <row r="240" spans="1:4" x14ac:dyDescent="0.25">
      <c r="A240" t="s">
        <v>126</v>
      </c>
      <c r="B240" s="5">
        <v>40154</v>
      </c>
      <c r="C240" t="str">
        <f t="shared" si="3"/>
        <v>VRELL000.18_40154</v>
      </c>
      <c r="D240">
        <f>COUNTIF(data.SampSummary!$C$2:$C$1407,C240)</f>
        <v>0</v>
      </c>
    </row>
    <row r="241" spans="1:4" x14ac:dyDescent="0.25">
      <c r="A241" t="s">
        <v>86</v>
      </c>
      <c r="B241" s="5">
        <v>39616</v>
      </c>
      <c r="C241" t="str">
        <f t="shared" si="3"/>
        <v>SRWFB005.34_39616</v>
      </c>
      <c r="D241">
        <f>COUNTIF(data.SampSummary!$C$2:$C$1407,C241)</f>
        <v>1</v>
      </c>
    </row>
    <row r="242" spans="1:4" x14ac:dyDescent="0.25">
      <c r="A242" t="s">
        <v>165</v>
      </c>
      <c r="B242" s="5">
        <v>39615</v>
      </c>
      <c r="C242" t="str">
        <f t="shared" si="3"/>
        <v>SRBON001.69_39615</v>
      </c>
      <c r="D242">
        <f>COUNTIF(data.SampSummary!$C$2:$C$1407,C242)</f>
        <v>1</v>
      </c>
    </row>
    <row r="243" spans="1:4" x14ac:dyDescent="0.25">
      <c r="A243" t="s">
        <v>69</v>
      </c>
      <c r="B243" s="5">
        <v>39615</v>
      </c>
      <c r="C243" t="str">
        <f t="shared" si="3"/>
        <v>SRWRK007.97_39615</v>
      </c>
      <c r="D243">
        <f>COUNTIF(data.SampSummary!$C$2:$C$1407,C243)</f>
        <v>1</v>
      </c>
    </row>
    <row r="244" spans="1:4" x14ac:dyDescent="0.25">
      <c r="A244" t="s">
        <v>348</v>
      </c>
      <c r="B244" s="5">
        <v>39612</v>
      </c>
      <c r="C244" t="str">
        <f t="shared" si="3"/>
        <v>VRFOS014.33_39612</v>
      </c>
      <c r="D244">
        <f>COUNTIF(data.SampSummary!$C$2:$C$1407,C244)</f>
        <v>1</v>
      </c>
    </row>
    <row r="245" spans="1:4" x14ac:dyDescent="0.25">
      <c r="A245" t="s">
        <v>313</v>
      </c>
      <c r="B245" s="5">
        <v>39611</v>
      </c>
      <c r="C245" t="str">
        <f t="shared" si="3"/>
        <v>VRFOS011.88_39611</v>
      </c>
      <c r="D245">
        <f>COUNTIF(data.SampSummary!$C$2:$C$1407,C245)</f>
        <v>1</v>
      </c>
    </row>
    <row r="246" spans="1:4" x14ac:dyDescent="0.25">
      <c r="A246" t="s">
        <v>2846</v>
      </c>
      <c r="B246" s="5">
        <v>39610</v>
      </c>
      <c r="C246" t="str">
        <f t="shared" si="3"/>
        <v>VRVER139.99_39610</v>
      </c>
      <c r="D246">
        <f>COUNTIF(data.SampSummary!$C$2:$C$1407,C246)</f>
        <v>0</v>
      </c>
    </row>
    <row r="247" spans="1:4" x14ac:dyDescent="0.25">
      <c r="A247" t="s">
        <v>338</v>
      </c>
      <c r="B247" s="5">
        <v>39608</v>
      </c>
      <c r="C247" t="str">
        <f t="shared" si="3"/>
        <v>VRSPN000.78_39608</v>
      </c>
      <c r="D247">
        <f>COUNTIF(data.SampSummary!$C$2:$C$1407,C247)</f>
        <v>1</v>
      </c>
    </row>
    <row r="248" spans="1:4" x14ac:dyDescent="0.25">
      <c r="A248" t="s">
        <v>274</v>
      </c>
      <c r="B248" s="5">
        <v>39604</v>
      </c>
      <c r="C248" t="str">
        <f t="shared" si="3"/>
        <v>VRVER165.07_39604</v>
      </c>
      <c r="D248">
        <f>COUNTIF(data.SampSummary!$C$2:$C$1407,C248)</f>
        <v>1</v>
      </c>
    </row>
    <row r="249" spans="1:4" x14ac:dyDescent="0.25">
      <c r="A249" t="s">
        <v>242</v>
      </c>
      <c r="B249" s="5">
        <v>39603</v>
      </c>
      <c r="C249" t="str">
        <f t="shared" si="3"/>
        <v>VROAK031.38_39603</v>
      </c>
      <c r="D249">
        <f>COUNTIF(data.SampSummary!$C$2:$C$1407,C249)</f>
        <v>1</v>
      </c>
    </row>
    <row r="250" spans="1:4" x14ac:dyDescent="0.25">
      <c r="A250" t="s">
        <v>103</v>
      </c>
      <c r="B250" s="5">
        <v>40085</v>
      </c>
      <c r="C250" t="str">
        <f t="shared" si="3"/>
        <v>LCSLR003.72_40085</v>
      </c>
      <c r="D250">
        <f>COUNTIF(data.SampSummary!$C$2:$C$1407,C250)</f>
        <v>0</v>
      </c>
    </row>
    <row r="251" spans="1:4" x14ac:dyDescent="0.25">
      <c r="A251" t="s">
        <v>2814</v>
      </c>
      <c r="B251" s="5">
        <v>40080</v>
      </c>
      <c r="C251" t="str">
        <f t="shared" si="3"/>
        <v>LCSIL000.06_40080</v>
      </c>
      <c r="D251">
        <f>COUNTIF(data.SampSummary!$C$2:$C$1407,C251)</f>
        <v>0</v>
      </c>
    </row>
    <row r="252" spans="1:4" x14ac:dyDescent="0.25">
      <c r="A252" t="s">
        <v>139</v>
      </c>
      <c r="B252" s="5">
        <v>40078</v>
      </c>
      <c r="C252" t="str">
        <f t="shared" si="3"/>
        <v>LCBIL000.01_40078</v>
      </c>
      <c r="D252">
        <f>COUNTIF(data.SampSummary!$C$2:$C$1407,C252)</f>
        <v>0</v>
      </c>
    </row>
    <row r="253" spans="1:4" x14ac:dyDescent="0.25">
      <c r="A253" t="s">
        <v>85</v>
      </c>
      <c r="B253" s="5">
        <v>39588</v>
      </c>
      <c r="C253" t="str">
        <f t="shared" si="3"/>
        <v>SRFIS004.49_39588</v>
      </c>
      <c r="D253">
        <f>COUNTIF(data.SampSummary!$C$2:$C$1407,C253)</f>
        <v>0</v>
      </c>
    </row>
    <row r="254" spans="1:4" x14ac:dyDescent="0.25">
      <c r="A254" t="s">
        <v>267</v>
      </c>
      <c r="B254" s="5">
        <v>39584</v>
      </c>
      <c r="C254" t="str">
        <f t="shared" si="3"/>
        <v>VRSYH000.25_39584</v>
      </c>
      <c r="D254">
        <f>COUNTIF(data.SampSummary!$C$2:$C$1407,C254)</f>
        <v>1</v>
      </c>
    </row>
    <row r="255" spans="1:4" x14ac:dyDescent="0.25">
      <c r="A255" t="s">
        <v>197</v>
      </c>
      <c r="B255" s="5">
        <v>39583</v>
      </c>
      <c r="C255" t="str">
        <f t="shared" si="3"/>
        <v>SRTON053.87_39583</v>
      </c>
      <c r="D255">
        <f>COUNTIF(data.SampSummary!$C$2:$C$1407,C255)</f>
        <v>1</v>
      </c>
    </row>
    <row r="256" spans="1:4" x14ac:dyDescent="0.25">
      <c r="A256" t="s">
        <v>53</v>
      </c>
      <c r="B256" s="5">
        <v>39582</v>
      </c>
      <c r="C256" t="str">
        <f t="shared" si="3"/>
        <v>SRTON059.43_39582</v>
      </c>
      <c r="D256">
        <f>COUNTIF(data.SampSummary!$C$2:$C$1407,C256)</f>
        <v>1</v>
      </c>
    </row>
    <row r="257" spans="1:4" x14ac:dyDescent="0.25">
      <c r="A257" t="s">
        <v>151</v>
      </c>
      <c r="B257" s="5">
        <v>39582</v>
      </c>
      <c r="C257" t="str">
        <f t="shared" si="3"/>
        <v>SRHAG013.09_39582</v>
      </c>
      <c r="D257">
        <f>COUNTIF(data.SampSummary!$C$2:$C$1407,C257)</f>
        <v>1</v>
      </c>
    </row>
    <row r="258" spans="1:4" x14ac:dyDescent="0.25">
      <c r="A258" t="s">
        <v>43</v>
      </c>
      <c r="B258" s="5">
        <v>39581</v>
      </c>
      <c r="C258" t="str">
        <f t="shared" si="3"/>
        <v>SRCYN045.73_39581</v>
      </c>
      <c r="D258">
        <f>COUNTIF(data.SampSummary!$C$2:$C$1407,C258)</f>
        <v>1</v>
      </c>
    </row>
    <row r="259" spans="1:4" x14ac:dyDescent="0.25">
      <c r="A259" t="s">
        <v>99</v>
      </c>
      <c r="B259" s="5">
        <v>40065</v>
      </c>
      <c r="C259" t="str">
        <f t="shared" ref="C259:C322" si="4">A259&amp;"_"&amp;B259</f>
        <v>LCWLR004.09_40065</v>
      </c>
      <c r="D259">
        <f>COUNTIF(data.SampSummary!$C$2:$C$1407,C259)</f>
        <v>0</v>
      </c>
    </row>
    <row r="260" spans="1:4" x14ac:dyDescent="0.25">
      <c r="A260" t="s">
        <v>358</v>
      </c>
      <c r="B260" s="5">
        <v>39580</v>
      </c>
      <c r="C260" t="str">
        <f t="shared" si="4"/>
        <v>SRSPI011.63_39580</v>
      </c>
      <c r="D260">
        <f>COUNTIF(data.SampSummary!$C$2:$C$1407,C260)</f>
        <v>1</v>
      </c>
    </row>
    <row r="261" spans="1:4" x14ac:dyDescent="0.25">
      <c r="A261" t="s">
        <v>49</v>
      </c>
      <c r="B261" s="5">
        <v>39576</v>
      </c>
      <c r="C261" t="str">
        <f t="shared" si="4"/>
        <v>VRWCL036.37_39576</v>
      </c>
      <c r="D261">
        <f>COUNTIF(data.SampSummary!$C$2:$C$1407,C261)</f>
        <v>0</v>
      </c>
    </row>
    <row r="262" spans="1:4" x14ac:dyDescent="0.25">
      <c r="A262" t="s">
        <v>43</v>
      </c>
      <c r="B262" s="5">
        <v>39575</v>
      </c>
      <c r="C262" t="str">
        <f t="shared" si="4"/>
        <v>SRCYN045.73_39575</v>
      </c>
      <c r="D262">
        <f>COUNTIF(data.SampSummary!$C$2:$C$1407,C262)</f>
        <v>0</v>
      </c>
    </row>
    <row r="263" spans="1:4" x14ac:dyDescent="0.25">
      <c r="A263" t="s">
        <v>69</v>
      </c>
      <c r="B263" s="5">
        <v>39569</v>
      </c>
      <c r="C263" t="str">
        <f t="shared" si="4"/>
        <v>SRWRK007.97_39569</v>
      </c>
      <c r="D263">
        <f>COUNTIF(data.SampSummary!$C$2:$C$1407,C263)</f>
        <v>0</v>
      </c>
    </row>
    <row r="264" spans="1:4" x14ac:dyDescent="0.25">
      <c r="A264" t="s">
        <v>121</v>
      </c>
      <c r="B264" s="5">
        <v>39569</v>
      </c>
      <c r="C264" t="str">
        <f t="shared" si="4"/>
        <v>VREVR045.50_39569</v>
      </c>
      <c r="D264">
        <f>COUNTIF(data.SampSummary!$C$2:$C$1407,C264)</f>
        <v>1</v>
      </c>
    </row>
    <row r="265" spans="1:4" x14ac:dyDescent="0.25">
      <c r="A265" t="s">
        <v>2847</v>
      </c>
      <c r="B265" s="5">
        <v>39568</v>
      </c>
      <c r="C265" t="str">
        <f t="shared" si="4"/>
        <v>VRVER107.53_39568</v>
      </c>
      <c r="D265">
        <f>COUNTIF(data.SampSummary!$C$2:$C$1407,C265)</f>
        <v>0</v>
      </c>
    </row>
    <row r="266" spans="1:4" x14ac:dyDescent="0.25">
      <c r="A266" t="s">
        <v>2822</v>
      </c>
      <c r="B266" s="5">
        <v>39568</v>
      </c>
      <c r="C266" t="str">
        <f t="shared" si="4"/>
        <v>SCPOT001.62_39568</v>
      </c>
      <c r="D266">
        <f>COUNTIF(data.SampSummary!$C$2:$C$1407,C266)</f>
        <v>0</v>
      </c>
    </row>
    <row r="267" spans="1:4" x14ac:dyDescent="0.25">
      <c r="A267" t="s">
        <v>2848</v>
      </c>
      <c r="B267" s="5">
        <v>39568</v>
      </c>
      <c r="C267" t="str">
        <f t="shared" si="4"/>
        <v>SCNGW004.31_39568</v>
      </c>
      <c r="D267">
        <f>COUNTIF(data.SampSummary!$C$2:$C$1407,C267)</f>
        <v>0</v>
      </c>
    </row>
    <row r="268" spans="1:4" x14ac:dyDescent="0.25">
      <c r="A268" t="s">
        <v>2773</v>
      </c>
      <c r="B268" s="5">
        <v>39568</v>
      </c>
      <c r="C268" t="str">
        <f t="shared" si="4"/>
        <v>SCSCR111.66_39568</v>
      </c>
      <c r="D268">
        <f>COUNTIF(data.SampSummary!$C$2:$C$1407,C268)</f>
        <v>0</v>
      </c>
    </row>
    <row r="269" spans="1:4" x14ac:dyDescent="0.25">
      <c r="A269" t="s">
        <v>295</v>
      </c>
      <c r="B269" s="5">
        <v>39568</v>
      </c>
      <c r="C269" t="str">
        <f t="shared" si="4"/>
        <v>VRROU002.93_39568</v>
      </c>
      <c r="D269">
        <f>COUNTIF(data.SampSummary!$C$2:$C$1407,C269)</f>
        <v>1</v>
      </c>
    </row>
    <row r="270" spans="1:4" x14ac:dyDescent="0.25">
      <c r="A270" t="s">
        <v>365</v>
      </c>
      <c r="B270" s="5">
        <v>39568</v>
      </c>
      <c r="C270" t="str">
        <f t="shared" si="4"/>
        <v>SCSCR103.45_39568</v>
      </c>
      <c r="D270">
        <f>COUNTIF(data.SampSummary!$C$2:$C$1407,C270)</f>
        <v>0</v>
      </c>
    </row>
    <row r="271" spans="1:4" x14ac:dyDescent="0.25">
      <c r="A271" t="s">
        <v>2849</v>
      </c>
      <c r="B271" s="5">
        <v>39568</v>
      </c>
      <c r="C271" t="str">
        <f t="shared" si="4"/>
        <v>SCSCR096.72_39568</v>
      </c>
      <c r="D271">
        <f>COUNTIF(data.SampSummary!$C$2:$C$1407,C271)</f>
        <v>0</v>
      </c>
    </row>
    <row r="272" spans="1:4" x14ac:dyDescent="0.25">
      <c r="A272" t="s">
        <v>195</v>
      </c>
      <c r="B272" s="5">
        <v>39567</v>
      </c>
      <c r="C272" t="str">
        <f t="shared" si="4"/>
        <v>VRWCL005.10_39567</v>
      </c>
      <c r="D272">
        <f>COUNTIF(data.SampSummary!$C$2:$C$1407,C272)</f>
        <v>1</v>
      </c>
    </row>
    <row r="273" spans="1:4" x14ac:dyDescent="0.25">
      <c r="A273" t="s">
        <v>187</v>
      </c>
      <c r="B273" s="5">
        <v>39566</v>
      </c>
      <c r="C273" t="str">
        <f t="shared" si="4"/>
        <v>VRWBV002.97_39566</v>
      </c>
      <c r="D273">
        <f>COUNTIF(data.SampSummary!$C$2:$C$1407,C273)</f>
        <v>1</v>
      </c>
    </row>
    <row r="274" spans="1:4" x14ac:dyDescent="0.25">
      <c r="A274" t="s">
        <v>2186</v>
      </c>
      <c r="B274" s="5">
        <v>39566</v>
      </c>
      <c r="C274" t="str">
        <f t="shared" si="4"/>
        <v>VROAK002.96_39566</v>
      </c>
      <c r="D274">
        <f>COUNTIF(data.SampSummary!$C$2:$C$1407,C274)</f>
        <v>0</v>
      </c>
    </row>
    <row r="275" spans="1:4" x14ac:dyDescent="0.25">
      <c r="A275" t="s">
        <v>86</v>
      </c>
      <c r="B275" s="5">
        <v>39561</v>
      </c>
      <c r="C275" t="str">
        <f t="shared" si="4"/>
        <v>SRWFB005.34_39561</v>
      </c>
      <c r="D275">
        <f>COUNTIF(data.SampSummary!$C$2:$C$1407,C275)</f>
        <v>0</v>
      </c>
    </row>
    <row r="276" spans="1:4" x14ac:dyDescent="0.25">
      <c r="A276" t="s">
        <v>375</v>
      </c>
      <c r="B276" s="5">
        <v>39561</v>
      </c>
      <c r="C276" t="str">
        <f t="shared" si="4"/>
        <v>SRPNL005.12_39561</v>
      </c>
      <c r="D276">
        <f>COUNTIF(data.SampSummary!$C$2:$C$1407,C276)</f>
        <v>1</v>
      </c>
    </row>
    <row r="277" spans="1:4" x14ac:dyDescent="0.25">
      <c r="A277" t="s">
        <v>75</v>
      </c>
      <c r="B277" s="5">
        <v>39560</v>
      </c>
      <c r="C277" t="str">
        <f t="shared" si="4"/>
        <v>SRBEV007.28_39560</v>
      </c>
      <c r="D277">
        <f>COUNTIF(data.SampSummary!$C$2:$C$1407,C277)</f>
        <v>0</v>
      </c>
    </row>
    <row r="278" spans="1:4" x14ac:dyDescent="0.25">
      <c r="A278" t="s">
        <v>2095</v>
      </c>
      <c r="B278" s="5">
        <v>39560</v>
      </c>
      <c r="C278" t="str">
        <f t="shared" si="4"/>
        <v>SRBEV001.40_39560</v>
      </c>
      <c r="D278">
        <f>COUNTIF(data.SampSummary!$C$2:$C$1407,C278)</f>
        <v>0</v>
      </c>
    </row>
    <row r="279" spans="1:4" x14ac:dyDescent="0.25">
      <c r="A279" t="s">
        <v>374</v>
      </c>
      <c r="B279" s="5">
        <v>39558</v>
      </c>
      <c r="C279" t="str">
        <f t="shared" si="4"/>
        <v>SRCOO001.92_39558</v>
      </c>
      <c r="D279">
        <f>COUNTIF(data.SampSummary!$C$2:$C$1407,C279)</f>
        <v>1</v>
      </c>
    </row>
    <row r="280" spans="1:4" x14ac:dyDescent="0.25">
      <c r="A280" t="s">
        <v>220</v>
      </c>
      <c r="B280" s="5">
        <v>39553</v>
      </c>
      <c r="C280" t="str">
        <f t="shared" si="4"/>
        <v>SRWPN004.47_39553</v>
      </c>
      <c r="D280">
        <f>COUNTIF(data.SampSummary!$C$2:$C$1407,C280)</f>
        <v>1</v>
      </c>
    </row>
    <row r="281" spans="1:4" x14ac:dyDescent="0.25">
      <c r="A281" t="s">
        <v>187</v>
      </c>
      <c r="B281" s="5">
        <v>39541</v>
      </c>
      <c r="C281" t="str">
        <f t="shared" si="4"/>
        <v>VRWBV002.97_39541</v>
      </c>
      <c r="D281">
        <f>COUNTIF(data.SampSummary!$C$2:$C$1407,C281)</f>
        <v>0</v>
      </c>
    </row>
    <row r="282" spans="1:4" x14ac:dyDescent="0.25">
      <c r="A282" t="s">
        <v>2847</v>
      </c>
      <c r="B282" s="5">
        <v>39541</v>
      </c>
      <c r="C282" t="str">
        <f t="shared" si="4"/>
        <v>VRVER107.53_39541</v>
      </c>
      <c r="D282">
        <f>COUNTIF(data.SampSummary!$C$2:$C$1407,C282)</f>
        <v>0</v>
      </c>
    </row>
    <row r="283" spans="1:4" x14ac:dyDescent="0.25">
      <c r="A283" t="s">
        <v>195</v>
      </c>
      <c r="B283" s="5">
        <v>39541</v>
      </c>
      <c r="C283" t="str">
        <f t="shared" si="4"/>
        <v>VRWCL005.10_39541</v>
      </c>
      <c r="D283">
        <f>COUNTIF(data.SampSummary!$C$2:$C$1407,C283)</f>
        <v>0</v>
      </c>
    </row>
    <row r="284" spans="1:4" x14ac:dyDescent="0.25">
      <c r="A284" t="s">
        <v>313</v>
      </c>
      <c r="B284" s="5">
        <v>39540</v>
      </c>
      <c r="C284" t="str">
        <f t="shared" si="4"/>
        <v>VRFOS011.88_39540</v>
      </c>
      <c r="D284">
        <f>COUNTIF(data.SampSummary!$C$2:$C$1407,C284)</f>
        <v>0</v>
      </c>
    </row>
    <row r="285" spans="1:4" x14ac:dyDescent="0.25">
      <c r="A285" t="s">
        <v>121</v>
      </c>
      <c r="B285" s="5">
        <v>39534</v>
      </c>
      <c r="C285" t="str">
        <f t="shared" si="4"/>
        <v>VREVR045.50_39534</v>
      </c>
      <c r="D285">
        <f>COUNTIF(data.SampSummary!$C$2:$C$1407,C285)</f>
        <v>0</v>
      </c>
    </row>
    <row r="286" spans="1:4" x14ac:dyDescent="0.25">
      <c r="A286" t="s">
        <v>60</v>
      </c>
      <c r="B286" s="5">
        <v>39534</v>
      </c>
      <c r="C286" t="str">
        <f t="shared" si="4"/>
        <v>VREVR051.15_39534</v>
      </c>
      <c r="D286">
        <f>COUNTIF(data.SampSummary!$C$2:$C$1407,C286)</f>
        <v>0</v>
      </c>
    </row>
    <row r="287" spans="1:4" x14ac:dyDescent="0.25">
      <c r="A287" t="s">
        <v>365</v>
      </c>
      <c r="B287" s="5">
        <v>40674</v>
      </c>
      <c r="C287" t="str">
        <f t="shared" si="4"/>
        <v>SCSCR103.45_40674</v>
      </c>
      <c r="D287">
        <f>COUNTIF(data.SampSummary!$C$2:$C$1407,C287)</f>
        <v>1</v>
      </c>
    </row>
    <row r="288" spans="1:4" x14ac:dyDescent="0.25">
      <c r="A288" t="s">
        <v>151</v>
      </c>
      <c r="B288" s="5">
        <v>39533</v>
      </c>
      <c r="C288" t="str">
        <f t="shared" si="4"/>
        <v>SRHAG013.09_39533</v>
      </c>
      <c r="D288">
        <f>COUNTIF(data.SampSummary!$C$2:$C$1407,C288)</f>
        <v>0</v>
      </c>
    </row>
    <row r="289" spans="1:4" x14ac:dyDescent="0.25">
      <c r="A289" t="s">
        <v>358</v>
      </c>
      <c r="B289" s="5">
        <v>39533</v>
      </c>
      <c r="C289" t="str">
        <f t="shared" si="4"/>
        <v>SRSPI011.63_39533</v>
      </c>
      <c r="D289">
        <f>COUNTIF(data.SampSummary!$C$2:$C$1407,C289)</f>
        <v>0</v>
      </c>
    </row>
    <row r="290" spans="1:4" x14ac:dyDescent="0.25">
      <c r="A290" t="s">
        <v>285</v>
      </c>
      <c r="B290" s="5">
        <v>39533</v>
      </c>
      <c r="C290" t="str">
        <f t="shared" si="4"/>
        <v>VRPIE000.29_39533</v>
      </c>
      <c r="D290">
        <f>COUNTIF(data.SampSummary!$C$2:$C$1407,C290)</f>
        <v>0</v>
      </c>
    </row>
    <row r="291" spans="1:4" x14ac:dyDescent="0.25">
      <c r="A291" t="s">
        <v>230</v>
      </c>
      <c r="B291" s="5">
        <v>39533</v>
      </c>
      <c r="C291" t="str">
        <f t="shared" si="4"/>
        <v>VREVR023.59_39533</v>
      </c>
      <c r="D291">
        <f>COUNTIF(data.SampSummary!$C$2:$C$1407,C291)</f>
        <v>0</v>
      </c>
    </row>
    <row r="292" spans="1:4" x14ac:dyDescent="0.25">
      <c r="A292" t="s">
        <v>295</v>
      </c>
      <c r="B292" s="5">
        <v>39532</v>
      </c>
      <c r="C292" t="str">
        <f t="shared" si="4"/>
        <v>VRROU002.93_39532</v>
      </c>
      <c r="D292">
        <f>COUNTIF(data.SampSummary!$C$2:$C$1407,C292)</f>
        <v>0</v>
      </c>
    </row>
    <row r="293" spans="1:4" x14ac:dyDescent="0.25">
      <c r="A293" t="s">
        <v>332</v>
      </c>
      <c r="B293" s="5">
        <v>40660</v>
      </c>
      <c r="C293" t="str">
        <f t="shared" si="4"/>
        <v>VROAK013.95_40660</v>
      </c>
      <c r="D293">
        <f>COUNTIF(data.SampSummary!$C$2:$C$1407,C293)</f>
        <v>1</v>
      </c>
    </row>
    <row r="294" spans="1:4" x14ac:dyDescent="0.25">
      <c r="A294" t="s">
        <v>197</v>
      </c>
      <c r="B294" s="5">
        <v>39532</v>
      </c>
      <c r="C294" t="str">
        <f t="shared" si="4"/>
        <v>SRTON053.87_39532</v>
      </c>
      <c r="D294">
        <f>COUNTIF(data.SampSummary!$C$2:$C$1407,C294)</f>
        <v>0</v>
      </c>
    </row>
    <row r="295" spans="1:4" x14ac:dyDescent="0.25">
      <c r="A295" t="s">
        <v>53</v>
      </c>
      <c r="B295" s="5">
        <v>39532</v>
      </c>
      <c r="C295" t="str">
        <f t="shared" si="4"/>
        <v>SRTON059.43_39532</v>
      </c>
      <c r="D295">
        <f>COUNTIF(data.SampSummary!$C$2:$C$1407,C295)</f>
        <v>0</v>
      </c>
    </row>
    <row r="296" spans="1:4" x14ac:dyDescent="0.25">
      <c r="A296" t="s">
        <v>267</v>
      </c>
      <c r="B296" s="5">
        <v>39532</v>
      </c>
      <c r="C296" t="str">
        <f t="shared" si="4"/>
        <v>VRSYH000.25_39532</v>
      </c>
      <c r="D296">
        <f>COUNTIF(data.SampSummary!$C$2:$C$1407,C296)</f>
        <v>0</v>
      </c>
    </row>
    <row r="297" spans="1:4" x14ac:dyDescent="0.25">
      <c r="A297" t="s">
        <v>374</v>
      </c>
      <c r="B297" s="5">
        <v>39528</v>
      </c>
      <c r="C297" t="str">
        <f t="shared" si="4"/>
        <v>SRCOO001.92_39528</v>
      </c>
      <c r="D297">
        <f>COUNTIF(data.SampSummary!$C$2:$C$1407,C297)</f>
        <v>0</v>
      </c>
    </row>
    <row r="298" spans="1:4" x14ac:dyDescent="0.25">
      <c r="A298" t="s">
        <v>37</v>
      </c>
      <c r="B298" s="5">
        <v>39528</v>
      </c>
      <c r="C298" t="str">
        <f t="shared" si="4"/>
        <v>VRWOK000.82_39528</v>
      </c>
      <c r="D298">
        <f>COUNTIF(data.SampSummary!$C$2:$C$1407,C298)</f>
        <v>0</v>
      </c>
    </row>
    <row r="299" spans="1:4" x14ac:dyDescent="0.25">
      <c r="A299" t="s">
        <v>57</v>
      </c>
      <c r="B299" s="5">
        <v>40653</v>
      </c>
      <c r="C299" t="str">
        <f t="shared" si="4"/>
        <v>SREFB008.27_40653</v>
      </c>
      <c r="D299">
        <f>COUNTIF(data.SampSummary!$C$2:$C$1407,C299)</f>
        <v>0</v>
      </c>
    </row>
    <row r="300" spans="1:4" x14ac:dyDescent="0.25">
      <c r="A300" t="s">
        <v>26</v>
      </c>
      <c r="B300" s="5">
        <v>40645</v>
      </c>
      <c r="C300" t="str">
        <f t="shared" si="4"/>
        <v>VRPIE016.49_40645</v>
      </c>
      <c r="D300">
        <f>COUNTIF(data.SampSummary!$C$2:$C$1407,C300)</f>
        <v>0</v>
      </c>
    </row>
    <row r="301" spans="1:4" x14ac:dyDescent="0.25">
      <c r="A301" t="s">
        <v>274</v>
      </c>
      <c r="B301" s="5">
        <v>39527</v>
      </c>
      <c r="C301" t="str">
        <f t="shared" si="4"/>
        <v>VRVER165.07_39527</v>
      </c>
      <c r="D301">
        <f>COUNTIF(data.SampSummary!$C$2:$C$1407,C301)</f>
        <v>0</v>
      </c>
    </row>
    <row r="302" spans="1:4" x14ac:dyDescent="0.25">
      <c r="A302" t="s">
        <v>220</v>
      </c>
      <c r="B302" s="5">
        <v>39527</v>
      </c>
      <c r="C302" t="str">
        <f t="shared" si="4"/>
        <v>SRWPN004.47_39527</v>
      </c>
      <c r="D302">
        <f>COUNTIF(data.SampSummary!$C$2:$C$1407,C302)</f>
        <v>0</v>
      </c>
    </row>
    <row r="303" spans="1:4" x14ac:dyDescent="0.25">
      <c r="A303" t="s">
        <v>213</v>
      </c>
      <c r="B303" s="5">
        <v>40644</v>
      </c>
      <c r="C303" t="str">
        <f t="shared" si="4"/>
        <v>VRPIE008.19_40644</v>
      </c>
      <c r="D303">
        <f>COUNTIF(data.SampSummary!$C$2:$C$1407,C303)</f>
        <v>0</v>
      </c>
    </row>
    <row r="304" spans="1:4" x14ac:dyDescent="0.25">
      <c r="A304" t="s">
        <v>2846</v>
      </c>
      <c r="B304" s="5">
        <v>39527</v>
      </c>
      <c r="C304" t="str">
        <f t="shared" si="4"/>
        <v>VRVER139.99_39527</v>
      </c>
      <c r="D304">
        <f>COUNTIF(data.SampSummary!$C$2:$C$1407,C304)</f>
        <v>0</v>
      </c>
    </row>
    <row r="305" spans="1:4" x14ac:dyDescent="0.25">
      <c r="A305" t="s">
        <v>193</v>
      </c>
      <c r="B305" s="5">
        <v>39527</v>
      </c>
      <c r="C305" t="str">
        <f t="shared" si="4"/>
        <v>VRSYW001.72_39527</v>
      </c>
      <c r="D305">
        <f>COUNTIF(data.SampSummary!$C$2:$C$1407,C305)</f>
        <v>0</v>
      </c>
    </row>
    <row r="306" spans="1:4" x14ac:dyDescent="0.25">
      <c r="A306" t="s">
        <v>172</v>
      </c>
      <c r="B306" s="5">
        <v>39526</v>
      </c>
      <c r="C306" t="str">
        <f t="shared" si="4"/>
        <v>VROAK048.92_39526</v>
      </c>
      <c r="D306">
        <f>COUNTIF(data.SampSummary!$C$2:$C$1407,C306)</f>
        <v>0</v>
      </c>
    </row>
    <row r="307" spans="1:4" x14ac:dyDescent="0.25">
      <c r="A307" t="s">
        <v>242</v>
      </c>
      <c r="B307" s="5">
        <v>39526</v>
      </c>
      <c r="C307" t="str">
        <f t="shared" si="4"/>
        <v>VROAK031.38_39526</v>
      </c>
      <c r="D307">
        <f>COUNTIF(data.SampSummary!$C$2:$C$1407,C307)</f>
        <v>0</v>
      </c>
    </row>
    <row r="308" spans="1:4" x14ac:dyDescent="0.25">
      <c r="A308" t="s">
        <v>347</v>
      </c>
      <c r="B308" s="5">
        <v>39435</v>
      </c>
      <c r="C308" t="str">
        <f t="shared" si="4"/>
        <v>SRCGN009.78_39435</v>
      </c>
      <c r="D308">
        <f>COUNTIF(data.SampSummary!$C$2:$C$1407,C308)</f>
        <v>0</v>
      </c>
    </row>
    <row r="309" spans="1:4" x14ac:dyDescent="0.25">
      <c r="A309" t="s">
        <v>69</v>
      </c>
      <c r="B309" s="5">
        <v>39434</v>
      </c>
      <c r="C309" t="str">
        <f t="shared" si="4"/>
        <v>SRWRK007.97_39434</v>
      </c>
      <c r="D309">
        <f>COUNTIF(data.SampSummary!$C$2:$C$1407,C309)</f>
        <v>0</v>
      </c>
    </row>
    <row r="310" spans="1:4" x14ac:dyDescent="0.25">
      <c r="A310" t="s">
        <v>375</v>
      </c>
      <c r="B310" s="5">
        <v>39434</v>
      </c>
      <c r="C310" t="str">
        <f t="shared" si="4"/>
        <v>SRPNL005.12_39434</v>
      </c>
      <c r="D310">
        <f>COUNTIF(data.SampSummary!$C$2:$C$1407,C310)</f>
        <v>0</v>
      </c>
    </row>
    <row r="311" spans="1:4" x14ac:dyDescent="0.25">
      <c r="A311" t="s">
        <v>220</v>
      </c>
      <c r="B311" s="5">
        <v>39433</v>
      </c>
      <c r="C311" t="str">
        <f t="shared" si="4"/>
        <v>SRWPN004.47_39433</v>
      </c>
      <c r="D311">
        <f>COUNTIF(data.SampSummary!$C$2:$C$1407,C311)</f>
        <v>0</v>
      </c>
    </row>
    <row r="312" spans="1:4" x14ac:dyDescent="0.25">
      <c r="A312" t="s">
        <v>318</v>
      </c>
      <c r="B312" s="5">
        <v>40582</v>
      </c>
      <c r="C312" t="str">
        <f t="shared" si="4"/>
        <v>VROAK042.78_40582</v>
      </c>
      <c r="D312">
        <f>COUNTIF(data.SampSummary!$C$2:$C$1407,C312)</f>
        <v>0</v>
      </c>
    </row>
    <row r="313" spans="1:4" x14ac:dyDescent="0.25">
      <c r="A313" t="s">
        <v>342</v>
      </c>
      <c r="B313" s="5">
        <v>39424</v>
      </c>
      <c r="C313" t="str">
        <f t="shared" si="4"/>
        <v>UGBON000.17_39424</v>
      </c>
      <c r="D313">
        <f>COUNTIF(data.SampSummary!$C$2:$C$1407,C313)</f>
        <v>0</v>
      </c>
    </row>
    <row r="314" spans="1:4" x14ac:dyDescent="0.25">
      <c r="A314" t="s">
        <v>124</v>
      </c>
      <c r="B314" s="5">
        <v>40511</v>
      </c>
      <c r="C314" t="str">
        <f t="shared" si="4"/>
        <v>LCSIL043.84_40511</v>
      </c>
      <c r="D314">
        <f>COUNTIF(data.SampSummary!$C$2:$C$1407,C314)</f>
        <v>0</v>
      </c>
    </row>
    <row r="315" spans="1:4" x14ac:dyDescent="0.25">
      <c r="A315" t="s">
        <v>197</v>
      </c>
      <c r="B315" s="5">
        <v>39414</v>
      </c>
      <c r="C315" t="str">
        <f t="shared" si="4"/>
        <v>SRTON053.87_39414</v>
      </c>
      <c r="D315">
        <f>COUNTIF(data.SampSummary!$C$2:$C$1407,C315)</f>
        <v>0</v>
      </c>
    </row>
    <row r="316" spans="1:4" x14ac:dyDescent="0.25">
      <c r="A316" t="s">
        <v>360</v>
      </c>
      <c r="B316" s="5">
        <v>40500</v>
      </c>
      <c r="C316" t="str">
        <f t="shared" si="4"/>
        <v>SCSCR039.63_40500</v>
      </c>
      <c r="D316">
        <f>COUNTIF(data.SampSummary!$C$2:$C$1407,C316)</f>
        <v>0</v>
      </c>
    </row>
    <row r="317" spans="1:4" x14ac:dyDescent="0.25">
      <c r="A317" t="s">
        <v>53</v>
      </c>
      <c r="B317" s="5">
        <v>39414</v>
      </c>
      <c r="C317" t="str">
        <f t="shared" si="4"/>
        <v>SRTON059.43_39414</v>
      </c>
      <c r="D317">
        <f>COUNTIF(data.SampSummary!$C$2:$C$1407,C317)</f>
        <v>0</v>
      </c>
    </row>
    <row r="318" spans="1:4" x14ac:dyDescent="0.25">
      <c r="A318" t="s">
        <v>151</v>
      </c>
      <c r="B318" s="5">
        <v>39413</v>
      </c>
      <c r="C318" t="str">
        <f t="shared" si="4"/>
        <v>SRHAG013.09_39413</v>
      </c>
      <c r="D318">
        <f>COUNTIF(data.SampSummary!$C$2:$C$1407,C318)</f>
        <v>0</v>
      </c>
    </row>
    <row r="319" spans="1:4" x14ac:dyDescent="0.25">
      <c r="A319" t="s">
        <v>43</v>
      </c>
      <c r="B319" s="5">
        <v>39413</v>
      </c>
      <c r="C319" t="str">
        <f t="shared" si="4"/>
        <v>SRCYN045.73_39413</v>
      </c>
      <c r="D319">
        <f>COUNTIF(data.SampSummary!$C$2:$C$1407,C319)</f>
        <v>0</v>
      </c>
    </row>
    <row r="320" spans="1:4" x14ac:dyDescent="0.25">
      <c r="A320" t="s">
        <v>358</v>
      </c>
      <c r="B320" s="5">
        <v>39413</v>
      </c>
      <c r="C320" t="str">
        <f t="shared" si="4"/>
        <v>SRSPI011.63_39413</v>
      </c>
      <c r="D320">
        <f>COUNTIF(data.SampSummary!$C$2:$C$1407,C320)</f>
        <v>0</v>
      </c>
    </row>
    <row r="321" spans="1:4" x14ac:dyDescent="0.25">
      <c r="A321" t="s">
        <v>2842</v>
      </c>
      <c r="B321" s="5">
        <v>39401</v>
      </c>
      <c r="C321" t="str">
        <f t="shared" si="4"/>
        <v>UGGLR485.91_39401</v>
      </c>
      <c r="D321">
        <f>COUNTIF(data.SampSummary!$C$2:$C$1407,C321)</f>
        <v>0</v>
      </c>
    </row>
    <row r="322" spans="1:4" x14ac:dyDescent="0.25">
      <c r="A322" t="s">
        <v>2843</v>
      </c>
      <c r="B322" s="5">
        <v>39401</v>
      </c>
      <c r="C322" t="str">
        <f t="shared" si="4"/>
        <v>UGGLR515.55_39401</v>
      </c>
      <c r="D322">
        <f>COUNTIF(data.SampSummary!$C$2:$C$1407,C322)</f>
        <v>0</v>
      </c>
    </row>
    <row r="323" spans="1:4" x14ac:dyDescent="0.25">
      <c r="A323" t="s">
        <v>326</v>
      </c>
      <c r="B323" s="5">
        <v>39400</v>
      </c>
      <c r="C323" t="str">
        <f t="shared" ref="C323:C386" si="5">A323&amp;"_"&amp;B323</f>
        <v>UGSFR006.42_39400</v>
      </c>
      <c r="D323">
        <f>COUNTIF(data.SampSummary!$C$2:$C$1407,C323)</f>
        <v>0</v>
      </c>
    </row>
    <row r="324" spans="1:4" x14ac:dyDescent="0.25">
      <c r="A324" t="s">
        <v>2840</v>
      </c>
      <c r="B324" s="5">
        <v>39400</v>
      </c>
      <c r="C324" t="str">
        <f t="shared" si="5"/>
        <v>UGEAG011.51_39400</v>
      </c>
      <c r="D324">
        <f>COUNTIF(data.SampSummary!$C$2:$C$1407,C324)</f>
        <v>0</v>
      </c>
    </row>
    <row r="325" spans="1:4" x14ac:dyDescent="0.25">
      <c r="A325" t="s">
        <v>342</v>
      </c>
      <c r="B325" s="5">
        <v>39399</v>
      </c>
      <c r="C325" t="str">
        <f t="shared" si="5"/>
        <v>UGBON000.17_39399</v>
      </c>
      <c r="D325">
        <f>COUNTIF(data.SampSummary!$C$2:$C$1407,C325)</f>
        <v>0</v>
      </c>
    </row>
    <row r="326" spans="1:4" x14ac:dyDescent="0.25">
      <c r="A326" t="s">
        <v>320</v>
      </c>
      <c r="B326" s="5">
        <v>39399</v>
      </c>
      <c r="C326" t="str">
        <f t="shared" si="5"/>
        <v>UGGLR452.43_39399</v>
      </c>
      <c r="D326">
        <f>COUNTIF(data.SampSummary!$C$2:$C$1407,C326)</f>
        <v>0</v>
      </c>
    </row>
    <row r="327" spans="1:4" x14ac:dyDescent="0.25">
      <c r="A327" t="s">
        <v>60</v>
      </c>
      <c r="B327" s="5">
        <v>39399</v>
      </c>
      <c r="C327" t="str">
        <f t="shared" si="5"/>
        <v>VREVR051.15_39399</v>
      </c>
      <c r="D327">
        <f>COUNTIF(data.SampSummary!$C$2:$C$1407,C327)</f>
        <v>0</v>
      </c>
    </row>
    <row r="328" spans="1:4" x14ac:dyDescent="0.25">
      <c r="A328" t="s">
        <v>295</v>
      </c>
      <c r="B328" s="5">
        <v>39398</v>
      </c>
      <c r="C328" t="str">
        <f t="shared" si="5"/>
        <v>VRROU002.93_39398</v>
      </c>
      <c r="D328">
        <f>COUNTIF(data.SampSummary!$C$2:$C$1407,C328)</f>
        <v>0</v>
      </c>
    </row>
    <row r="329" spans="1:4" x14ac:dyDescent="0.25">
      <c r="A329" t="s">
        <v>2850</v>
      </c>
      <c r="B329" s="5">
        <v>40483</v>
      </c>
      <c r="C329" t="str">
        <f t="shared" si="5"/>
        <v>LCSIL042.58_40483</v>
      </c>
      <c r="D329">
        <f>COUNTIF(data.SampSummary!$C$2:$C$1407,C329)</f>
        <v>0</v>
      </c>
    </row>
    <row r="330" spans="1:4" x14ac:dyDescent="0.25">
      <c r="A330" t="s">
        <v>267</v>
      </c>
      <c r="B330" s="5">
        <v>39398</v>
      </c>
      <c r="C330" t="str">
        <f t="shared" si="5"/>
        <v>VRSYH000.25_39398</v>
      </c>
      <c r="D330">
        <f>COUNTIF(data.SampSummary!$C$2:$C$1407,C330)</f>
        <v>0</v>
      </c>
    </row>
    <row r="331" spans="1:4" x14ac:dyDescent="0.25">
      <c r="A331" t="s">
        <v>49</v>
      </c>
      <c r="B331" s="5">
        <v>39394</v>
      </c>
      <c r="C331" t="str">
        <f t="shared" si="5"/>
        <v>VRWCL036.37_39394</v>
      </c>
      <c r="D331">
        <f>COUNTIF(data.SampSummary!$C$2:$C$1407,C331)</f>
        <v>0</v>
      </c>
    </row>
    <row r="332" spans="1:4" x14ac:dyDescent="0.25">
      <c r="A332" t="s">
        <v>313</v>
      </c>
      <c r="B332" s="5">
        <v>39394</v>
      </c>
      <c r="C332" t="str">
        <f t="shared" si="5"/>
        <v>VRFOS011.88_39394</v>
      </c>
      <c r="D332">
        <f>COUNTIF(data.SampSummary!$C$2:$C$1407,C332)</f>
        <v>0</v>
      </c>
    </row>
    <row r="333" spans="1:4" x14ac:dyDescent="0.25">
      <c r="A333" t="s">
        <v>57</v>
      </c>
      <c r="B333" s="5">
        <v>40470</v>
      </c>
      <c r="C333" t="str">
        <f t="shared" si="5"/>
        <v>SREFB008.27_40470</v>
      </c>
      <c r="D333">
        <f>COUNTIF(data.SampSummary!$C$2:$C$1407,C333)</f>
        <v>0</v>
      </c>
    </row>
    <row r="334" spans="1:4" x14ac:dyDescent="0.25">
      <c r="A334" t="s">
        <v>195</v>
      </c>
      <c r="B334" s="5">
        <v>39393</v>
      </c>
      <c r="C334" t="str">
        <f t="shared" si="5"/>
        <v>VRWCL005.10_39393</v>
      </c>
      <c r="D334">
        <f>COUNTIF(data.SampSummary!$C$2:$C$1407,C334)</f>
        <v>0</v>
      </c>
    </row>
    <row r="335" spans="1:4" x14ac:dyDescent="0.25">
      <c r="A335" t="s">
        <v>187</v>
      </c>
      <c r="B335" s="5">
        <v>39392</v>
      </c>
      <c r="C335" t="str">
        <f t="shared" si="5"/>
        <v>VRWBV002.97_39392</v>
      </c>
      <c r="D335">
        <f>COUNTIF(data.SampSummary!$C$2:$C$1407,C335)</f>
        <v>0</v>
      </c>
    </row>
    <row r="336" spans="1:4" x14ac:dyDescent="0.25">
      <c r="A336" t="s">
        <v>2186</v>
      </c>
      <c r="B336" s="5">
        <v>39392</v>
      </c>
      <c r="C336" t="str">
        <f t="shared" si="5"/>
        <v>VROAK002.96_39392</v>
      </c>
      <c r="D336">
        <f>COUNTIF(data.SampSummary!$C$2:$C$1407,C336)</f>
        <v>0</v>
      </c>
    </row>
    <row r="337" spans="1:4" x14ac:dyDescent="0.25">
      <c r="A337" t="s">
        <v>85</v>
      </c>
      <c r="B337" s="5">
        <v>39385</v>
      </c>
      <c r="C337" t="str">
        <f t="shared" si="5"/>
        <v>SRFIS004.49_39385</v>
      </c>
      <c r="D337">
        <f>COUNTIF(data.SampSummary!$C$2:$C$1407,C337)</f>
        <v>0</v>
      </c>
    </row>
    <row r="338" spans="1:4" x14ac:dyDescent="0.25">
      <c r="A338" t="s">
        <v>324</v>
      </c>
      <c r="B338" s="5">
        <v>39380</v>
      </c>
      <c r="C338" t="str">
        <f t="shared" si="5"/>
        <v>UGGLR451.46_39380</v>
      </c>
      <c r="D338">
        <f>COUNTIF(data.SampSummary!$C$2:$C$1407,C338)</f>
        <v>0</v>
      </c>
    </row>
    <row r="339" spans="1:4" x14ac:dyDescent="0.25">
      <c r="A339" t="s">
        <v>2842</v>
      </c>
      <c r="B339" s="5">
        <v>39379</v>
      </c>
      <c r="C339" t="str">
        <f t="shared" si="5"/>
        <v>UGGLR485.91_39379</v>
      </c>
      <c r="D339">
        <f>COUNTIF(data.SampSummary!$C$2:$C$1407,C339)</f>
        <v>0</v>
      </c>
    </row>
    <row r="340" spans="1:4" x14ac:dyDescent="0.25">
      <c r="A340" t="s">
        <v>2844</v>
      </c>
      <c r="B340" s="5">
        <v>39379</v>
      </c>
      <c r="C340" t="str">
        <f t="shared" si="5"/>
        <v>UGGLR501.45_39379</v>
      </c>
      <c r="D340">
        <f>COUNTIF(data.SampSummary!$C$2:$C$1407,C340)</f>
        <v>0</v>
      </c>
    </row>
    <row r="341" spans="1:4" x14ac:dyDescent="0.25">
      <c r="A341" t="s">
        <v>2843</v>
      </c>
      <c r="B341" s="5">
        <v>39379</v>
      </c>
      <c r="C341" t="str">
        <f t="shared" si="5"/>
        <v>UGGLR515.55_39379</v>
      </c>
      <c r="D341">
        <f>COUNTIF(data.SampSummary!$C$2:$C$1407,C341)</f>
        <v>0</v>
      </c>
    </row>
    <row r="342" spans="1:4" x14ac:dyDescent="0.25">
      <c r="A342" t="s">
        <v>2115</v>
      </c>
      <c r="B342" s="5">
        <v>39378</v>
      </c>
      <c r="C342" t="str">
        <f t="shared" si="5"/>
        <v>UGGLR471.49_39378</v>
      </c>
      <c r="D342">
        <f>COUNTIF(data.SampSummary!$C$2:$C$1407,C342)</f>
        <v>0</v>
      </c>
    </row>
    <row r="343" spans="1:4" x14ac:dyDescent="0.25">
      <c r="A343" t="s">
        <v>2849</v>
      </c>
      <c r="B343" s="5">
        <v>40429</v>
      </c>
      <c r="C343" t="str">
        <f t="shared" si="5"/>
        <v>SCSCR096.72_40429</v>
      </c>
      <c r="D343">
        <f>COUNTIF(data.SampSummary!$C$2:$C$1407,C343)</f>
        <v>0</v>
      </c>
    </row>
    <row r="344" spans="1:4" x14ac:dyDescent="0.25">
      <c r="A344" t="s">
        <v>326</v>
      </c>
      <c r="B344" s="5">
        <v>39378</v>
      </c>
      <c r="C344" t="str">
        <f t="shared" si="5"/>
        <v>UGSFR006.42_39378</v>
      </c>
      <c r="D344">
        <f>COUNTIF(data.SampSummary!$C$2:$C$1407,C344)</f>
        <v>0</v>
      </c>
    </row>
    <row r="345" spans="1:4" x14ac:dyDescent="0.25">
      <c r="A345" t="s">
        <v>2840</v>
      </c>
      <c r="B345" s="5">
        <v>39378</v>
      </c>
      <c r="C345" t="str">
        <f t="shared" si="5"/>
        <v>UGEAG011.51_39378</v>
      </c>
      <c r="D345">
        <f>COUNTIF(data.SampSummary!$C$2:$C$1407,C345)</f>
        <v>0</v>
      </c>
    </row>
    <row r="346" spans="1:4" x14ac:dyDescent="0.25">
      <c r="A346" t="s">
        <v>165</v>
      </c>
      <c r="B346" s="5">
        <v>39378</v>
      </c>
      <c r="C346" t="str">
        <f t="shared" si="5"/>
        <v>SRBON001.69_39378</v>
      </c>
      <c r="D346">
        <f>COUNTIF(data.SampSummary!$C$2:$C$1407,C346)</f>
        <v>0</v>
      </c>
    </row>
    <row r="347" spans="1:4" x14ac:dyDescent="0.25">
      <c r="A347" t="s">
        <v>86</v>
      </c>
      <c r="B347" s="5">
        <v>39377</v>
      </c>
      <c r="C347" t="str">
        <f t="shared" si="5"/>
        <v>SRWFB005.34_39377</v>
      </c>
      <c r="D347">
        <f>COUNTIF(data.SampSummary!$C$2:$C$1407,C347)</f>
        <v>0</v>
      </c>
    </row>
    <row r="348" spans="1:4" x14ac:dyDescent="0.25">
      <c r="A348" t="s">
        <v>342</v>
      </c>
      <c r="B348" s="5">
        <v>39377</v>
      </c>
      <c r="C348" t="str">
        <f t="shared" si="5"/>
        <v>UGBON000.17_39377</v>
      </c>
      <c r="D348">
        <f>COUNTIF(data.SampSummary!$C$2:$C$1407,C348)</f>
        <v>0</v>
      </c>
    </row>
    <row r="349" spans="1:4" x14ac:dyDescent="0.25">
      <c r="A349" t="s">
        <v>320</v>
      </c>
      <c r="B349" s="5">
        <v>39377</v>
      </c>
      <c r="C349" t="str">
        <f t="shared" si="5"/>
        <v>UGGLR452.43_39377</v>
      </c>
      <c r="D349">
        <f>COUNTIF(data.SampSummary!$C$2:$C$1407,C349)</f>
        <v>0</v>
      </c>
    </row>
    <row r="350" spans="1:4" x14ac:dyDescent="0.25">
      <c r="A350" t="s">
        <v>274</v>
      </c>
      <c r="B350" s="5">
        <v>39359</v>
      </c>
      <c r="C350" t="str">
        <f t="shared" si="5"/>
        <v>VRVER165.07_39359</v>
      </c>
      <c r="D350">
        <f>COUNTIF(data.SampSummary!$C$2:$C$1407,C350)</f>
        <v>0</v>
      </c>
    </row>
    <row r="351" spans="1:4" x14ac:dyDescent="0.25">
      <c r="A351" t="s">
        <v>374</v>
      </c>
      <c r="B351" s="5">
        <v>39359</v>
      </c>
      <c r="C351" t="str">
        <f t="shared" si="5"/>
        <v>SRCOO001.92_39359</v>
      </c>
      <c r="D351">
        <f>COUNTIF(data.SampSummary!$C$2:$C$1407,C351)</f>
        <v>0</v>
      </c>
    </row>
    <row r="352" spans="1:4" x14ac:dyDescent="0.25">
      <c r="A352" t="s">
        <v>222</v>
      </c>
      <c r="B352" s="5">
        <v>39359</v>
      </c>
      <c r="C352" t="str">
        <f t="shared" si="5"/>
        <v>SRCHE013.65_39359</v>
      </c>
      <c r="D352">
        <f>COUNTIF(data.SampSummary!$C$2:$C$1407,C352)</f>
        <v>0</v>
      </c>
    </row>
    <row r="353" spans="1:4" x14ac:dyDescent="0.25">
      <c r="A353" t="s">
        <v>2846</v>
      </c>
      <c r="B353" s="5">
        <v>39358</v>
      </c>
      <c r="C353" t="str">
        <f t="shared" si="5"/>
        <v>VRVER139.99_39358</v>
      </c>
      <c r="D353">
        <f>COUNTIF(data.SampSummary!$C$2:$C$1407,C353)</f>
        <v>0</v>
      </c>
    </row>
    <row r="354" spans="1:4" x14ac:dyDescent="0.25">
      <c r="A354" t="s">
        <v>193</v>
      </c>
      <c r="B354" s="5">
        <v>39358</v>
      </c>
      <c r="C354" t="str">
        <f t="shared" si="5"/>
        <v>VRSYW001.72_39358</v>
      </c>
      <c r="D354">
        <f>COUNTIF(data.SampSummary!$C$2:$C$1407,C354)</f>
        <v>0</v>
      </c>
    </row>
    <row r="355" spans="1:4" x14ac:dyDescent="0.25">
      <c r="A355" t="s">
        <v>172</v>
      </c>
      <c r="B355" s="5">
        <v>39357</v>
      </c>
      <c r="C355" t="str">
        <f t="shared" si="5"/>
        <v>VROAK048.92_39357</v>
      </c>
      <c r="D355">
        <f>COUNTIF(data.SampSummary!$C$2:$C$1407,C355)</f>
        <v>0</v>
      </c>
    </row>
    <row r="356" spans="1:4" x14ac:dyDescent="0.25">
      <c r="A356" t="s">
        <v>2851</v>
      </c>
      <c r="B356" s="5">
        <v>40381</v>
      </c>
      <c r="C356" t="str">
        <f t="shared" si="5"/>
        <v>SPSPR013.29_40381</v>
      </c>
      <c r="D356">
        <f>COUNTIF(data.SampSummary!$C$2:$C$1407,C356)</f>
        <v>0</v>
      </c>
    </row>
    <row r="357" spans="1:4" x14ac:dyDescent="0.25">
      <c r="A357" t="s">
        <v>242</v>
      </c>
      <c r="B357" s="5">
        <v>39357</v>
      </c>
      <c r="C357" t="str">
        <f t="shared" si="5"/>
        <v>VROAK031.38_39357</v>
      </c>
      <c r="D357">
        <f>COUNTIF(data.SampSummary!$C$2:$C$1407,C357)</f>
        <v>0</v>
      </c>
    </row>
    <row r="358" spans="1:4" x14ac:dyDescent="0.25">
      <c r="A358" t="s">
        <v>197</v>
      </c>
      <c r="B358" s="5">
        <v>39344</v>
      </c>
      <c r="C358" t="str">
        <f t="shared" si="5"/>
        <v>SRTON053.87_39344</v>
      </c>
      <c r="D358">
        <f>COUNTIF(data.SampSummary!$C$2:$C$1407,C358)</f>
        <v>0</v>
      </c>
    </row>
    <row r="359" spans="1:4" x14ac:dyDescent="0.25">
      <c r="A359" t="s">
        <v>53</v>
      </c>
      <c r="B359" s="5">
        <v>39344</v>
      </c>
      <c r="C359" t="str">
        <f t="shared" si="5"/>
        <v>SRTON059.43_39344</v>
      </c>
      <c r="D359">
        <f>COUNTIF(data.SampSummary!$C$2:$C$1407,C359)</f>
        <v>0</v>
      </c>
    </row>
    <row r="360" spans="1:4" x14ac:dyDescent="0.25">
      <c r="A360" t="s">
        <v>151</v>
      </c>
      <c r="B360" s="5">
        <v>39343</v>
      </c>
      <c r="C360" t="str">
        <f t="shared" si="5"/>
        <v>SRHAG013.09_39343</v>
      </c>
      <c r="D360">
        <f>COUNTIF(data.SampSummary!$C$2:$C$1407,C360)</f>
        <v>0</v>
      </c>
    </row>
    <row r="361" spans="1:4" x14ac:dyDescent="0.25">
      <c r="A361" t="s">
        <v>43</v>
      </c>
      <c r="B361" s="5">
        <v>39343</v>
      </c>
      <c r="C361" t="str">
        <f t="shared" si="5"/>
        <v>SRCYN045.73_39343</v>
      </c>
      <c r="D361">
        <f>COUNTIF(data.SampSummary!$C$2:$C$1407,C361)</f>
        <v>0</v>
      </c>
    </row>
    <row r="362" spans="1:4" x14ac:dyDescent="0.25">
      <c r="A362" t="s">
        <v>40</v>
      </c>
      <c r="B362" s="5">
        <v>40379</v>
      </c>
      <c r="C362" t="str">
        <f t="shared" si="5"/>
        <v>VRWEB009.13_40379</v>
      </c>
      <c r="D362">
        <f>COUNTIF(data.SampSummary!$C$2:$C$1407,C362)</f>
        <v>0</v>
      </c>
    </row>
    <row r="363" spans="1:4" x14ac:dyDescent="0.25">
      <c r="A363" t="s">
        <v>358</v>
      </c>
      <c r="B363" s="5">
        <v>39343</v>
      </c>
      <c r="C363" t="str">
        <f t="shared" si="5"/>
        <v>SRSPI011.63_39343</v>
      </c>
      <c r="D363">
        <f>COUNTIF(data.SampSummary!$C$2:$C$1407,C363)</f>
        <v>0</v>
      </c>
    </row>
    <row r="364" spans="1:4" x14ac:dyDescent="0.25">
      <c r="A364" t="s">
        <v>49</v>
      </c>
      <c r="B364" s="5">
        <v>39325</v>
      </c>
      <c r="C364" t="str">
        <f t="shared" si="5"/>
        <v>VRWCL036.37_39325</v>
      </c>
      <c r="D364">
        <f>COUNTIF(data.SampSummary!$C$2:$C$1407,C364)</f>
        <v>0</v>
      </c>
    </row>
    <row r="365" spans="1:4" x14ac:dyDescent="0.25">
      <c r="A365" t="s">
        <v>313</v>
      </c>
      <c r="B365" s="5">
        <v>39324</v>
      </c>
      <c r="C365" t="str">
        <f t="shared" si="5"/>
        <v>VRFOS011.88_39324</v>
      </c>
      <c r="D365">
        <f>COUNTIF(data.SampSummary!$C$2:$C$1407,C365)</f>
        <v>0</v>
      </c>
    </row>
    <row r="366" spans="1:4" x14ac:dyDescent="0.25">
      <c r="A366" t="s">
        <v>69</v>
      </c>
      <c r="B366" s="5">
        <v>39323</v>
      </c>
      <c r="C366" t="str">
        <f t="shared" si="5"/>
        <v>SRWRK007.97_39323</v>
      </c>
      <c r="D366">
        <f>COUNTIF(data.SampSummary!$C$2:$C$1407,C366)</f>
        <v>0</v>
      </c>
    </row>
    <row r="367" spans="1:4" x14ac:dyDescent="0.25">
      <c r="A367" t="s">
        <v>195</v>
      </c>
      <c r="B367" s="5">
        <v>39323</v>
      </c>
      <c r="C367" t="str">
        <f t="shared" si="5"/>
        <v>VRWCL005.10_39323</v>
      </c>
      <c r="D367">
        <f>COUNTIF(data.SampSummary!$C$2:$C$1407,C367)</f>
        <v>0</v>
      </c>
    </row>
    <row r="368" spans="1:4" x14ac:dyDescent="0.25">
      <c r="A368" t="s">
        <v>2847</v>
      </c>
      <c r="B368" s="5">
        <v>39322</v>
      </c>
      <c r="C368" t="str">
        <f t="shared" si="5"/>
        <v>VRVER107.53_39322</v>
      </c>
      <c r="D368">
        <f>COUNTIF(data.SampSummary!$C$2:$C$1407,C368)</f>
        <v>0</v>
      </c>
    </row>
    <row r="369" spans="1:4" x14ac:dyDescent="0.25">
      <c r="A369" t="s">
        <v>187</v>
      </c>
      <c r="B369" s="5">
        <v>39322</v>
      </c>
      <c r="C369" t="str">
        <f t="shared" si="5"/>
        <v>VRWBV002.97_39322</v>
      </c>
      <c r="D369">
        <f>COUNTIF(data.SampSummary!$C$2:$C$1407,C369)</f>
        <v>0</v>
      </c>
    </row>
    <row r="370" spans="1:4" x14ac:dyDescent="0.25">
      <c r="A370" t="s">
        <v>177</v>
      </c>
      <c r="B370" s="5">
        <v>41086</v>
      </c>
      <c r="C370" t="str">
        <f t="shared" si="5"/>
        <v>SRBLR070.45_41086</v>
      </c>
      <c r="D370">
        <f>COUNTIF(data.SampSummary!$C$2:$C$1407,C370)</f>
        <v>1</v>
      </c>
    </row>
    <row r="371" spans="1:4" x14ac:dyDescent="0.25">
      <c r="A371" t="s">
        <v>2186</v>
      </c>
      <c r="B371" s="5">
        <v>39322</v>
      </c>
      <c r="C371" t="str">
        <f t="shared" si="5"/>
        <v>VROAK002.96_39322</v>
      </c>
      <c r="D371">
        <f>COUNTIF(data.SampSummary!$C$2:$C$1407,C371)</f>
        <v>0</v>
      </c>
    </row>
    <row r="372" spans="1:4" x14ac:dyDescent="0.25">
      <c r="A372" t="s">
        <v>375</v>
      </c>
      <c r="B372" s="5">
        <v>39321</v>
      </c>
      <c r="C372" t="str">
        <f t="shared" si="5"/>
        <v>SRPNL005.12_39321</v>
      </c>
      <c r="D372">
        <f>COUNTIF(data.SampSummary!$C$2:$C$1407,C372)</f>
        <v>0</v>
      </c>
    </row>
    <row r="373" spans="1:4" x14ac:dyDescent="0.25">
      <c r="A373" t="s">
        <v>193</v>
      </c>
      <c r="B373" s="5">
        <v>39309</v>
      </c>
      <c r="C373" t="str">
        <f t="shared" si="5"/>
        <v>VRSYW001.72_39309</v>
      </c>
      <c r="D373">
        <f>COUNTIF(data.SampSummary!$C$2:$C$1407,C373)</f>
        <v>0</v>
      </c>
    </row>
    <row r="374" spans="1:4" x14ac:dyDescent="0.25">
      <c r="A374" t="s">
        <v>274</v>
      </c>
      <c r="B374" s="5">
        <v>39308</v>
      </c>
      <c r="C374" t="str">
        <f t="shared" si="5"/>
        <v>VRVER165.07_39308</v>
      </c>
      <c r="D374">
        <f>COUNTIF(data.SampSummary!$C$2:$C$1407,C374)</f>
        <v>0</v>
      </c>
    </row>
    <row r="375" spans="1:4" x14ac:dyDescent="0.25">
      <c r="A375" t="s">
        <v>230</v>
      </c>
      <c r="B375" s="5">
        <v>39308</v>
      </c>
      <c r="C375" t="str">
        <f t="shared" si="5"/>
        <v>VREVR023.59_39308</v>
      </c>
      <c r="D375">
        <f>COUNTIF(data.SampSummary!$C$2:$C$1407,C375)</f>
        <v>0</v>
      </c>
    </row>
    <row r="376" spans="1:4" x14ac:dyDescent="0.25">
      <c r="A376" t="s">
        <v>2846</v>
      </c>
      <c r="B376" s="5">
        <v>39308</v>
      </c>
      <c r="C376" t="str">
        <f t="shared" si="5"/>
        <v>VRVER139.99_39308</v>
      </c>
      <c r="D376">
        <f>COUNTIF(data.SampSummary!$C$2:$C$1407,C376)</f>
        <v>0</v>
      </c>
    </row>
    <row r="377" spans="1:4" x14ac:dyDescent="0.25">
      <c r="A377" t="s">
        <v>121</v>
      </c>
      <c r="B377" s="5">
        <v>39308</v>
      </c>
      <c r="C377" t="str">
        <f t="shared" si="5"/>
        <v>VREVR045.50_39308</v>
      </c>
      <c r="D377">
        <f>COUNTIF(data.SampSummary!$C$2:$C$1407,C377)</f>
        <v>0</v>
      </c>
    </row>
    <row r="378" spans="1:4" x14ac:dyDescent="0.25">
      <c r="A378" t="s">
        <v>228</v>
      </c>
      <c r="B378" s="5">
        <v>41066</v>
      </c>
      <c r="C378" t="str">
        <f t="shared" si="5"/>
        <v>MGHSR048.20_41066</v>
      </c>
      <c r="D378">
        <f>COUNTIF(data.SampSummary!$C$2:$C$1407,C378)</f>
        <v>1</v>
      </c>
    </row>
    <row r="379" spans="1:4" x14ac:dyDescent="0.25">
      <c r="A379" t="s">
        <v>242</v>
      </c>
      <c r="B379" s="5">
        <v>39308</v>
      </c>
      <c r="C379" t="str">
        <f t="shared" si="5"/>
        <v>VROAK031.38_39308</v>
      </c>
      <c r="D379">
        <f>COUNTIF(data.SampSummary!$C$2:$C$1407,C379)</f>
        <v>0</v>
      </c>
    </row>
    <row r="380" spans="1:4" x14ac:dyDescent="0.25">
      <c r="A380" t="s">
        <v>60</v>
      </c>
      <c r="B380" s="5">
        <v>39308</v>
      </c>
      <c r="C380" t="str">
        <f t="shared" si="5"/>
        <v>VREVR051.15_39308</v>
      </c>
      <c r="D380">
        <f>COUNTIF(data.SampSummary!$C$2:$C$1407,C380)</f>
        <v>0</v>
      </c>
    </row>
    <row r="381" spans="1:4" x14ac:dyDescent="0.25">
      <c r="A381" t="s">
        <v>190</v>
      </c>
      <c r="B381" s="5">
        <v>41052</v>
      </c>
      <c r="C381" t="str">
        <f t="shared" si="5"/>
        <v>MGAFR087.06_41052</v>
      </c>
      <c r="D381">
        <f>COUNTIF(data.SampSummary!$C$2:$C$1407,C381)</f>
        <v>1</v>
      </c>
    </row>
    <row r="382" spans="1:4" x14ac:dyDescent="0.25">
      <c r="A382" t="s">
        <v>295</v>
      </c>
      <c r="B382" s="5">
        <v>39307</v>
      </c>
      <c r="C382" t="str">
        <f t="shared" si="5"/>
        <v>VRROU002.93_39307</v>
      </c>
      <c r="D382">
        <f>COUNTIF(data.SampSummary!$C$2:$C$1407,C382)</f>
        <v>0</v>
      </c>
    </row>
    <row r="383" spans="1:4" x14ac:dyDescent="0.25">
      <c r="A383" t="s">
        <v>172</v>
      </c>
      <c r="B383" s="5">
        <v>39307</v>
      </c>
      <c r="C383" t="str">
        <f t="shared" si="5"/>
        <v>VROAK048.92_39307</v>
      </c>
      <c r="D383">
        <f>COUNTIF(data.SampSummary!$C$2:$C$1407,C383)</f>
        <v>0</v>
      </c>
    </row>
    <row r="384" spans="1:4" x14ac:dyDescent="0.25">
      <c r="A384" t="s">
        <v>267</v>
      </c>
      <c r="B384" s="5">
        <v>39307</v>
      </c>
      <c r="C384" t="str">
        <f t="shared" si="5"/>
        <v>VRSYH000.25_39307</v>
      </c>
      <c r="D384">
        <f>COUNTIF(data.SampSummary!$C$2:$C$1407,C384)</f>
        <v>0</v>
      </c>
    </row>
    <row r="385" spans="1:4" x14ac:dyDescent="0.25">
      <c r="A385" t="s">
        <v>262</v>
      </c>
      <c r="B385" s="5">
        <v>41045</v>
      </c>
      <c r="C385" t="str">
        <f t="shared" si="5"/>
        <v>UGEAG040.33_41045</v>
      </c>
      <c r="D385">
        <f>COUNTIF(data.SampSummary!$C$2:$C$1407,C385)</f>
        <v>1</v>
      </c>
    </row>
    <row r="386" spans="1:4" x14ac:dyDescent="0.25">
      <c r="A386" t="s">
        <v>39</v>
      </c>
      <c r="B386" s="5">
        <v>42003</v>
      </c>
      <c r="C386" t="str">
        <f t="shared" si="5"/>
        <v>UGFRY009.52_42003</v>
      </c>
      <c r="D386">
        <f>COUNTIF(data.SampSummary!$C$2:$C$1407,C386)</f>
        <v>0</v>
      </c>
    </row>
    <row r="387" spans="1:4" x14ac:dyDescent="0.25">
      <c r="A387" t="s">
        <v>40</v>
      </c>
      <c r="B387" s="5">
        <v>41038</v>
      </c>
      <c r="C387" t="str">
        <f t="shared" ref="C387:C450" si="6">A387&amp;"_"&amp;B387</f>
        <v>VRWEB009.13_41038</v>
      </c>
      <c r="D387">
        <f>COUNTIF(data.SampSummary!$C$2:$C$1407,C387)</f>
        <v>0</v>
      </c>
    </row>
    <row r="388" spans="1:4" x14ac:dyDescent="0.25">
      <c r="A388" t="s">
        <v>342</v>
      </c>
      <c r="B388" s="5">
        <v>39300</v>
      </c>
      <c r="C388" t="str">
        <f t="shared" si="6"/>
        <v>UGBON000.17_39300</v>
      </c>
      <c r="D388">
        <f>COUNTIF(data.SampSummary!$C$2:$C$1407,C388)</f>
        <v>0</v>
      </c>
    </row>
    <row r="389" spans="1:4" x14ac:dyDescent="0.25">
      <c r="A389" t="s">
        <v>35</v>
      </c>
      <c r="B389" s="5">
        <v>41025</v>
      </c>
      <c r="C389" t="str">
        <f t="shared" si="6"/>
        <v>UGCMB004.23_41025</v>
      </c>
      <c r="D389">
        <f>COUNTIF(data.SampSummary!$C$2:$C$1407,C389)</f>
        <v>0</v>
      </c>
    </row>
    <row r="390" spans="1:4" x14ac:dyDescent="0.25">
      <c r="A390" t="s">
        <v>100</v>
      </c>
      <c r="B390" s="5">
        <v>39295</v>
      </c>
      <c r="C390" t="str">
        <f t="shared" si="6"/>
        <v>SRBWL005.79_39295</v>
      </c>
      <c r="D390">
        <f>COUNTIF(data.SampSummary!$C$2:$C$1407,C390)</f>
        <v>0</v>
      </c>
    </row>
    <row r="391" spans="1:4" x14ac:dyDescent="0.25">
      <c r="A391" t="s">
        <v>165</v>
      </c>
      <c r="B391" s="5">
        <v>39295</v>
      </c>
      <c r="C391" t="str">
        <f t="shared" si="6"/>
        <v>SRBON001.69_39295</v>
      </c>
      <c r="D391">
        <f>COUNTIF(data.SampSummary!$C$2:$C$1407,C391)</f>
        <v>0</v>
      </c>
    </row>
    <row r="392" spans="1:4" x14ac:dyDescent="0.25">
      <c r="A392" t="s">
        <v>75</v>
      </c>
      <c r="B392" s="5">
        <v>39294</v>
      </c>
      <c r="C392" t="str">
        <f t="shared" si="6"/>
        <v>SRBEV007.28_39294</v>
      </c>
      <c r="D392">
        <f>COUNTIF(data.SampSummary!$C$2:$C$1407,C392)</f>
        <v>0</v>
      </c>
    </row>
    <row r="393" spans="1:4" x14ac:dyDescent="0.25">
      <c r="A393" t="s">
        <v>2095</v>
      </c>
      <c r="B393" s="5">
        <v>39294</v>
      </c>
      <c r="C393" t="str">
        <f t="shared" si="6"/>
        <v>SRBEV001.40_39294</v>
      </c>
      <c r="D393">
        <f>COUNTIF(data.SampSummary!$C$2:$C$1407,C393)</f>
        <v>0</v>
      </c>
    </row>
    <row r="394" spans="1:4" x14ac:dyDescent="0.25">
      <c r="A394" t="s">
        <v>365</v>
      </c>
      <c r="B394" s="5">
        <v>41015</v>
      </c>
      <c r="C394" t="str">
        <f t="shared" si="6"/>
        <v>SCSCR103.45_41015</v>
      </c>
      <c r="D394">
        <f>COUNTIF(data.SampSummary!$C$2:$C$1407,C394)</f>
        <v>1</v>
      </c>
    </row>
    <row r="395" spans="1:4" x14ac:dyDescent="0.25">
      <c r="A395" t="s">
        <v>2852</v>
      </c>
      <c r="B395" s="5">
        <v>39294</v>
      </c>
      <c r="C395" t="str">
        <f t="shared" si="6"/>
        <v>SRSNK001.33_39294</v>
      </c>
      <c r="D395">
        <f>COUNTIF(data.SampSummary!$C$2:$C$1407,C395)</f>
        <v>0</v>
      </c>
    </row>
    <row r="396" spans="1:4" x14ac:dyDescent="0.25">
      <c r="A396" t="s">
        <v>2816</v>
      </c>
      <c r="B396" s="5">
        <v>39294</v>
      </c>
      <c r="C396" t="str">
        <f t="shared" si="6"/>
        <v>LCLCR324.92_39294</v>
      </c>
      <c r="D396">
        <f>COUNTIF(data.SampSummary!$C$2:$C$1407,C396)</f>
        <v>0</v>
      </c>
    </row>
    <row r="397" spans="1:4" x14ac:dyDescent="0.25">
      <c r="A397" t="s">
        <v>2042</v>
      </c>
      <c r="B397" s="5">
        <v>41957</v>
      </c>
      <c r="C397" t="str">
        <f t="shared" si="6"/>
        <v>UGEEG001.57_41957</v>
      </c>
      <c r="D397">
        <f>COUNTIF(data.SampSummary!$C$2:$C$1407,C397)</f>
        <v>0</v>
      </c>
    </row>
    <row r="398" spans="1:4" x14ac:dyDescent="0.25">
      <c r="A398" t="s">
        <v>86</v>
      </c>
      <c r="B398" s="5">
        <v>39294</v>
      </c>
      <c r="C398" t="str">
        <f t="shared" si="6"/>
        <v>SRWFB005.34_39294</v>
      </c>
      <c r="D398">
        <f>COUNTIF(data.SampSummary!$C$2:$C$1407,C398)</f>
        <v>0</v>
      </c>
    </row>
    <row r="399" spans="1:4" x14ac:dyDescent="0.25">
      <c r="A399" t="s">
        <v>78</v>
      </c>
      <c r="B399" s="5">
        <v>39294</v>
      </c>
      <c r="C399" t="str">
        <f t="shared" si="6"/>
        <v>SRHAY000.04_39294</v>
      </c>
      <c r="D399">
        <f>COUNTIF(data.SampSummary!$C$2:$C$1407,C399)</f>
        <v>0</v>
      </c>
    </row>
    <row r="400" spans="1:4" x14ac:dyDescent="0.25">
      <c r="A400" t="s">
        <v>85</v>
      </c>
      <c r="B400" s="5">
        <v>39294</v>
      </c>
      <c r="C400" t="str">
        <f t="shared" si="6"/>
        <v>SRFIS004.49_39294</v>
      </c>
      <c r="D400">
        <f>COUNTIF(data.SampSummary!$C$2:$C$1407,C400)</f>
        <v>0</v>
      </c>
    </row>
    <row r="401" spans="1:4" x14ac:dyDescent="0.25">
      <c r="A401" t="s">
        <v>74</v>
      </c>
      <c r="B401" s="5">
        <v>39293</v>
      </c>
      <c r="C401" t="str">
        <f t="shared" si="6"/>
        <v>SRSTI000.38_39293</v>
      </c>
      <c r="D401">
        <f>COUNTIF(data.SampSummary!$C$2:$C$1407,C401)</f>
        <v>0</v>
      </c>
    </row>
    <row r="402" spans="1:4" x14ac:dyDescent="0.25">
      <c r="A402" t="s">
        <v>201</v>
      </c>
      <c r="B402" s="5">
        <v>41002</v>
      </c>
      <c r="C402" t="str">
        <f t="shared" si="6"/>
        <v>SPSPR006.75_41002</v>
      </c>
      <c r="D402">
        <f>COUNTIF(data.SampSummary!$C$2:$C$1407,C402)</f>
        <v>1</v>
      </c>
    </row>
    <row r="403" spans="1:4" x14ac:dyDescent="0.25">
      <c r="A403" t="s">
        <v>326</v>
      </c>
      <c r="B403" s="5">
        <v>39273</v>
      </c>
      <c r="C403" t="str">
        <f t="shared" si="6"/>
        <v>UGSFR006.42_39273</v>
      </c>
      <c r="D403">
        <f>COUNTIF(data.SampSummary!$C$2:$C$1407,C403)</f>
        <v>0</v>
      </c>
    </row>
    <row r="404" spans="1:4" x14ac:dyDescent="0.25">
      <c r="A404" t="s">
        <v>2840</v>
      </c>
      <c r="B404" s="5">
        <v>39273</v>
      </c>
      <c r="C404" t="str">
        <f t="shared" si="6"/>
        <v>UGEAG011.51_39273</v>
      </c>
      <c r="D404">
        <f>COUNTIF(data.SampSummary!$C$2:$C$1407,C404)</f>
        <v>0</v>
      </c>
    </row>
    <row r="405" spans="1:4" x14ac:dyDescent="0.25">
      <c r="A405" t="s">
        <v>328</v>
      </c>
      <c r="B405" s="5">
        <v>39989</v>
      </c>
      <c r="C405" t="str">
        <f t="shared" si="6"/>
        <v>UGSFR019.04_39989</v>
      </c>
      <c r="D405">
        <f>COUNTIF(data.SampSummary!$C$2:$C$1407,C405)</f>
        <v>0</v>
      </c>
    </row>
    <row r="406" spans="1:4" x14ac:dyDescent="0.25">
      <c r="A406" t="s">
        <v>2853</v>
      </c>
      <c r="B406" s="5">
        <v>40974</v>
      </c>
      <c r="C406" t="str">
        <f t="shared" si="6"/>
        <v>VREVR046.18_40974</v>
      </c>
      <c r="D406">
        <f>COUNTIF(data.SampSummary!$C$2:$C$1407,C406)</f>
        <v>0</v>
      </c>
    </row>
    <row r="407" spans="1:4" x14ac:dyDescent="0.25">
      <c r="A407" t="s">
        <v>326</v>
      </c>
      <c r="B407" s="5">
        <v>39988</v>
      </c>
      <c r="C407" t="str">
        <f t="shared" si="6"/>
        <v>UGSFR006.42_39988</v>
      </c>
      <c r="D407">
        <f>COUNTIF(data.SampSummary!$C$2:$C$1407,C407)</f>
        <v>0</v>
      </c>
    </row>
    <row r="408" spans="1:4" x14ac:dyDescent="0.25">
      <c r="A408" t="s">
        <v>28</v>
      </c>
      <c r="B408" s="5">
        <v>39981</v>
      </c>
      <c r="C408" t="str">
        <f t="shared" si="6"/>
        <v>UGBLR030.24_39981</v>
      </c>
      <c r="D408">
        <f>COUNTIF(data.SampSummary!$C$2:$C$1407,C408)</f>
        <v>1</v>
      </c>
    </row>
    <row r="409" spans="1:4" x14ac:dyDescent="0.25">
      <c r="A409" t="s">
        <v>79</v>
      </c>
      <c r="B409" s="5">
        <v>39980</v>
      </c>
      <c r="C409" t="str">
        <f t="shared" si="6"/>
        <v>UGETK011.80_39980</v>
      </c>
      <c r="D409">
        <f>COUNTIF(data.SampSummary!$C$2:$C$1407,C409)</f>
        <v>1</v>
      </c>
    </row>
    <row r="410" spans="1:4" x14ac:dyDescent="0.25">
      <c r="A410" t="s">
        <v>2854</v>
      </c>
      <c r="B410" s="5">
        <v>41893</v>
      </c>
      <c r="C410" t="str">
        <f t="shared" si="6"/>
        <v>SPMLC012.68_41893</v>
      </c>
      <c r="D410">
        <f>COUNTIF(data.SampSummary!$C$2:$C$1407,C410)</f>
        <v>0</v>
      </c>
    </row>
    <row r="411" spans="1:4" x14ac:dyDescent="0.25">
      <c r="A411" t="s">
        <v>190</v>
      </c>
      <c r="B411" s="5">
        <v>40953</v>
      </c>
      <c r="C411" t="str">
        <f t="shared" si="6"/>
        <v>MGAFR087.06_40953</v>
      </c>
      <c r="D411">
        <f>COUNTIF(data.SampSummary!$C$2:$C$1407,C411)</f>
        <v>0</v>
      </c>
    </row>
    <row r="412" spans="1:4" x14ac:dyDescent="0.25">
      <c r="A412" t="s">
        <v>140</v>
      </c>
      <c r="B412" s="5">
        <v>39979</v>
      </c>
      <c r="C412" t="str">
        <f t="shared" si="6"/>
        <v>UGEAG056.85_39979</v>
      </c>
      <c r="D412">
        <f>COUNTIF(data.SampSummary!$C$2:$C$1407,C412)</f>
        <v>1</v>
      </c>
    </row>
    <row r="413" spans="1:4" x14ac:dyDescent="0.25">
      <c r="A413" t="s">
        <v>362</v>
      </c>
      <c r="B413" s="5">
        <v>39974</v>
      </c>
      <c r="C413" t="str">
        <f t="shared" si="6"/>
        <v>SCSCR034.56_39974</v>
      </c>
      <c r="D413">
        <f>COUNTIF(data.SampSummary!$C$2:$C$1407,C413)</f>
        <v>1</v>
      </c>
    </row>
    <row r="414" spans="1:4" x14ac:dyDescent="0.25">
      <c r="A414" t="s">
        <v>204</v>
      </c>
      <c r="B414" s="5">
        <v>40946</v>
      </c>
      <c r="C414" t="str">
        <f t="shared" si="6"/>
        <v>SPBAS001.64_40946</v>
      </c>
      <c r="D414">
        <f>COUNTIF(data.SampSummary!$C$2:$C$1407,C414)</f>
        <v>0</v>
      </c>
    </row>
    <row r="415" spans="1:4" x14ac:dyDescent="0.25">
      <c r="A415" t="s">
        <v>228</v>
      </c>
      <c r="B415" s="5">
        <v>39968</v>
      </c>
      <c r="C415" t="str">
        <f t="shared" si="6"/>
        <v>MGHSR048.20_39968</v>
      </c>
      <c r="D415">
        <f>COUNTIF(data.SampSummary!$C$2:$C$1407,C415)</f>
        <v>1</v>
      </c>
    </row>
    <row r="416" spans="1:4" x14ac:dyDescent="0.25">
      <c r="A416" t="s">
        <v>183</v>
      </c>
      <c r="B416" s="5">
        <v>39961</v>
      </c>
      <c r="C416" t="str">
        <f t="shared" si="6"/>
        <v>SPSPR126.35_39961</v>
      </c>
      <c r="D416">
        <f>COUNTIF(data.SampSummary!$C$2:$C$1407,C416)</f>
        <v>1</v>
      </c>
    </row>
    <row r="417" spans="1:4" x14ac:dyDescent="0.25">
      <c r="A417" t="s">
        <v>275</v>
      </c>
      <c r="B417" s="5">
        <v>40928</v>
      </c>
      <c r="C417" t="str">
        <f t="shared" si="6"/>
        <v>MGLAS004.52_40928</v>
      </c>
      <c r="D417">
        <f>COUNTIF(data.SampSummary!$C$2:$C$1407,C417)</f>
        <v>0</v>
      </c>
    </row>
    <row r="418" spans="1:4" x14ac:dyDescent="0.25">
      <c r="A418" t="s">
        <v>104</v>
      </c>
      <c r="B418" s="5">
        <v>39952</v>
      </c>
      <c r="C418" t="str">
        <f t="shared" si="6"/>
        <v>LCWLR000.92_39952</v>
      </c>
      <c r="D418">
        <f>COUNTIF(data.SampSummary!$C$2:$C$1407,C418)</f>
        <v>0</v>
      </c>
    </row>
    <row r="419" spans="1:4" x14ac:dyDescent="0.25">
      <c r="A419" t="s">
        <v>87</v>
      </c>
      <c r="B419" s="5">
        <v>39952</v>
      </c>
      <c r="C419" t="str">
        <f t="shared" si="6"/>
        <v>LCLVL001.32_39952</v>
      </c>
      <c r="D419">
        <f>COUNTIF(data.SampSummary!$C$2:$C$1407,C419)</f>
        <v>0</v>
      </c>
    </row>
    <row r="420" spans="1:4" x14ac:dyDescent="0.25">
      <c r="A420" t="s">
        <v>2855</v>
      </c>
      <c r="B420" s="5">
        <v>39951</v>
      </c>
      <c r="C420" t="str">
        <f t="shared" si="6"/>
        <v>LCLCR317.67_39951</v>
      </c>
      <c r="D420">
        <f>COUNTIF(data.SampSummary!$C$2:$C$1407,C420)</f>
        <v>0</v>
      </c>
    </row>
    <row r="421" spans="1:4" x14ac:dyDescent="0.25">
      <c r="A421" t="s">
        <v>79</v>
      </c>
      <c r="B421" s="5">
        <v>40925</v>
      </c>
      <c r="C421" t="str">
        <f t="shared" si="6"/>
        <v>UGETK011.80_40925</v>
      </c>
      <c r="D421">
        <f>COUNTIF(data.SampSummary!$C$2:$C$1407,C421)</f>
        <v>0</v>
      </c>
    </row>
    <row r="422" spans="1:4" x14ac:dyDescent="0.25">
      <c r="A422" t="s">
        <v>231</v>
      </c>
      <c r="B422" s="5">
        <v>39947</v>
      </c>
      <c r="C422" t="str">
        <f t="shared" si="6"/>
        <v>SPARA026.35_39947</v>
      </c>
      <c r="D422">
        <f>COUNTIF(data.SampSummary!$C$2:$C$1407,C422)</f>
        <v>1</v>
      </c>
    </row>
    <row r="423" spans="1:4" x14ac:dyDescent="0.25">
      <c r="A423" t="s">
        <v>166</v>
      </c>
      <c r="B423" s="5">
        <v>39681</v>
      </c>
      <c r="C423" t="str">
        <f t="shared" si="6"/>
        <v>SPMLC013.56_39681</v>
      </c>
      <c r="D423">
        <f>COUNTIF(data.SampSummary!$C$2:$C$1407,C423)</f>
        <v>0</v>
      </c>
    </row>
    <row r="424" spans="1:4" x14ac:dyDescent="0.25">
      <c r="A424" t="s">
        <v>168</v>
      </c>
      <c r="B424" s="5">
        <v>39946</v>
      </c>
      <c r="C424" t="str">
        <f t="shared" si="6"/>
        <v>VRELL009.02_39946</v>
      </c>
      <c r="D424">
        <f>COUNTIF(data.SampSummary!$C$2:$C$1407,C424)</f>
        <v>0</v>
      </c>
    </row>
    <row r="425" spans="1:4" x14ac:dyDescent="0.25">
      <c r="A425" t="s">
        <v>326</v>
      </c>
      <c r="B425" s="5">
        <v>41884</v>
      </c>
      <c r="C425" t="str">
        <f t="shared" si="6"/>
        <v>UGSFR006.42_41884</v>
      </c>
      <c r="D425">
        <f>COUNTIF(data.SampSummary!$C$2:$C$1407,C425)</f>
        <v>0</v>
      </c>
    </row>
    <row r="426" spans="1:4" x14ac:dyDescent="0.25">
      <c r="A426" t="s">
        <v>40</v>
      </c>
      <c r="B426" s="5">
        <v>39945</v>
      </c>
      <c r="C426" t="str">
        <f t="shared" si="6"/>
        <v>VRWEB009.13_39945</v>
      </c>
      <c r="D426">
        <f>COUNTIF(data.SampSummary!$C$2:$C$1407,C426)</f>
        <v>0</v>
      </c>
    </row>
    <row r="427" spans="1:4" x14ac:dyDescent="0.25">
      <c r="A427" t="s">
        <v>2856</v>
      </c>
      <c r="B427" s="5">
        <v>39945</v>
      </c>
      <c r="C427" t="str">
        <f t="shared" si="6"/>
        <v>VRMAI000.78_39945</v>
      </c>
      <c r="D427">
        <f>COUNTIF(data.SampSummary!$C$2:$C$1407,C427)</f>
        <v>0</v>
      </c>
    </row>
    <row r="428" spans="1:4" x14ac:dyDescent="0.25">
      <c r="A428" t="s">
        <v>290</v>
      </c>
      <c r="B428" s="5">
        <v>40883</v>
      </c>
      <c r="C428" t="str">
        <f t="shared" si="6"/>
        <v>SPHSC010.67_40883</v>
      </c>
      <c r="D428">
        <f>COUNTIF(data.SampSummary!$C$2:$C$1407,C428)</f>
        <v>0</v>
      </c>
    </row>
    <row r="429" spans="1:4" x14ac:dyDescent="0.25">
      <c r="A429" t="s">
        <v>60</v>
      </c>
      <c r="B429" s="5">
        <v>39945</v>
      </c>
      <c r="C429" t="str">
        <f t="shared" si="6"/>
        <v>VREVR051.15_39945</v>
      </c>
      <c r="D429">
        <f>COUNTIF(data.SampSummary!$C$2:$C$1407,C429)</f>
        <v>0</v>
      </c>
    </row>
    <row r="430" spans="1:4" x14ac:dyDescent="0.25">
      <c r="A430" t="s">
        <v>357</v>
      </c>
      <c r="B430" s="5">
        <v>39945</v>
      </c>
      <c r="C430" t="str">
        <f t="shared" si="6"/>
        <v>UGSFR034.57_39945</v>
      </c>
      <c r="D430">
        <f>COUNTIF(data.SampSummary!$C$2:$C$1407,C430)</f>
        <v>1</v>
      </c>
    </row>
    <row r="431" spans="1:4" x14ac:dyDescent="0.25">
      <c r="A431" t="s">
        <v>328</v>
      </c>
      <c r="B431" s="5">
        <v>39945</v>
      </c>
      <c r="C431" t="str">
        <f t="shared" si="6"/>
        <v>UGSFR019.04_39945</v>
      </c>
      <c r="D431">
        <f>COUNTIF(data.SampSummary!$C$2:$C$1407,C431)</f>
        <v>1</v>
      </c>
    </row>
    <row r="432" spans="1:4" x14ac:dyDescent="0.25">
      <c r="A432" t="s">
        <v>26</v>
      </c>
      <c r="B432" s="5">
        <v>39944</v>
      </c>
      <c r="C432" t="str">
        <f t="shared" si="6"/>
        <v>VRPIE016.49_39944</v>
      </c>
      <c r="D432">
        <f>COUNTIF(data.SampSummary!$C$2:$C$1407,C432)</f>
        <v>0</v>
      </c>
    </row>
    <row r="433" spans="1:4" x14ac:dyDescent="0.25">
      <c r="A433" t="s">
        <v>290</v>
      </c>
      <c r="B433" s="5">
        <v>39944</v>
      </c>
      <c r="C433" t="str">
        <f t="shared" si="6"/>
        <v>SPHSC010.67_39944</v>
      </c>
      <c r="D433">
        <f>COUNTIF(data.SampSummary!$C$2:$C$1407,C433)</f>
        <v>2</v>
      </c>
    </row>
    <row r="434" spans="1:4" x14ac:dyDescent="0.25">
      <c r="A434" t="s">
        <v>154</v>
      </c>
      <c r="B434" s="5">
        <v>39933</v>
      </c>
      <c r="C434" t="str">
        <f t="shared" si="6"/>
        <v>SPGDN007.55_39933</v>
      </c>
      <c r="D434">
        <f>COUNTIF(data.SampSummary!$C$2:$C$1407,C434)</f>
        <v>1</v>
      </c>
    </row>
    <row r="435" spans="1:4" x14ac:dyDescent="0.25">
      <c r="A435" t="s">
        <v>344</v>
      </c>
      <c r="B435" s="5">
        <v>39932</v>
      </c>
      <c r="C435" t="str">
        <f t="shared" si="6"/>
        <v>UGSFR006.08_39932</v>
      </c>
      <c r="D435">
        <f>COUNTIF(data.SampSummary!$C$2:$C$1407,C435)</f>
        <v>1</v>
      </c>
    </row>
    <row r="436" spans="1:4" x14ac:dyDescent="0.25">
      <c r="A436" t="s">
        <v>339</v>
      </c>
      <c r="B436" s="5">
        <v>39932</v>
      </c>
      <c r="C436" t="str">
        <f t="shared" si="6"/>
        <v>UGEAG015.23_39932</v>
      </c>
      <c r="D436">
        <f>COUNTIF(data.SampSummary!$C$2:$C$1407,C436)</f>
        <v>1</v>
      </c>
    </row>
    <row r="437" spans="1:4" x14ac:dyDescent="0.25">
      <c r="A437" t="s">
        <v>52</v>
      </c>
      <c r="B437" s="5">
        <v>40856</v>
      </c>
      <c r="C437" t="str">
        <f t="shared" si="6"/>
        <v>UGCAV016.84_40856</v>
      </c>
      <c r="D437">
        <f>COUNTIF(data.SampSummary!$C$2:$C$1407,C437)</f>
        <v>0</v>
      </c>
    </row>
    <row r="438" spans="1:4" x14ac:dyDescent="0.25">
      <c r="A438" t="s">
        <v>208</v>
      </c>
      <c r="B438" s="5">
        <v>39930</v>
      </c>
      <c r="C438" t="str">
        <f t="shared" si="6"/>
        <v>SCSON014.52_39930</v>
      </c>
      <c r="D438">
        <f>COUNTIF(data.SampSummary!$C$2:$C$1407,C438)</f>
        <v>1</v>
      </c>
    </row>
    <row r="439" spans="1:4" x14ac:dyDescent="0.25">
      <c r="A439" t="s">
        <v>1817</v>
      </c>
      <c r="B439" s="5">
        <v>39926</v>
      </c>
      <c r="C439" t="str">
        <f t="shared" si="6"/>
        <v>MGCVE037.68_39926</v>
      </c>
      <c r="D439">
        <f>COUNTIF(data.SampSummary!$C$2:$C$1407,C439)</f>
        <v>1</v>
      </c>
    </row>
    <row r="440" spans="1:4" x14ac:dyDescent="0.25">
      <c r="A440" t="s">
        <v>221</v>
      </c>
      <c r="B440" s="5">
        <v>39924</v>
      </c>
      <c r="C440" t="str">
        <f t="shared" si="6"/>
        <v>MGSYD009.51_39924</v>
      </c>
      <c r="D440">
        <f>COUNTIF(data.SampSummary!$C$2:$C$1407,C440)</f>
        <v>2</v>
      </c>
    </row>
    <row r="441" spans="1:4" x14ac:dyDescent="0.25">
      <c r="A441" t="s">
        <v>226</v>
      </c>
      <c r="B441" s="5">
        <v>39924</v>
      </c>
      <c r="C441" t="str">
        <f t="shared" si="6"/>
        <v>MGSYD009.13_39924</v>
      </c>
      <c r="D441">
        <f>COUNTIF(data.SampSummary!$C$2:$C$1407,C441)</f>
        <v>0</v>
      </c>
    </row>
    <row r="442" spans="1:4" x14ac:dyDescent="0.25">
      <c r="A442" t="s">
        <v>57</v>
      </c>
      <c r="B442" s="5">
        <v>40843</v>
      </c>
      <c r="C442" t="str">
        <f t="shared" si="6"/>
        <v>SREFB008.27_40843</v>
      </c>
      <c r="D442">
        <f>COUNTIF(data.SampSummary!$C$2:$C$1407,C442)</f>
        <v>0</v>
      </c>
    </row>
    <row r="443" spans="1:4" x14ac:dyDescent="0.25">
      <c r="A443" t="s">
        <v>203</v>
      </c>
      <c r="B443" s="5">
        <v>39911</v>
      </c>
      <c r="C443" t="str">
        <f t="shared" si="6"/>
        <v>MGLSY000.42_39911</v>
      </c>
      <c r="D443">
        <f>COUNTIF(data.SampSummary!$C$2:$C$1407,C443)</f>
        <v>1</v>
      </c>
    </row>
    <row r="444" spans="1:4" x14ac:dyDescent="0.25">
      <c r="A444" t="s">
        <v>150</v>
      </c>
      <c r="B444" s="5">
        <v>39910</v>
      </c>
      <c r="C444" t="str">
        <f t="shared" si="6"/>
        <v>MGHSR110.58_39910</v>
      </c>
      <c r="D444">
        <f>COUNTIF(data.SampSummary!$C$2:$C$1407,C444)</f>
        <v>1</v>
      </c>
    </row>
    <row r="445" spans="1:4" x14ac:dyDescent="0.25">
      <c r="A445" t="s">
        <v>211</v>
      </c>
      <c r="B445" s="5">
        <v>39909</v>
      </c>
      <c r="C445" t="str">
        <f t="shared" si="6"/>
        <v>MGAFR110.01_39909</v>
      </c>
      <c r="D445">
        <f>COUNTIF(data.SampSummary!$C$2:$C$1407,C445)</f>
        <v>1</v>
      </c>
    </row>
    <row r="446" spans="1:4" x14ac:dyDescent="0.25">
      <c r="A446" t="s">
        <v>104</v>
      </c>
      <c r="B446" s="5">
        <v>40841</v>
      </c>
      <c r="C446" t="str">
        <f t="shared" si="6"/>
        <v>LCWLR000.92_40841</v>
      </c>
      <c r="D446">
        <f>COUNTIF(data.SampSummary!$C$2:$C$1407,C446)</f>
        <v>0</v>
      </c>
    </row>
    <row r="447" spans="1:4" x14ac:dyDescent="0.25">
      <c r="A447" t="s">
        <v>176</v>
      </c>
      <c r="B447" s="5">
        <v>39904</v>
      </c>
      <c r="C447" t="str">
        <f t="shared" si="6"/>
        <v>UGBLR036.37_39904</v>
      </c>
      <c r="D447">
        <f>COUNTIF(data.SampSummary!$C$2:$C$1407,C447)</f>
        <v>0</v>
      </c>
    </row>
    <row r="448" spans="1:4" x14ac:dyDescent="0.25">
      <c r="A448" t="s">
        <v>28</v>
      </c>
      <c r="B448" s="5">
        <v>39904</v>
      </c>
      <c r="C448" t="str">
        <f t="shared" si="6"/>
        <v>UGBLR030.24_39904</v>
      </c>
      <c r="D448">
        <f>COUNTIF(data.SampSummary!$C$2:$C$1407,C448)</f>
        <v>0</v>
      </c>
    </row>
    <row r="449" spans="1:4" x14ac:dyDescent="0.25">
      <c r="A449" t="s">
        <v>231</v>
      </c>
      <c r="B449" s="5">
        <v>39898</v>
      </c>
      <c r="C449" t="str">
        <f t="shared" si="6"/>
        <v>SPARA026.35_39898</v>
      </c>
      <c r="D449">
        <f>COUNTIF(data.SampSummary!$C$2:$C$1407,C449)</f>
        <v>0</v>
      </c>
    </row>
    <row r="450" spans="1:4" x14ac:dyDescent="0.25">
      <c r="A450" t="s">
        <v>328</v>
      </c>
      <c r="B450" s="5">
        <v>39897</v>
      </c>
      <c r="C450" t="str">
        <f t="shared" si="6"/>
        <v>UGSFR019.04_39897</v>
      </c>
      <c r="D450">
        <f>COUNTIF(data.SampSummary!$C$2:$C$1407,C450)</f>
        <v>0</v>
      </c>
    </row>
    <row r="451" spans="1:4" x14ac:dyDescent="0.25">
      <c r="A451" t="s">
        <v>357</v>
      </c>
      <c r="B451" s="5">
        <v>39897</v>
      </c>
      <c r="C451" t="str">
        <f t="shared" ref="C451:C514" si="7">A451&amp;"_"&amp;B451</f>
        <v>UGSFR034.57_39897</v>
      </c>
      <c r="D451">
        <f>COUNTIF(data.SampSummary!$C$2:$C$1407,C451)</f>
        <v>0</v>
      </c>
    </row>
    <row r="452" spans="1:4" x14ac:dyDescent="0.25">
      <c r="A452" t="s">
        <v>290</v>
      </c>
      <c r="B452" s="5">
        <v>39896</v>
      </c>
      <c r="C452" t="str">
        <f t="shared" si="7"/>
        <v>SPHSC010.67_39896</v>
      </c>
      <c r="D452">
        <f>COUNTIF(data.SampSummary!$C$2:$C$1407,C452)</f>
        <v>0</v>
      </c>
    </row>
    <row r="453" spans="1:4" x14ac:dyDescent="0.25">
      <c r="A453" t="s">
        <v>355</v>
      </c>
      <c r="B453" s="5">
        <v>42500</v>
      </c>
      <c r="C453" t="str">
        <f t="shared" si="7"/>
        <v>VRSPN002.92_42500</v>
      </c>
      <c r="D453">
        <f>COUNTIF(data.SampSummary!$C$2:$C$1407,C453)</f>
        <v>1</v>
      </c>
    </row>
    <row r="454" spans="1:4" x14ac:dyDescent="0.25">
      <c r="A454" t="s">
        <v>333</v>
      </c>
      <c r="B454" s="5">
        <v>39890</v>
      </c>
      <c r="C454" t="str">
        <f t="shared" si="7"/>
        <v>UGEAG011.09_39890</v>
      </c>
      <c r="D454">
        <f>COUNTIF(data.SampSummary!$C$2:$C$1407,C454)</f>
        <v>0</v>
      </c>
    </row>
    <row r="455" spans="1:4" x14ac:dyDescent="0.25">
      <c r="A455" t="s">
        <v>39</v>
      </c>
      <c r="B455" s="5">
        <v>39888</v>
      </c>
      <c r="C455" t="str">
        <f t="shared" si="7"/>
        <v>UGFRY009.52_39888</v>
      </c>
      <c r="D455">
        <f>COUNTIF(data.SampSummary!$C$2:$C$1407,C455)</f>
        <v>0</v>
      </c>
    </row>
    <row r="456" spans="1:4" x14ac:dyDescent="0.25">
      <c r="A456" t="s">
        <v>57</v>
      </c>
      <c r="B456" s="5">
        <v>40772</v>
      </c>
      <c r="C456" t="str">
        <f t="shared" si="7"/>
        <v>SREFB008.27_40772</v>
      </c>
      <c r="D456">
        <f>COUNTIF(data.SampSummary!$C$2:$C$1407,C456)</f>
        <v>0</v>
      </c>
    </row>
    <row r="457" spans="1:4" x14ac:dyDescent="0.25">
      <c r="A457" t="s">
        <v>1387</v>
      </c>
      <c r="B457" s="5">
        <v>39884</v>
      </c>
      <c r="C457" t="str">
        <f t="shared" si="7"/>
        <v>SRFSH006.38_39884</v>
      </c>
      <c r="D457">
        <f>COUNTIF(data.SampSummary!$C$2:$C$1407,C457)</f>
        <v>1</v>
      </c>
    </row>
    <row r="458" spans="1:4" x14ac:dyDescent="0.25">
      <c r="A458" t="s">
        <v>79</v>
      </c>
      <c r="B458" s="5">
        <v>39883</v>
      </c>
      <c r="C458" t="str">
        <f t="shared" si="7"/>
        <v>UGETK011.80_39883</v>
      </c>
      <c r="D458">
        <f>COUNTIF(data.SampSummary!$C$2:$C$1407,C458)</f>
        <v>0</v>
      </c>
    </row>
    <row r="459" spans="1:4" x14ac:dyDescent="0.25">
      <c r="A459" t="s">
        <v>52</v>
      </c>
      <c r="B459" s="5">
        <v>39883</v>
      </c>
      <c r="C459" t="str">
        <f t="shared" si="7"/>
        <v>UGCAV016.84_39883</v>
      </c>
      <c r="D459">
        <f>COUNTIF(data.SampSummary!$C$2:$C$1407,C459)</f>
        <v>0</v>
      </c>
    </row>
    <row r="460" spans="1:4" x14ac:dyDescent="0.25">
      <c r="A460" t="s">
        <v>1630</v>
      </c>
      <c r="B460" s="5">
        <v>39882</v>
      </c>
      <c r="C460" t="str">
        <f t="shared" si="7"/>
        <v>SPWRC000.09_39882</v>
      </c>
      <c r="D460">
        <f>COUNTIF(data.SampSummary!$C$2:$C$1407,C460)</f>
        <v>0</v>
      </c>
    </row>
    <row r="461" spans="1:4" x14ac:dyDescent="0.25">
      <c r="A461" t="s">
        <v>208</v>
      </c>
      <c r="B461" s="5">
        <v>39876</v>
      </c>
      <c r="C461" t="str">
        <f t="shared" si="7"/>
        <v>SCSON014.52_39876</v>
      </c>
      <c r="D461">
        <f>COUNTIF(data.SampSummary!$C$2:$C$1407,C461)</f>
        <v>0</v>
      </c>
    </row>
    <row r="462" spans="1:4" x14ac:dyDescent="0.25">
      <c r="A462" t="s">
        <v>154</v>
      </c>
      <c r="B462" s="5">
        <v>39876</v>
      </c>
      <c r="C462" t="str">
        <f t="shared" si="7"/>
        <v>SPGDN007.55_39876</v>
      </c>
      <c r="D462">
        <f>COUNTIF(data.SampSummary!$C$2:$C$1407,C462)</f>
        <v>0</v>
      </c>
    </row>
    <row r="463" spans="1:4" x14ac:dyDescent="0.25">
      <c r="A463" t="s">
        <v>149</v>
      </c>
      <c r="B463" s="5">
        <v>39876</v>
      </c>
      <c r="C463" t="str">
        <f t="shared" si="7"/>
        <v>SPRMC011.11_39876</v>
      </c>
      <c r="D463">
        <f>COUNTIF(data.SampSummary!$C$2:$C$1407,C463)</f>
        <v>0</v>
      </c>
    </row>
    <row r="464" spans="1:4" x14ac:dyDescent="0.25">
      <c r="A464" t="s">
        <v>2811</v>
      </c>
      <c r="B464" s="5">
        <v>39875</v>
      </c>
      <c r="C464" t="str">
        <f t="shared" si="7"/>
        <v>LCLCR216.67_39875</v>
      </c>
      <c r="D464">
        <f>COUNTIF(data.SampSummary!$C$2:$C$1407,C464)</f>
        <v>0</v>
      </c>
    </row>
    <row r="465" spans="1:4" x14ac:dyDescent="0.25">
      <c r="A465" t="s">
        <v>362</v>
      </c>
      <c r="B465" s="5">
        <v>39854</v>
      </c>
      <c r="C465" t="str">
        <f t="shared" si="7"/>
        <v>SCSCR034.56_39854</v>
      </c>
      <c r="D465">
        <f>COUNTIF(data.SampSummary!$C$2:$C$1407,C465)</f>
        <v>0</v>
      </c>
    </row>
    <row r="466" spans="1:4" x14ac:dyDescent="0.25">
      <c r="A466" t="s">
        <v>275</v>
      </c>
      <c r="B466" s="5">
        <v>39849</v>
      </c>
      <c r="C466" t="str">
        <f t="shared" si="7"/>
        <v>MGLAS004.52_39849</v>
      </c>
      <c r="D466">
        <f>COUNTIF(data.SampSummary!$C$2:$C$1407,C466)</f>
        <v>0</v>
      </c>
    </row>
    <row r="467" spans="1:4" x14ac:dyDescent="0.25">
      <c r="A467" t="s">
        <v>203</v>
      </c>
      <c r="B467" s="5">
        <v>39849</v>
      </c>
      <c r="C467" t="str">
        <f t="shared" si="7"/>
        <v>MGLSY000.42_39849</v>
      </c>
      <c r="D467">
        <f>COUNTIF(data.SampSummary!$C$2:$C$1407,C467)</f>
        <v>0</v>
      </c>
    </row>
    <row r="468" spans="1:4" x14ac:dyDescent="0.25">
      <c r="A468" t="s">
        <v>228</v>
      </c>
      <c r="B468" s="5">
        <v>39848</v>
      </c>
      <c r="C468" t="str">
        <f t="shared" si="7"/>
        <v>MGHSR048.20_39848</v>
      </c>
      <c r="D468">
        <f>COUNTIF(data.SampSummary!$C$2:$C$1407,C468)</f>
        <v>0</v>
      </c>
    </row>
    <row r="469" spans="1:4" x14ac:dyDescent="0.25">
      <c r="A469" t="s">
        <v>150</v>
      </c>
      <c r="B469" s="5">
        <v>39848</v>
      </c>
      <c r="C469" t="str">
        <f t="shared" si="7"/>
        <v>MGHSR110.58_39848</v>
      </c>
      <c r="D469">
        <f>COUNTIF(data.SampSummary!$C$2:$C$1407,C469)</f>
        <v>0</v>
      </c>
    </row>
    <row r="470" spans="1:4" x14ac:dyDescent="0.25">
      <c r="A470" t="s">
        <v>273</v>
      </c>
      <c r="B470" s="5">
        <v>39848</v>
      </c>
      <c r="C470" t="str">
        <f t="shared" si="7"/>
        <v>MGHSR058.80_39848</v>
      </c>
      <c r="D470">
        <f>COUNTIF(data.SampSummary!$C$2:$C$1407,C470)</f>
        <v>0</v>
      </c>
    </row>
    <row r="471" spans="1:4" x14ac:dyDescent="0.25">
      <c r="A471" t="s">
        <v>190</v>
      </c>
      <c r="B471" s="5">
        <v>39847</v>
      </c>
      <c r="C471" t="str">
        <f t="shared" si="7"/>
        <v>MGAFR087.06_39847</v>
      </c>
      <c r="D471">
        <f>COUNTIF(data.SampSummary!$C$2:$C$1407,C471)</f>
        <v>0</v>
      </c>
    </row>
    <row r="472" spans="1:4" x14ac:dyDescent="0.25">
      <c r="A472" t="s">
        <v>126</v>
      </c>
      <c r="B472" s="5">
        <v>41162</v>
      </c>
      <c r="C472" t="str">
        <f t="shared" si="7"/>
        <v>VRELL000.18_41162</v>
      </c>
      <c r="D472">
        <f>COUNTIF(data.SampSummary!$C$2:$C$1407,C472)</f>
        <v>0</v>
      </c>
    </row>
    <row r="473" spans="1:4" x14ac:dyDescent="0.25">
      <c r="A473" t="s">
        <v>211</v>
      </c>
      <c r="B473" s="5">
        <v>39847</v>
      </c>
      <c r="C473" t="str">
        <f t="shared" si="7"/>
        <v>MGAFR110.01_39847</v>
      </c>
      <c r="D473">
        <f>COUNTIF(data.SampSummary!$C$2:$C$1407,C473)</f>
        <v>0</v>
      </c>
    </row>
    <row r="474" spans="1:4" x14ac:dyDescent="0.25">
      <c r="A474" t="s">
        <v>2830</v>
      </c>
      <c r="B474" s="5">
        <v>39842</v>
      </c>
      <c r="C474" t="str">
        <f t="shared" si="7"/>
        <v>LCLCR200.23_39842</v>
      </c>
      <c r="D474">
        <f>COUNTIF(data.SampSummary!$C$2:$C$1407,C474)</f>
        <v>0</v>
      </c>
    </row>
    <row r="475" spans="1:4" x14ac:dyDescent="0.25">
      <c r="A475" t="s">
        <v>315</v>
      </c>
      <c r="B475" s="5">
        <v>41172</v>
      </c>
      <c r="C475" t="str">
        <f t="shared" si="7"/>
        <v>BWBRO029.91_41172</v>
      </c>
      <c r="D475">
        <f>COUNTIF(data.SampSummary!$C$2:$C$1407,C475)</f>
        <v>0</v>
      </c>
    </row>
    <row r="476" spans="1:4" x14ac:dyDescent="0.25">
      <c r="A476" t="s">
        <v>274</v>
      </c>
      <c r="B476" s="5">
        <v>41148</v>
      </c>
      <c r="C476" t="str">
        <f t="shared" si="7"/>
        <v>VRVER165.07_41148</v>
      </c>
      <c r="D476">
        <f>COUNTIF(data.SampSummary!$C$2:$C$1407,C476)</f>
        <v>0</v>
      </c>
    </row>
    <row r="477" spans="1:4" x14ac:dyDescent="0.25">
      <c r="A477" t="s">
        <v>2811</v>
      </c>
      <c r="B477" s="5">
        <v>39841</v>
      </c>
      <c r="C477" t="str">
        <f t="shared" si="7"/>
        <v>LCLCR216.67_39841</v>
      </c>
      <c r="D477">
        <f>COUNTIF(data.SampSummary!$C$2:$C$1407,C477)</f>
        <v>0</v>
      </c>
    </row>
    <row r="478" spans="1:4" x14ac:dyDescent="0.25">
      <c r="A478" t="s">
        <v>2857</v>
      </c>
      <c r="B478" s="5">
        <v>39826</v>
      </c>
      <c r="C478" t="str">
        <f t="shared" si="7"/>
        <v>MGHSR000.77_39826</v>
      </c>
      <c r="D478">
        <f>COUNTIF(data.SampSummary!$C$2:$C$1407,C478)</f>
        <v>0</v>
      </c>
    </row>
    <row r="479" spans="1:4" x14ac:dyDescent="0.25">
      <c r="A479" t="s">
        <v>2824</v>
      </c>
      <c r="B479" s="5">
        <v>39825</v>
      </c>
      <c r="C479" t="str">
        <f t="shared" si="7"/>
        <v>SCSCR099.40_39825</v>
      </c>
      <c r="D479">
        <f>COUNTIF(data.SampSummary!$C$2:$C$1407,C479)</f>
        <v>0</v>
      </c>
    </row>
    <row r="480" spans="1:4" x14ac:dyDescent="0.25">
      <c r="A480" t="s">
        <v>260</v>
      </c>
      <c r="B480" s="5">
        <v>41149</v>
      </c>
      <c r="C480" t="str">
        <f t="shared" si="7"/>
        <v>VROAK034.02_41149</v>
      </c>
      <c r="D480">
        <f>COUNTIF(data.SampSummary!$C$2:$C$1407,C480)</f>
        <v>0</v>
      </c>
    </row>
    <row r="481" spans="1:4" x14ac:dyDescent="0.25">
      <c r="A481" t="s">
        <v>2822</v>
      </c>
      <c r="B481" s="5">
        <v>39825</v>
      </c>
      <c r="C481" t="str">
        <f t="shared" si="7"/>
        <v>SCPOT001.62_39825</v>
      </c>
      <c r="D481">
        <f>COUNTIF(data.SampSummary!$C$2:$C$1407,C481)</f>
        <v>0</v>
      </c>
    </row>
    <row r="482" spans="1:4" x14ac:dyDescent="0.25">
      <c r="A482" t="s">
        <v>2848</v>
      </c>
      <c r="B482" s="5">
        <v>39825</v>
      </c>
      <c r="C482" t="str">
        <f t="shared" si="7"/>
        <v>SCNGW004.31_39825</v>
      </c>
      <c r="D482">
        <f>COUNTIF(data.SampSummary!$C$2:$C$1407,C482)</f>
        <v>0</v>
      </c>
    </row>
    <row r="483" spans="1:4" x14ac:dyDescent="0.25">
      <c r="A483" t="s">
        <v>150</v>
      </c>
      <c r="B483" s="5">
        <v>42422</v>
      </c>
      <c r="C483" t="str">
        <f t="shared" si="7"/>
        <v>MGHSR110.58_42422</v>
      </c>
      <c r="D483">
        <f>COUNTIF(data.SampSummary!$C$2:$C$1407,C483)</f>
        <v>0</v>
      </c>
    </row>
    <row r="484" spans="1:4" x14ac:dyDescent="0.25">
      <c r="A484" t="s">
        <v>2858</v>
      </c>
      <c r="B484" s="5">
        <v>41382</v>
      </c>
      <c r="C484" t="str">
        <f t="shared" si="7"/>
        <v>VREVR023.39_41382</v>
      </c>
      <c r="D484">
        <f>COUNTIF(data.SampSummary!$C$2:$C$1407,C484)</f>
        <v>0</v>
      </c>
    </row>
    <row r="485" spans="1:4" x14ac:dyDescent="0.25">
      <c r="A485" t="s">
        <v>187</v>
      </c>
      <c r="B485" s="5">
        <v>41114</v>
      </c>
      <c r="C485" t="str">
        <f t="shared" si="7"/>
        <v>VRWBV002.97_41114</v>
      </c>
      <c r="D485">
        <f>COUNTIF(data.SampSummary!$C$2:$C$1407,C485)</f>
        <v>0</v>
      </c>
    </row>
    <row r="486" spans="1:4" x14ac:dyDescent="0.25">
      <c r="A486" t="s">
        <v>357</v>
      </c>
      <c r="B486" s="5">
        <v>39799</v>
      </c>
      <c r="C486" t="str">
        <f t="shared" si="7"/>
        <v>UGSFR034.57_39799</v>
      </c>
      <c r="D486">
        <f>COUNTIF(data.SampSummary!$C$2:$C$1407,C486)</f>
        <v>0</v>
      </c>
    </row>
    <row r="487" spans="1:4" x14ac:dyDescent="0.25">
      <c r="A487" t="s">
        <v>362</v>
      </c>
      <c r="B487" s="5">
        <v>39799</v>
      </c>
      <c r="C487" t="str">
        <f t="shared" si="7"/>
        <v>SCSCR034.56_39799</v>
      </c>
      <c r="D487">
        <f>COUNTIF(data.SampSummary!$C$2:$C$1407,C487)</f>
        <v>1</v>
      </c>
    </row>
    <row r="488" spans="1:4" x14ac:dyDescent="0.25">
      <c r="A488" t="s">
        <v>295</v>
      </c>
      <c r="B488" s="5">
        <v>41115</v>
      </c>
      <c r="C488" t="str">
        <f t="shared" si="7"/>
        <v>VRROU002.93_41115</v>
      </c>
      <c r="D488">
        <f>COUNTIF(data.SampSummary!$C$2:$C$1407,C488)</f>
        <v>0</v>
      </c>
    </row>
    <row r="489" spans="1:4" x14ac:dyDescent="0.25">
      <c r="A489" t="s">
        <v>313</v>
      </c>
      <c r="B489" s="5">
        <v>40380</v>
      </c>
      <c r="C489" t="str">
        <f t="shared" si="7"/>
        <v>VRFOS011.88_40380</v>
      </c>
      <c r="D489">
        <f>COUNTIF(data.SampSummary!$C$2:$C$1407,C489)</f>
        <v>0</v>
      </c>
    </row>
    <row r="490" spans="1:4" x14ac:dyDescent="0.25">
      <c r="A490" t="s">
        <v>328</v>
      </c>
      <c r="B490" s="5">
        <v>39799</v>
      </c>
      <c r="C490" t="str">
        <f t="shared" si="7"/>
        <v>UGSFR019.04_39799</v>
      </c>
      <c r="D490">
        <f>COUNTIF(data.SampSummary!$C$2:$C$1407,C490)</f>
        <v>0</v>
      </c>
    </row>
    <row r="491" spans="1:4" x14ac:dyDescent="0.25">
      <c r="A491" t="s">
        <v>253</v>
      </c>
      <c r="B491" s="5">
        <v>41136</v>
      </c>
      <c r="C491" t="str">
        <f t="shared" si="7"/>
        <v>VRWBV006.54_41136</v>
      </c>
      <c r="D491">
        <f>COUNTIF(data.SampSummary!$C$2:$C$1407,C491)</f>
        <v>0</v>
      </c>
    </row>
    <row r="492" spans="1:4" x14ac:dyDescent="0.25">
      <c r="A492" t="s">
        <v>2853</v>
      </c>
      <c r="B492" s="5">
        <v>41162</v>
      </c>
      <c r="C492" t="str">
        <f t="shared" si="7"/>
        <v>VREVR046.18_41162</v>
      </c>
      <c r="D492">
        <f>COUNTIF(data.SampSummary!$C$2:$C$1407,C492)</f>
        <v>0</v>
      </c>
    </row>
    <row r="493" spans="1:4" x14ac:dyDescent="0.25">
      <c r="A493" t="s">
        <v>18</v>
      </c>
      <c r="B493" s="5">
        <v>39798</v>
      </c>
      <c r="C493" t="str">
        <f t="shared" si="7"/>
        <v>SPGRA007.71_39798</v>
      </c>
      <c r="D493">
        <f>COUNTIF(data.SampSummary!$C$2:$C$1407,C493)</f>
        <v>1</v>
      </c>
    </row>
    <row r="494" spans="1:4" x14ac:dyDescent="0.25">
      <c r="A494" t="s">
        <v>2859</v>
      </c>
      <c r="B494" s="5">
        <v>40155</v>
      </c>
      <c r="C494" t="str">
        <f t="shared" si="7"/>
        <v>VREVR043.98_40155</v>
      </c>
      <c r="D494">
        <f>COUNTIF(data.SampSummary!$C$2:$C$1407,C494)</f>
        <v>0</v>
      </c>
    </row>
    <row r="495" spans="1:4" x14ac:dyDescent="0.25">
      <c r="A495" t="s">
        <v>231</v>
      </c>
      <c r="B495" s="5">
        <v>39797</v>
      </c>
      <c r="C495" t="str">
        <f t="shared" si="7"/>
        <v>SPARA026.35_39797</v>
      </c>
      <c r="D495">
        <f>COUNTIF(data.SampSummary!$C$2:$C$1407,C495)</f>
        <v>1</v>
      </c>
    </row>
    <row r="496" spans="1:4" x14ac:dyDescent="0.25">
      <c r="A496" t="s">
        <v>201</v>
      </c>
      <c r="B496" s="5">
        <v>39792</v>
      </c>
      <c r="C496" t="str">
        <f t="shared" si="7"/>
        <v>SPSPR006.75_39792</v>
      </c>
      <c r="D496">
        <f>COUNTIF(data.SampSummary!$C$2:$C$1407,C496)</f>
        <v>0</v>
      </c>
    </row>
    <row r="497" spans="1:4" x14ac:dyDescent="0.25">
      <c r="A497" t="s">
        <v>149</v>
      </c>
      <c r="B497" s="5">
        <v>39786</v>
      </c>
      <c r="C497" t="str">
        <f t="shared" si="7"/>
        <v>SPRMC011.11_39786</v>
      </c>
      <c r="D497">
        <f>COUNTIF(data.SampSummary!$C$2:$C$1407,C497)</f>
        <v>0</v>
      </c>
    </row>
    <row r="498" spans="1:4" x14ac:dyDescent="0.25">
      <c r="A498" t="s">
        <v>154</v>
      </c>
      <c r="B498" s="5">
        <v>39785</v>
      </c>
      <c r="C498" t="str">
        <f t="shared" si="7"/>
        <v>SPGDN007.55_39785</v>
      </c>
      <c r="D498">
        <f>COUNTIF(data.SampSummary!$C$2:$C$1407,C498)</f>
        <v>0</v>
      </c>
    </row>
    <row r="499" spans="1:4" x14ac:dyDescent="0.25">
      <c r="A499" t="s">
        <v>315</v>
      </c>
      <c r="B499" s="5">
        <v>42350</v>
      </c>
      <c r="C499" t="str">
        <f t="shared" si="7"/>
        <v>BWBRO029.91_42350</v>
      </c>
      <c r="D499">
        <f>COUNTIF(data.SampSummary!$C$2:$C$1407,C499)</f>
        <v>0</v>
      </c>
    </row>
    <row r="500" spans="1:4" x14ac:dyDescent="0.25">
      <c r="A500" t="s">
        <v>208</v>
      </c>
      <c r="B500" s="5">
        <v>39783</v>
      </c>
      <c r="C500" t="str">
        <f t="shared" si="7"/>
        <v>SCSON014.52_39783</v>
      </c>
      <c r="D500">
        <f>COUNTIF(data.SampSummary!$C$2:$C$1407,C500)</f>
        <v>0</v>
      </c>
    </row>
    <row r="501" spans="1:4" x14ac:dyDescent="0.25">
      <c r="A501" t="s">
        <v>38</v>
      </c>
      <c r="B501" s="5">
        <v>39771</v>
      </c>
      <c r="C501" t="str">
        <f t="shared" si="7"/>
        <v>UGBLR046.35_39771</v>
      </c>
      <c r="D501">
        <f>COUNTIF(data.SampSummary!$C$2:$C$1407,C501)</f>
        <v>0</v>
      </c>
    </row>
    <row r="502" spans="1:4" x14ac:dyDescent="0.25">
      <c r="A502" t="s">
        <v>299</v>
      </c>
      <c r="B502" s="5">
        <v>42331</v>
      </c>
      <c r="C502" t="str">
        <f t="shared" si="7"/>
        <v>VREVR023.23_42331</v>
      </c>
      <c r="D502">
        <f>COUNTIF(data.SampSummary!$C$2:$C$1407,C502)</f>
        <v>0</v>
      </c>
    </row>
    <row r="503" spans="1:4" x14ac:dyDescent="0.25">
      <c r="A503" t="s">
        <v>2860</v>
      </c>
      <c r="B503" s="5">
        <v>41241</v>
      </c>
      <c r="C503" t="str">
        <f t="shared" si="7"/>
        <v>VREVR016.28_41241</v>
      </c>
      <c r="D503">
        <f>COUNTIF(data.SampSummary!$C$2:$C$1407,C503)</f>
        <v>0</v>
      </c>
    </row>
    <row r="504" spans="1:4" x14ac:dyDescent="0.25">
      <c r="A504" t="s">
        <v>186</v>
      </c>
      <c r="B504" s="5">
        <v>41241</v>
      </c>
      <c r="C504" t="str">
        <f t="shared" si="7"/>
        <v>VREVR034.80_41241</v>
      </c>
      <c r="D504">
        <f>COUNTIF(data.SampSummary!$C$2:$C$1407,C504)</f>
        <v>0</v>
      </c>
    </row>
    <row r="505" spans="1:4" x14ac:dyDescent="0.25">
      <c r="A505" t="s">
        <v>299</v>
      </c>
      <c r="B505" s="5">
        <v>41241</v>
      </c>
      <c r="C505" t="str">
        <f t="shared" si="7"/>
        <v>VREVR023.23_41241</v>
      </c>
      <c r="D505">
        <f>COUNTIF(data.SampSummary!$C$2:$C$1407,C505)</f>
        <v>0</v>
      </c>
    </row>
    <row r="506" spans="1:4" x14ac:dyDescent="0.25">
      <c r="A506" t="s">
        <v>28</v>
      </c>
      <c r="B506" s="5">
        <v>39770</v>
      </c>
      <c r="C506" t="str">
        <f t="shared" si="7"/>
        <v>UGBLR030.24_39770</v>
      </c>
      <c r="D506">
        <f>COUNTIF(data.SampSummary!$C$2:$C$1407,C506)</f>
        <v>0</v>
      </c>
    </row>
    <row r="507" spans="1:4" x14ac:dyDescent="0.25">
      <c r="A507" t="s">
        <v>176</v>
      </c>
      <c r="B507" s="5">
        <v>39770</v>
      </c>
      <c r="C507" t="str">
        <f t="shared" si="7"/>
        <v>UGBLR036.37_39770</v>
      </c>
      <c r="D507">
        <f>COUNTIF(data.SampSummary!$C$2:$C$1407,C507)</f>
        <v>0</v>
      </c>
    </row>
    <row r="508" spans="1:4" x14ac:dyDescent="0.25">
      <c r="A508" t="s">
        <v>238</v>
      </c>
      <c r="B508" s="5">
        <v>39770</v>
      </c>
      <c r="C508" t="str">
        <f t="shared" si="7"/>
        <v>UGBLR008.19_39770</v>
      </c>
      <c r="D508">
        <f>COUNTIF(data.SampSummary!$C$2:$C$1407,C508)</f>
        <v>0</v>
      </c>
    </row>
    <row r="509" spans="1:4" x14ac:dyDescent="0.25">
      <c r="A509" t="s">
        <v>140</v>
      </c>
      <c r="B509" s="5">
        <v>39770</v>
      </c>
      <c r="C509" t="str">
        <f t="shared" si="7"/>
        <v>UGEAG056.85_39770</v>
      </c>
      <c r="D509">
        <f>COUNTIF(data.SampSummary!$C$2:$C$1407,C509)</f>
        <v>1</v>
      </c>
    </row>
    <row r="510" spans="1:4" x14ac:dyDescent="0.25">
      <c r="A510" t="s">
        <v>213</v>
      </c>
      <c r="B510" s="5">
        <v>41242</v>
      </c>
      <c r="C510" t="str">
        <f t="shared" si="7"/>
        <v>VRPIE008.19_41242</v>
      </c>
      <c r="D510">
        <f>COUNTIF(data.SampSummary!$C$2:$C$1407,C510)</f>
        <v>0</v>
      </c>
    </row>
    <row r="511" spans="1:4" x14ac:dyDescent="0.25">
      <c r="A511" t="s">
        <v>39</v>
      </c>
      <c r="B511" s="5">
        <v>39769</v>
      </c>
      <c r="C511" t="str">
        <f t="shared" si="7"/>
        <v>UGFRY009.52_39769</v>
      </c>
      <c r="D511">
        <f>COUNTIF(data.SampSummary!$C$2:$C$1407,C511)</f>
        <v>0</v>
      </c>
    </row>
    <row r="512" spans="1:4" x14ac:dyDescent="0.25">
      <c r="A512" t="s">
        <v>290</v>
      </c>
      <c r="B512" s="5">
        <v>39764</v>
      </c>
      <c r="C512" t="str">
        <f t="shared" si="7"/>
        <v>SPHSC010.67_39764</v>
      </c>
      <c r="D512">
        <f>COUNTIF(data.SampSummary!$C$2:$C$1407,C512)</f>
        <v>0</v>
      </c>
    </row>
    <row r="513" spans="1:4" x14ac:dyDescent="0.25">
      <c r="A513" t="s">
        <v>135</v>
      </c>
      <c r="B513" s="5">
        <v>42311</v>
      </c>
      <c r="C513" t="str">
        <f t="shared" si="7"/>
        <v>SRHRS001.41_42311</v>
      </c>
      <c r="D513">
        <f>COUNTIF(data.SampSummary!$C$2:$C$1407,C513)</f>
        <v>0</v>
      </c>
    </row>
    <row r="514" spans="1:4" x14ac:dyDescent="0.25">
      <c r="A514" t="s">
        <v>52</v>
      </c>
      <c r="B514" s="5">
        <v>39763</v>
      </c>
      <c r="C514" t="str">
        <f t="shared" si="7"/>
        <v>UGCAV016.84_39763</v>
      </c>
      <c r="D514">
        <f>COUNTIF(data.SampSummary!$C$2:$C$1407,C514)</f>
        <v>1</v>
      </c>
    </row>
    <row r="515" spans="1:4" x14ac:dyDescent="0.25">
      <c r="A515" t="s">
        <v>253</v>
      </c>
      <c r="B515" s="5">
        <v>41248</v>
      </c>
      <c r="C515" t="str">
        <f t="shared" ref="C515:C578" si="8">A515&amp;"_"&amp;B515</f>
        <v>VRWBV006.54_41248</v>
      </c>
      <c r="D515">
        <f>COUNTIF(data.SampSummary!$C$2:$C$1407,C515)</f>
        <v>0</v>
      </c>
    </row>
    <row r="516" spans="1:4" x14ac:dyDescent="0.25">
      <c r="A516" t="s">
        <v>223</v>
      </c>
      <c r="B516" s="5">
        <v>41228</v>
      </c>
      <c r="C516" t="str">
        <f t="shared" si="8"/>
        <v>SPBHC004.31_41228</v>
      </c>
      <c r="D516">
        <f>COUNTIF(data.SampSummary!$C$2:$C$1407,C516)</f>
        <v>0</v>
      </c>
    </row>
    <row r="517" spans="1:4" x14ac:dyDescent="0.25">
      <c r="A517" t="s">
        <v>358</v>
      </c>
      <c r="B517" s="5">
        <v>39757</v>
      </c>
      <c r="C517" t="str">
        <f t="shared" si="8"/>
        <v>SRSPI011.63_39757</v>
      </c>
      <c r="D517">
        <f>COUNTIF(data.SampSummary!$C$2:$C$1407,C517)</f>
        <v>1</v>
      </c>
    </row>
    <row r="518" spans="1:4" x14ac:dyDescent="0.25">
      <c r="A518" t="s">
        <v>260</v>
      </c>
      <c r="B518" s="5">
        <v>41254</v>
      </c>
      <c r="C518" t="str">
        <f t="shared" si="8"/>
        <v>VROAK034.02_41254</v>
      </c>
      <c r="D518">
        <f>COUNTIF(data.SampSummary!$C$2:$C$1407,C518)</f>
        <v>0</v>
      </c>
    </row>
    <row r="519" spans="1:4" x14ac:dyDescent="0.25">
      <c r="A519" t="s">
        <v>197</v>
      </c>
      <c r="B519" s="5">
        <v>39756</v>
      </c>
      <c r="C519" t="str">
        <f t="shared" si="8"/>
        <v>SRTON053.87_39756</v>
      </c>
      <c r="D519">
        <f>COUNTIF(data.SampSummary!$C$2:$C$1407,C519)</f>
        <v>1</v>
      </c>
    </row>
    <row r="520" spans="1:4" x14ac:dyDescent="0.25">
      <c r="A520" t="s">
        <v>136</v>
      </c>
      <c r="B520" s="5">
        <v>39755</v>
      </c>
      <c r="C520" t="str">
        <f t="shared" si="8"/>
        <v>LCLCR342.03_39755</v>
      </c>
      <c r="D520">
        <f>COUNTIF(data.SampSummary!$C$2:$C$1407,C520)</f>
        <v>1</v>
      </c>
    </row>
    <row r="521" spans="1:4" x14ac:dyDescent="0.25">
      <c r="A521" t="s">
        <v>274</v>
      </c>
      <c r="B521" s="5">
        <v>39755</v>
      </c>
      <c r="C521" t="str">
        <f t="shared" si="8"/>
        <v>VRVER165.07_39755</v>
      </c>
      <c r="D521">
        <f>COUNTIF(data.SampSummary!$C$2:$C$1407,C521)</f>
        <v>1</v>
      </c>
    </row>
    <row r="522" spans="1:4" x14ac:dyDescent="0.25">
      <c r="A522" t="s">
        <v>228</v>
      </c>
      <c r="B522" s="5">
        <v>39743</v>
      </c>
      <c r="C522" t="str">
        <f t="shared" si="8"/>
        <v>MGHSR048.20_39743</v>
      </c>
      <c r="D522">
        <f>COUNTIF(data.SampSummary!$C$2:$C$1407,C522)</f>
        <v>1</v>
      </c>
    </row>
    <row r="523" spans="1:4" x14ac:dyDescent="0.25">
      <c r="A523" t="s">
        <v>273</v>
      </c>
      <c r="B523" s="5">
        <v>39743</v>
      </c>
      <c r="C523" t="str">
        <f t="shared" si="8"/>
        <v>MGHSR058.80_39743</v>
      </c>
      <c r="D523">
        <f>COUNTIF(data.SampSummary!$C$2:$C$1407,C523)</f>
        <v>0</v>
      </c>
    </row>
    <row r="524" spans="1:4" x14ac:dyDescent="0.25">
      <c r="A524" t="s">
        <v>86</v>
      </c>
      <c r="B524" s="5">
        <v>39743</v>
      </c>
      <c r="C524" t="str">
        <f t="shared" si="8"/>
        <v>SRWFB005.34_39743</v>
      </c>
      <c r="D524">
        <f>COUNTIF(data.SampSummary!$C$2:$C$1407,C524)</f>
        <v>1</v>
      </c>
    </row>
    <row r="525" spans="1:4" x14ac:dyDescent="0.25">
      <c r="A525" t="s">
        <v>75</v>
      </c>
      <c r="B525" s="5">
        <v>39743</v>
      </c>
      <c r="C525" t="str">
        <f t="shared" si="8"/>
        <v>SRBEV007.28_39743</v>
      </c>
      <c r="D525">
        <f>COUNTIF(data.SampSummary!$C$2:$C$1407,C525)</f>
        <v>1</v>
      </c>
    </row>
    <row r="526" spans="1:4" x14ac:dyDescent="0.25">
      <c r="A526" t="s">
        <v>266</v>
      </c>
      <c r="B526" s="5">
        <v>41254</v>
      </c>
      <c r="C526" t="str">
        <f t="shared" si="8"/>
        <v>VRVER137.53_41254</v>
      </c>
      <c r="D526">
        <f>COUNTIF(data.SampSummary!$C$2:$C$1407,C526)</f>
        <v>0</v>
      </c>
    </row>
    <row r="527" spans="1:4" x14ac:dyDescent="0.25">
      <c r="A527" t="s">
        <v>275</v>
      </c>
      <c r="B527" s="5">
        <v>39742</v>
      </c>
      <c r="C527" t="str">
        <f t="shared" si="8"/>
        <v>MGLAS004.52_39742</v>
      </c>
      <c r="D527">
        <f>COUNTIF(data.SampSummary!$C$2:$C$1407,C527)</f>
        <v>1</v>
      </c>
    </row>
    <row r="528" spans="1:4" x14ac:dyDescent="0.25">
      <c r="A528" t="s">
        <v>2861</v>
      </c>
      <c r="B528" s="5">
        <v>42296</v>
      </c>
      <c r="C528" t="str">
        <f t="shared" si="8"/>
        <v>SPSPR101.25_42296</v>
      </c>
      <c r="D528">
        <f>COUNTIF(data.SampSummary!$C$2:$C$1407,C528)</f>
        <v>0</v>
      </c>
    </row>
    <row r="529" spans="1:4" x14ac:dyDescent="0.25">
      <c r="A529" t="s">
        <v>203</v>
      </c>
      <c r="B529" s="5">
        <v>39742</v>
      </c>
      <c r="C529" t="str">
        <f t="shared" si="8"/>
        <v>MGLSY000.42_39742</v>
      </c>
      <c r="D529">
        <f>COUNTIF(data.SampSummary!$C$2:$C$1407,C529)</f>
        <v>0</v>
      </c>
    </row>
    <row r="530" spans="1:4" x14ac:dyDescent="0.25">
      <c r="A530" t="s">
        <v>167</v>
      </c>
      <c r="B530" s="5">
        <v>39742</v>
      </c>
      <c r="C530" t="str">
        <f t="shared" si="8"/>
        <v>LCSHL029.75_39742</v>
      </c>
      <c r="D530">
        <f>COUNTIF(data.SampSummary!$C$2:$C$1407,C530)</f>
        <v>1</v>
      </c>
    </row>
    <row r="531" spans="1:4" x14ac:dyDescent="0.25">
      <c r="A531" t="s">
        <v>126</v>
      </c>
      <c r="B531" s="5">
        <v>41261</v>
      </c>
      <c r="C531" t="str">
        <f t="shared" si="8"/>
        <v>VRELL000.18_41261</v>
      </c>
      <c r="D531">
        <f>COUNTIF(data.SampSummary!$C$2:$C$1407,C531)</f>
        <v>0</v>
      </c>
    </row>
    <row r="532" spans="1:4" x14ac:dyDescent="0.25">
      <c r="A532" t="s">
        <v>124</v>
      </c>
      <c r="B532" s="5">
        <v>39742</v>
      </c>
      <c r="C532" t="str">
        <f t="shared" si="8"/>
        <v>LCSIL043.84_39742</v>
      </c>
      <c r="D532">
        <f>COUNTIF(data.SampSummary!$C$2:$C$1407,C532)</f>
        <v>1</v>
      </c>
    </row>
    <row r="533" spans="1:4" x14ac:dyDescent="0.25">
      <c r="A533" t="s">
        <v>151</v>
      </c>
      <c r="B533" s="5">
        <v>39742</v>
      </c>
      <c r="C533" t="str">
        <f t="shared" si="8"/>
        <v>SRHAG013.09_39742</v>
      </c>
      <c r="D533">
        <f>COUNTIF(data.SampSummary!$C$2:$C$1407,C533)</f>
        <v>1</v>
      </c>
    </row>
    <row r="534" spans="1:4" x14ac:dyDescent="0.25">
      <c r="A534" t="s">
        <v>18</v>
      </c>
      <c r="B534" s="5">
        <v>39737</v>
      </c>
      <c r="C534" t="str">
        <f t="shared" si="8"/>
        <v>SPGRA007.71_39737</v>
      </c>
      <c r="D534">
        <f>COUNTIF(data.SampSummary!$C$2:$C$1407,C534)</f>
        <v>0</v>
      </c>
    </row>
    <row r="535" spans="1:4" x14ac:dyDescent="0.25">
      <c r="A535" t="s">
        <v>328</v>
      </c>
      <c r="B535" s="5">
        <v>39736</v>
      </c>
      <c r="C535" t="str">
        <f t="shared" si="8"/>
        <v>UGSFR019.04_39736</v>
      </c>
      <c r="D535">
        <f>COUNTIF(data.SampSummary!$C$2:$C$1407,C535)</f>
        <v>0</v>
      </c>
    </row>
    <row r="536" spans="1:4" x14ac:dyDescent="0.25">
      <c r="A536" t="s">
        <v>357</v>
      </c>
      <c r="B536" s="5">
        <v>39736</v>
      </c>
      <c r="C536" t="str">
        <f t="shared" si="8"/>
        <v>UGSFR034.57_39736</v>
      </c>
      <c r="D536">
        <f>COUNTIF(data.SampSummary!$C$2:$C$1407,C536)</f>
        <v>0</v>
      </c>
    </row>
    <row r="537" spans="1:4" x14ac:dyDescent="0.25">
      <c r="A537" t="s">
        <v>326</v>
      </c>
      <c r="B537" s="5">
        <v>41282</v>
      </c>
      <c r="C537" t="str">
        <f t="shared" si="8"/>
        <v>UGSFR006.42_41282</v>
      </c>
      <c r="D537">
        <f>COUNTIF(data.SampSummary!$C$2:$C$1407,C537)</f>
        <v>0</v>
      </c>
    </row>
    <row r="538" spans="1:4" x14ac:dyDescent="0.25">
      <c r="A538" t="s">
        <v>375</v>
      </c>
      <c r="B538" s="5">
        <v>39721</v>
      </c>
      <c r="C538" t="str">
        <f t="shared" si="8"/>
        <v>SRPNL005.12_39721</v>
      </c>
      <c r="D538">
        <f>COUNTIF(data.SampSummary!$C$2:$C$1407,C538)</f>
        <v>1</v>
      </c>
    </row>
    <row r="539" spans="1:4" x14ac:dyDescent="0.25">
      <c r="A539" t="s">
        <v>176</v>
      </c>
      <c r="B539" s="5">
        <v>39714</v>
      </c>
      <c r="C539" t="str">
        <f t="shared" si="8"/>
        <v>UGBLR036.37_39714</v>
      </c>
      <c r="D539">
        <f>COUNTIF(data.SampSummary!$C$2:$C$1407,C539)</f>
        <v>0</v>
      </c>
    </row>
    <row r="540" spans="1:4" x14ac:dyDescent="0.25">
      <c r="A540" t="s">
        <v>42</v>
      </c>
      <c r="B540" s="5">
        <v>39714</v>
      </c>
      <c r="C540" t="str">
        <f t="shared" si="8"/>
        <v>UGLAN000.60_39714</v>
      </c>
      <c r="D540">
        <f>COUNTIF(data.SampSummary!$C$2:$C$1407,C540)</f>
        <v>0</v>
      </c>
    </row>
    <row r="541" spans="1:4" x14ac:dyDescent="0.25">
      <c r="A541" t="s">
        <v>28</v>
      </c>
      <c r="B541" s="5">
        <v>39714</v>
      </c>
      <c r="C541" t="str">
        <f t="shared" si="8"/>
        <v>UGBLR030.24_39714</v>
      </c>
      <c r="D541">
        <f>COUNTIF(data.SampSummary!$C$2:$C$1407,C541)</f>
        <v>0</v>
      </c>
    </row>
    <row r="542" spans="1:4" x14ac:dyDescent="0.25">
      <c r="A542" t="s">
        <v>38</v>
      </c>
      <c r="B542" s="5">
        <v>39713</v>
      </c>
      <c r="C542" t="str">
        <f t="shared" si="8"/>
        <v>UGBLR046.35_39713</v>
      </c>
      <c r="D542">
        <f>COUNTIF(data.SampSummary!$C$2:$C$1407,C542)</f>
        <v>0</v>
      </c>
    </row>
    <row r="543" spans="1:4" x14ac:dyDescent="0.25">
      <c r="A543" t="s">
        <v>54</v>
      </c>
      <c r="B543" s="5">
        <v>39713</v>
      </c>
      <c r="C543" t="str">
        <f t="shared" si="8"/>
        <v>UGCOL003.48_39713</v>
      </c>
      <c r="D543">
        <f>COUNTIF(data.SampSummary!$C$2:$C$1407,C543)</f>
        <v>0</v>
      </c>
    </row>
    <row r="544" spans="1:4" x14ac:dyDescent="0.25">
      <c r="A544" t="s">
        <v>60</v>
      </c>
      <c r="B544" s="5">
        <v>41304</v>
      </c>
      <c r="C544" t="str">
        <f t="shared" si="8"/>
        <v>VREVR051.15_41304</v>
      </c>
      <c r="D544">
        <f>COUNTIF(data.SampSummary!$C$2:$C$1407,C544)</f>
        <v>0</v>
      </c>
    </row>
    <row r="545" spans="1:4" x14ac:dyDescent="0.25">
      <c r="A545" t="s">
        <v>2857</v>
      </c>
      <c r="B545" s="5">
        <v>39706</v>
      </c>
      <c r="C545" t="str">
        <f t="shared" si="8"/>
        <v>MGHSR000.77_39706</v>
      </c>
      <c r="D545">
        <f>COUNTIF(data.SampSummary!$C$2:$C$1407,C545)</f>
        <v>0</v>
      </c>
    </row>
    <row r="546" spans="1:4" x14ac:dyDescent="0.25">
      <c r="A546" t="s">
        <v>203</v>
      </c>
      <c r="B546" s="5">
        <v>41312</v>
      </c>
      <c r="C546" t="str">
        <f t="shared" si="8"/>
        <v>MGLSY000.42_41312</v>
      </c>
      <c r="D546">
        <f>COUNTIF(data.SampSummary!$C$2:$C$1407,C546)</f>
        <v>0</v>
      </c>
    </row>
    <row r="547" spans="1:4" x14ac:dyDescent="0.25">
      <c r="A547" t="s">
        <v>362</v>
      </c>
      <c r="B547" s="5">
        <v>39702</v>
      </c>
      <c r="C547" t="str">
        <f t="shared" si="8"/>
        <v>SCSCR034.56_39702</v>
      </c>
      <c r="D547">
        <f>COUNTIF(data.SampSummary!$C$2:$C$1407,C547)</f>
        <v>0</v>
      </c>
    </row>
    <row r="548" spans="1:4" x14ac:dyDescent="0.25">
      <c r="A548" t="s">
        <v>79</v>
      </c>
      <c r="B548" s="5">
        <v>39700</v>
      </c>
      <c r="C548" t="str">
        <f t="shared" si="8"/>
        <v>UGETK011.80_39700</v>
      </c>
      <c r="D548">
        <f>COUNTIF(data.SampSummary!$C$2:$C$1407,C548)</f>
        <v>0</v>
      </c>
    </row>
    <row r="549" spans="1:4" x14ac:dyDescent="0.25">
      <c r="A549" t="s">
        <v>278</v>
      </c>
      <c r="B549" s="5">
        <v>41339</v>
      </c>
      <c r="C549" t="str">
        <f t="shared" si="8"/>
        <v>BWBSR037.79_41339</v>
      </c>
      <c r="D549">
        <f>COUNTIF(data.SampSummary!$C$2:$C$1407,C549)</f>
        <v>0</v>
      </c>
    </row>
    <row r="550" spans="1:4" x14ac:dyDescent="0.25">
      <c r="A550" t="s">
        <v>2862</v>
      </c>
      <c r="B550" s="5">
        <v>39700</v>
      </c>
      <c r="C550" t="str">
        <f t="shared" si="8"/>
        <v>UGCIM000.10_39700</v>
      </c>
      <c r="D550">
        <f>COUNTIF(data.SampSummary!$C$2:$C$1407,C550)</f>
        <v>0</v>
      </c>
    </row>
    <row r="551" spans="1:4" x14ac:dyDescent="0.25">
      <c r="A551" t="s">
        <v>1630</v>
      </c>
      <c r="B551" s="5">
        <v>39699</v>
      </c>
      <c r="C551" t="str">
        <f t="shared" si="8"/>
        <v>SPWRC000.09_39699</v>
      </c>
      <c r="D551">
        <f>COUNTIF(data.SampSummary!$C$2:$C$1407,C551)</f>
        <v>0</v>
      </c>
    </row>
    <row r="552" spans="1:4" x14ac:dyDescent="0.25">
      <c r="A552" t="s">
        <v>339</v>
      </c>
      <c r="B552" s="5">
        <v>39687</v>
      </c>
      <c r="C552" t="str">
        <f t="shared" si="8"/>
        <v>UGEAG015.23_39687</v>
      </c>
      <c r="D552">
        <f>COUNTIF(data.SampSummary!$C$2:$C$1407,C552)</f>
        <v>0</v>
      </c>
    </row>
    <row r="553" spans="1:4" x14ac:dyDescent="0.25">
      <c r="A553" t="s">
        <v>140</v>
      </c>
      <c r="B553" s="5">
        <v>39686</v>
      </c>
      <c r="C553" t="str">
        <f t="shared" si="8"/>
        <v>UGEAG056.85_39686</v>
      </c>
      <c r="D553">
        <f>COUNTIF(data.SampSummary!$C$2:$C$1407,C553)</f>
        <v>0</v>
      </c>
    </row>
    <row r="554" spans="1:4" x14ac:dyDescent="0.25">
      <c r="A554" t="s">
        <v>238</v>
      </c>
      <c r="B554" s="5">
        <v>39686</v>
      </c>
      <c r="C554" t="str">
        <f t="shared" si="8"/>
        <v>UGBLR008.19_39686</v>
      </c>
      <c r="D554">
        <f>COUNTIF(data.SampSummary!$C$2:$C$1407,C554)</f>
        <v>0</v>
      </c>
    </row>
    <row r="555" spans="1:4" x14ac:dyDescent="0.25">
      <c r="A555" t="s">
        <v>39</v>
      </c>
      <c r="B555" s="5">
        <v>39685</v>
      </c>
      <c r="C555" t="str">
        <f t="shared" si="8"/>
        <v>UGFRY009.52_39685</v>
      </c>
      <c r="D555">
        <f>COUNTIF(data.SampSummary!$C$2:$C$1407,C555)</f>
        <v>0</v>
      </c>
    </row>
    <row r="556" spans="1:4" x14ac:dyDescent="0.25">
      <c r="A556" t="s">
        <v>260</v>
      </c>
      <c r="B556" s="5">
        <v>41330</v>
      </c>
      <c r="C556" t="str">
        <f t="shared" si="8"/>
        <v>VROAK034.02_41330</v>
      </c>
      <c r="D556">
        <f>COUNTIF(data.SampSummary!$C$2:$C$1407,C556)</f>
        <v>0</v>
      </c>
    </row>
    <row r="557" spans="1:4" x14ac:dyDescent="0.25">
      <c r="A557" t="s">
        <v>154</v>
      </c>
      <c r="B557" s="5">
        <v>39682</v>
      </c>
      <c r="C557" t="str">
        <f t="shared" si="8"/>
        <v>SPGDN007.55_39682</v>
      </c>
      <c r="D557">
        <f>COUNTIF(data.SampSummary!$C$2:$C$1407,C557)</f>
        <v>0</v>
      </c>
    </row>
    <row r="558" spans="1:4" x14ac:dyDescent="0.25">
      <c r="A558" t="s">
        <v>149</v>
      </c>
      <c r="B558" s="5">
        <v>39681</v>
      </c>
      <c r="C558" t="str">
        <f t="shared" si="8"/>
        <v>SPRMC011.11_39681</v>
      </c>
      <c r="D558">
        <f>COUNTIF(data.SampSummary!$C$2:$C$1407,C558)</f>
        <v>0</v>
      </c>
    </row>
    <row r="559" spans="1:4" x14ac:dyDescent="0.25">
      <c r="A559" t="s">
        <v>289</v>
      </c>
      <c r="B559" s="5">
        <v>39680</v>
      </c>
      <c r="C559" t="str">
        <f t="shared" si="8"/>
        <v>SPARA013.78_39680</v>
      </c>
      <c r="D559">
        <f>COUNTIF(data.SampSummary!$C$2:$C$1407,C559)</f>
        <v>0</v>
      </c>
    </row>
    <row r="560" spans="1:4" x14ac:dyDescent="0.25">
      <c r="A560" t="s">
        <v>245</v>
      </c>
      <c r="B560" s="5">
        <v>41352</v>
      </c>
      <c r="C560" t="str">
        <f t="shared" si="8"/>
        <v>SRHAG007.47_41352</v>
      </c>
      <c r="D560">
        <f>COUNTIF(data.SampSummary!$C$2:$C$1407,C560)</f>
        <v>0</v>
      </c>
    </row>
    <row r="561" spans="1:4" x14ac:dyDescent="0.25">
      <c r="A561" t="s">
        <v>208</v>
      </c>
      <c r="B561" s="5">
        <v>39680</v>
      </c>
      <c r="C561" t="str">
        <f t="shared" si="8"/>
        <v>SCSON014.52_39680</v>
      </c>
      <c r="D561">
        <f>COUNTIF(data.SampSummary!$C$2:$C$1407,C561)</f>
        <v>0</v>
      </c>
    </row>
    <row r="562" spans="1:4" x14ac:dyDescent="0.25">
      <c r="A562" t="s">
        <v>201</v>
      </c>
      <c r="B562" s="5">
        <v>39679</v>
      </c>
      <c r="C562" t="str">
        <f t="shared" si="8"/>
        <v>SPSPR006.75_39679</v>
      </c>
      <c r="D562">
        <f>COUNTIF(data.SampSummary!$C$2:$C$1407,C562)</f>
        <v>0</v>
      </c>
    </row>
    <row r="563" spans="1:4" x14ac:dyDescent="0.25">
      <c r="A563" t="s">
        <v>275</v>
      </c>
      <c r="B563" s="5">
        <v>39674</v>
      </c>
      <c r="C563" t="str">
        <f t="shared" si="8"/>
        <v>MGLAS004.52_39674</v>
      </c>
      <c r="D563">
        <f>COUNTIF(data.SampSummary!$C$2:$C$1407,C563)</f>
        <v>0</v>
      </c>
    </row>
    <row r="564" spans="1:4" x14ac:dyDescent="0.25">
      <c r="A564" t="s">
        <v>226</v>
      </c>
      <c r="B564" s="5">
        <v>39674</v>
      </c>
      <c r="C564" t="str">
        <f t="shared" si="8"/>
        <v>MGSYD009.13_39674</v>
      </c>
      <c r="D564">
        <f>COUNTIF(data.SampSummary!$C$2:$C$1407,C564)</f>
        <v>0</v>
      </c>
    </row>
    <row r="565" spans="1:4" x14ac:dyDescent="0.25">
      <c r="A565" t="s">
        <v>234</v>
      </c>
      <c r="B565" s="5">
        <v>41367</v>
      </c>
      <c r="C565" t="str">
        <f t="shared" si="8"/>
        <v>SPSPR014.18_41367</v>
      </c>
      <c r="D565">
        <f>COUNTIF(data.SampSummary!$C$2:$C$1407,C565)</f>
        <v>1</v>
      </c>
    </row>
    <row r="566" spans="1:4" x14ac:dyDescent="0.25">
      <c r="A566" t="s">
        <v>190</v>
      </c>
      <c r="B566" s="5">
        <v>39673</v>
      </c>
      <c r="C566" t="str">
        <f t="shared" si="8"/>
        <v>MGAFR087.06_39673</v>
      </c>
      <c r="D566">
        <f>COUNTIF(data.SampSummary!$C$2:$C$1407,C566)</f>
        <v>0</v>
      </c>
    </row>
    <row r="567" spans="1:4" x14ac:dyDescent="0.25">
      <c r="A567" t="s">
        <v>231</v>
      </c>
      <c r="B567" s="5">
        <v>41338</v>
      </c>
      <c r="C567" t="str">
        <f t="shared" si="8"/>
        <v>SPARA026.35_41338</v>
      </c>
      <c r="D567">
        <f>COUNTIF(data.SampSummary!$C$2:$C$1407,C567)</f>
        <v>0</v>
      </c>
    </row>
    <row r="568" spans="1:4" x14ac:dyDescent="0.25">
      <c r="A568" t="s">
        <v>69</v>
      </c>
      <c r="B568" s="5">
        <v>41541</v>
      </c>
      <c r="C568" t="str">
        <f t="shared" si="8"/>
        <v>SRWRK007.97_41541</v>
      </c>
      <c r="D568">
        <f>COUNTIF(data.SampSummary!$C$2:$C$1407,C568)</f>
        <v>0</v>
      </c>
    </row>
    <row r="569" spans="1:4" x14ac:dyDescent="0.25">
      <c r="A569" t="s">
        <v>273</v>
      </c>
      <c r="B569" s="5">
        <v>39672</v>
      </c>
      <c r="C569" t="str">
        <f t="shared" si="8"/>
        <v>MGHSR058.80_39672</v>
      </c>
      <c r="D569">
        <f>COUNTIF(data.SampSummary!$C$2:$C$1407,C569)</f>
        <v>0</v>
      </c>
    </row>
    <row r="570" spans="1:4" x14ac:dyDescent="0.25">
      <c r="A570" t="s">
        <v>2811</v>
      </c>
      <c r="B570" s="5">
        <v>39667</v>
      </c>
      <c r="C570" t="str">
        <f t="shared" si="8"/>
        <v>LCLCR216.67_39667</v>
      </c>
      <c r="D570">
        <f>COUNTIF(data.SampSummary!$C$2:$C$1407,C570)</f>
        <v>0</v>
      </c>
    </row>
    <row r="571" spans="1:4" x14ac:dyDescent="0.25">
      <c r="A571" t="s">
        <v>2814</v>
      </c>
      <c r="B571" s="5">
        <v>39667</v>
      </c>
      <c r="C571" t="str">
        <f t="shared" si="8"/>
        <v>LCSIL000.06_39667</v>
      </c>
      <c r="D571">
        <f>COUNTIF(data.SampSummary!$C$2:$C$1407,C571)</f>
        <v>0</v>
      </c>
    </row>
    <row r="572" spans="1:4" x14ac:dyDescent="0.25">
      <c r="A572" t="s">
        <v>315</v>
      </c>
      <c r="B572" s="5">
        <v>41393</v>
      </c>
      <c r="C572" t="str">
        <f t="shared" si="8"/>
        <v>BWBRO029.91_41393</v>
      </c>
      <c r="D572">
        <f>COUNTIF(data.SampSummary!$C$2:$C$1407,C572)</f>
        <v>1</v>
      </c>
    </row>
    <row r="573" spans="1:4" x14ac:dyDescent="0.25">
      <c r="A573" t="s">
        <v>244</v>
      </c>
      <c r="B573" s="5">
        <v>41382</v>
      </c>
      <c r="C573" t="str">
        <f t="shared" si="8"/>
        <v>SCSON015.35_41382</v>
      </c>
      <c r="D573">
        <f>COUNTIF(data.SampSummary!$C$2:$C$1407,C573)</f>
        <v>1</v>
      </c>
    </row>
    <row r="574" spans="1:4" x14ac:dyDescent="0.25">
      <c r="A574" t="s">
        <v>2830</v>
      </c>
      <c r="B574" s="5">
        <v>39666</v>
      </c>
      <c r="C574" t="str">
        <f t="shared" si="8"/>
        <v>LCLCR200.23_39666</v>
      </c>
      <c r="D574">
        <f>COUNTIF(data.SampSummary!$C$2:$C$1407,C574)</f>
        <v>0</v>
      </c>
    </row>
    <row r="575" spans="1:4" x14ac:dyDescent="0.25">
      <c r="A575" t="s">
        <v>2814</v>
      </c>
      <c r="B575" s="5">
        <v>39644</v>
      </c>
      <c r="C575" t="str">
        <f t="shared" si="8"/>
        <v>LCSIL000.06_39644</v>
      </c>
      <c r="D575">
        <f>COUNTIF(data.SampSummary!$C$2:$C$1407,C575)</f>
        <v>0</v>
      </c>
    </row>
    <row r="576" spans="1:4" x14ac:dyDescent="0.25">
      <c r="A576" t="s">
        <v>266</v>
      </c>
      <c r="B576" s="5">
        <v>41386</v>
      </c>
      <c r="C576" t="str">
        <f t="shared" si="8"/>
        <v>VRVER137.53_41386</v>
      </c>
      <c r="D576">
        <f>COUNTIF(data.SampSummary!$C$2:$C$1407,C576)</f>
        <v>1</v>
      </c>
    </row>
    <row r="577" spans="1:4" x14ac:dyDescent="0.25">
      <c r="A577" t="s">
        <v>49</v>
      </c>
      <c r="B577" s="5">
        <v>39638</v>
      </c>
      <c r="C577" t="str">
        <f t="shared" si="8"/>
        <v>VRWCL036.37_39638</v>
      </c>
      <c r="D577">
        <f>COUNTIF(data.SampSummary!$C$2:$C$1407,C577)</f>
        <v>1</v>
      </c>
    </row>
    <row r="578" spans="1:4" x14ac:dyDescent="0.25">
      <c r="A578" t="s">
        <v>250</v>
      </c>
      <c r="B578" s="5">
        <v>40526</v>
      </c>
      <c r="C578" t="str">
        <f t="shared" si="8"/>
        <v>SRDEV000.38_40526</v>
      </c>
      <c r="D578">
        <f>COUNTIF(data.SampSummary!$C$2:$C$1407,C578)</f>
        <v>0</v>
      </c>
    </row>
    <row r="579" spans="1:4" x14ac:dyDescent="0.25">
      <c r="A579" t="s">
        <v>103</v>
      </c>
      <c r="B579" s="5">
        <v>40359</v>
      </c>
      <c r="C579" t="str">
        <f t="shared" ref="C579:C642" si="9">A579&amp;"_"&amp;B579</f>
        <v>LCSLR003.72_40359</v>
      </c>
      <c r="D579">
        <f>COUNTIF(data.SampSummary!$C$2:$C$1407,C579)</f>
        <v>1</v>
      </c>
    </row>
    <row r="580" spans="1:4" x14ac:dyDescent="0.25">
      <c r="A580" t="s">
        <v>98</v>
      </c>
      <c r="B580" s="5">
        <v>40358</v>
      </c>
      <c r="C580" t="str">
        <f t="shared" si="9"/>
        <v>LCFIS003.86_40358</v>
      </c>
      <c r="D580">
        <f>COUNTIF(data.SampSummary!$C$2:$C$1407,C580)</f>
        <v>1</v>
      </c>
    </row>
    <row r="581" spans="1:4" x14ac:dyDescent="0.25">
      <c r="A581" t="s">
        <v>99</v>
      </c>
      <c r="B581" s="5">
        <v>40352</v>
      </c>
      <c r="C581" t="str">
        <f t="shared" si="9"/>
        <v>LCWLR004.09_40352</v>
      </c>
      <c r="D581">
        <f>COUNTIF(data.SampSummary!$C$2:$C$1407,C581)</f>
        <v>1</v>
      </c>
    </row>
    <row r="582" spans="1:4" x14ac:dyDescent="0.25">
      <c r="A582" t="s">
        <v>326</v>
      </c>
      <c r="B582" s="5">
        <v>41429</v>
      </c>
      <c r="C582" t="str">
        <f t="shared" si="9"/>
        <v>UGSFR006.42_41429</v>
      </c>
      <c r="D582">
        <f>COUNTIF(data.SampSummary!$C$2:$C$1407,C582)</f>
        <v>1</v>
      </c>
    </row>
    <row r="583" spans="1:4" x14ac:dyDescent="0.25">
      <c r="A583" t="s">
        <v>106</v>
      </c>
      <c r="B583" s="5">
        <v>40351</v>
      </c>
      <c r="C583" t="str">
        <f t="shared" si="9"/>
        <v>LCWLR007.37_40351</v>
      </c>
      <c r="D583">
        <f>COUNTIF(data.SampSummary!$C$2:$C$1407,C583)</f>
        <v>1</v>
      </c>
    </row>
    <row r="584" spans="1:4" x14ac:dyDescent="0.25">
      <c r="A584" t="s">
        <v>104</v>
      </c>
      <c r="B584" s="5">
        <v>40770</v>
      </c>
      <c r="C584" t="str">
        <f t="shared" si="9"/>
        <v>LCWLR000.92_40770</v>
      </c>
      <c r="D584">
        <f>COUNTIF(data.SampSummary!$C$2:$C$1407,C584)</f>
        <v>0</v>
      </c>
    </row>
    <row r="585" spans="1:4" x14ac:dyDescent="0.25">
      <c r="A585" t="s">
        <v>57</v>
      </c>
      <c r="B585" s="5">
        <v>41415</v>
      </c>
      <c r="C585" t="str">
        <f t="shared" si="9"/>
        <v>SREFB008.27_41415</v>
      </c>
      <c r="D585">
        <f>COUNTIF(data.SampSummary!$C$2:$C$1407,C585)</f>
        <v>0</v>
      </c>
    </row>
    <row r="586" spans="1:4" x14ac:dyDescent="0.25">
      <c r="A586" t="s">
        <v>357</v>
      </c>
      <c r="B586" s="5">
        <v>41416</v>
      </c>
      <c r="C586" t="str">
        <f t="shared" si="9"/>
        <v>UGSFR034.57_41416</v>
      </c>
      <c r="D586">
        <f>COUNTIF(data.SampSummary!$C$2:$C$1407,C586)</f>
        <v>1</v>
      </c>
    </row>
    <row r="587" spans="1:4" x14ac:dyDescent="0.25">
      <c r="A587" t="s">
        <v>87</v>
      </c>
      <c r="B587" s="5">
        <v>40332</v>
      </c>
      <c r="C587" t="str">
        <f t="shared" si="9"/>
        <v>LCLVL001.32_40332</v>
      </c>
      <c r="D587">
        <f>COUNTIF(data.SampSummary!$C$2:$C$1407,C587)</f>
        <v>0</v>
      </c>
    </row>
    <row r="588" spans="1:4" x14ac:dyDescent="0.25">
      <c r="A588" t="s">
        <v>2863</v>
      </c>
      <c r="B588" s="5">
        <v>40332</v>
      </c>
      <c r="C588" t="str">
        <f t="shared" si="9"/>
        <v>LCWLR005.05_40332</v>
      </c>
      <c r="D588">
        <f>COUNTIF(data.SampSummary!$C$2:$C$1407,C588)</f>
        <v>0</v>
      </c>
    </row>
    <row r="589" spans="1:4" x14ac:dyDescent="0.25">
      <c r="A589" t="s">
        <v>130</v>
      </c>
      <c r="B589" s="5">
        <v>40323</v>
      </c>
      <c r="C589" t="str">
        <f t="shared" si="9"/>
        <v>LCCHC073.26_40323</v>
      </c>
      <c r="D589">
        <f>COUNTIF(data.SampSummary!$C$2:$C$1407,C589)</f>
        <v>1</v>
      </c>
    </row>
    <row r="590" spans="1:4" x14ac:dyDescent="0.25">
      <c r="A590" t="s">
        <v>129</v>
      </c>
      <c r="B590" s="5">
        <v>40322</v>
      </c>
      <c r="C590" t="str">
        <f t="shared" si="9"/>
        <v>LCECL009.39_40322</v>
      </c>
      <c r="D590">
        <f>COUNTIF(data.SampSummary!$C$2:$C$1407,C590)</f>
        <v>1</v>
      </c>
    </row>
    <row r="591" spans="1:4" x14ac:dyDescent="0.25">
      <c r="A591" t="s">
        <v>139</v>
      </c>
      <c r="B591" s="5">
        <v>40304</v>
      </c>
      <c r="C591" t="str">
        <f t="shared" si="9"/>
        <v>LCBIL000.01_40304</v>
      </c>
      <c r="D591">
        <f>COUNTIF(data.SampSummary!$C$2:$C$1407,C591)</f>
        <v>1</v>
      </c>
    </row>
    <row r="592" spans="1:4" x14ac:dyDescent="0.25">
      <c r="A592" t="s">
        <v>103</v>
      </c>
      <c r="B592" s="5">
        <v>40304</v>
      </c>
      <c r="C592" t="str">
        <f t="shared" si="9"/>
        <v>LCSLR003.72_40304</v>
      </c>
      <c r="D592">
        <f>COUNTIF(data.SampSummary!$C$2:$C$1407,C592)</f>
        <v>0</v>
      </c>
    </row>
    <row r="593" spans="1:4" x14ac:dyDescent="0.25">
      <c r="A593" t="s">
        <v>95</v>
      </c>
      <c r="B593" s="5">
        <v>40303</v>
      </c>
      <c r="C593" t="str">
        <f t="shared" si="9"/>
        <v>LCRUD008.43_40303</v>
      </c>
      <c r="D593">
        <f>COUNTIF(data.SampSummary!$C$2:$C$1407,C593)</f>
        <v>0</v>
      </c>
    </row>
    <row r="594" spans="1:4" x14ac:dyDescent="0.25">
      <c r="A594" t="s">
        <v>212</v>
      </c>
      <c r="B594" s="5">
        <v>41409</v>
      </c>
      <c r="C594" t="str">
        <f t="shared" si="9"/>
        <v>BWBWR025.86_41409</v>
      </c>
      <c r="D594">
        <f>COUNTIF(data.SampSummary!$C$2:$C$1407,C594)</f>
        <v>0</v>
      </c>
    </row>
    <row r="595" spans="1:4" x14ac:dyDescent="0.25">
      <c r="A595" t="s">
        <v>199</v>
      </c>
      <c r="B595" s="5">
        <v>41401</v>
      </c>
      <c r="C595" t="str">
        <f t="shared" si="9"/>
        <v>UGBON006.41_41401</v>
      </c>
      <c r="D595">
        <f>COUNTIF(data.SampSummary!$C$2:$C$1407,C595)</f>
        <v>1</v>
      </c>
    </row>
    <row r="596" spans="1:4" x14ac:dyDescent="0.25">
      <c r="A596" t="s">
        <v>250</v>
      </c>
      <c r="B596" s="5">
        <v>41400</v>
      </c>
      <c r="C596" t="str">
        <f t="shared" si="9"/>
        <v>SRDEV000.38_41400</v>
      </c>
      <c r="D596">
        <f>COUNTIF(data.SampSummary!$C$2:$C$1407,C596)</f>
        <v>1</v>
      </c>
    </row>
    <row r="597" spans="1:4" x14ac:dyDescent="0.25">
      <c r="A597" t="s">
        <v>98</v>
      </c>
      <c r="B597" s="5">
        <v>40302</v>
      </c>
      <c r="C597" t="str">
        <f t="shared" si="9"/>
        <v>LCFIS003.86_40302</v>
      </c>
      <c r="D597">
        <f>COUNTIF(data.SampSummary!$C$2:$C$1407,C597)</f>
        <v>0</v>
      </c>
    </row>
    <row r="598" spans="1:4" x14ac:dyDescent="0.25">
      <c r="A598" t="s">
        <v>70</v>
      </c>
      <c r="B598" s="5">
        <v>41437</v>
      </c>
      <c r="C598" t="str">
        <f t="shared" si="9"/>
        <v>SRWFB003.45_41437</v>
      </c>
      <c r="D598">
        <f>COUNTIF(data.SampSummary!$C$2:$C$1407,C598)</f>
        <v>1</v>
      </c>
    </row>
    <row r="599" spans="1:4" x14ac:dyDescent="0.25">
      <c r="A599" t="s">
        <v>1387</v>
      </c>
      <c r="B599" s="5">
        <v>40289</v>
      </c>
      <c r="C599" t="str">
        <f t="shared" si="9"/>
        <v>SRFSH006.38_40289</v>
      </c>
      <c r="D599">
        <f>COUNTIF(data.SampSummary!$C$2:$C$1407,C599)</f>
        <v>0</v>
      </c>
    </row>
    <row r="600" spans="1:4" x14ac:dyDescent="0.25">
      <c r="A600" t="s">
        <v>315</v>
      </c>
      <c r="B600" s="5">
        <v>40288</v>
      </c>
      <c r="C600" t="str">
        <f t="shared" si="9"/>
        <v>BWBRO029.91_40288</v>
      </c>
      <c r="D600">
        <f>COUNTIF(data.SampSummary!$C$2:$C$1407,C600)</f>
        <v>1</v>
      </c>
    </row>
    <row r="601" spans="1:4" x14ac:dyDescent="0.25">
      <c r="A601" t="s">
        <v>235</v>
      </c>
      <c r="B601" s="5">
        <v>40287</v>
      </c>
      <c r="C601" t="str">
        <f t="shared" si="9"/>
        <v>BWFRA000.04_40287</v>
      </c>
      <c r="D601">
        <f>COUNTIF(data.SampSummary!$C$2:$C$1407,C601)</f>
        <v>1</v>
      </c>
    </row>
    <row r="602" spans="1:4" x14ac:dyDescent="0.25">
      <c r="A602" t="s">
        <v>247</v>
      </c>
      <c r="B602" s="5">
        <v>40269</v>
      </c>
      <c r="C602" t="str">
        <f t="shared" si="9"/>
        <v>BWTRT002.43_40269</v>
      </c>
      <c r="D602">
        <f>COUNTIF(data.SampSummary!$C$2:$C$1407,C602)</f>
        <v>0</v>
      </c>
    </row>
    <row r="603" spans="1:4" x14ac:dyDescent="0.25">
      <c r="A603" t="s">
        <v>57</v>
      </c>
      <c r="B603" s="5">
        <v>41799</v>
      </c>
      <c r="C603" t="str">
        <f t="shared" si="9"/>
        <v>SREFB008.27_41799</v>
      </c>
      <c r="D603">
        <f>COUNTIF(data.SampSummary!$C$2:$C$1407,C603)</f>
        <v>1</v>
      </c>
    </row>
    <row r="604" spans="1:4" x14ac:dyDescent="0.25">
      <c r="A604" t="s">
        <v>74</v>
      </c>
      <c r="B604" s="5">
        <v>41788</v>
      </c>
      <c r="C604" t="str">
        <f t="shared" si="9"/>
        <v>SRSTI000.38_41788</v>
      </c>
      <c r="D604">
        <f>COUNTIF(data.SampSummary!$C$2:$C$1407,C604)</f>
        <v>1</v>
      </c>
    </row>
    <row r="605" spans="1:4" x14ac:dyDescent="0.25">
      <c r="A605" t="s">
        <v>315</v>
      </c>
      <c r="B605" s="5">
        <v>40234</v>
      </c>
      <c r="C605" t="str">
        <f t="shared" si="9"/>
        <v>BWBRO029.91_40234</v>
      </c>
      <c r="D605">
        <f>COUNTIF(data.SampSummary!$C$2:$C$1407,C605)</f>
        <v>0</v>
      </c>
    </row>
    <row r="606" spans="1:4" x14ac:dyDescent="0.25">
      <c r="A606" t="s">
        <v>235</v>
      </c>
      <c r="B606" s="5">
        <v>40234</v>
      </c>
      <c r="C606" t="str">
        <f t="shared" si="9"/>
        <v>BWFRA000.04_40234</v>
      </c>
      <c r="D606">
        <f>COUNTIF(data.SampSummary!$C$2:$C$1407,C606)</f>
        <v>0</v>
      </c>
    </row>
    <row r="607" spans="1:4" x14ac:dyDescent="0.25">
      <c r="A607" t="s">
        <v>130</v>
      </c>
      <c r="B607" s="5">
        <v>41778</v>
      </c>
      <c r="C607" t="str">
        <f t="shared" si="9"/>
        <v>LCCHC073.26_41778</v>
      </c>
      <c r="D607">
        <f>COUNTIF(data.SampSummary!$C$2:$C$1407,C607)</f>
        <v>1</v>
      </c>
    </row>
    <row r="608" spans="1:4" x14ac:dyDescent="0.25">
      <c r="A608" t="s">
        <v>229</v>
      </c>
      <c r="B608" s="5">
        <v>40163</v>
      </c>
      <c r="C608" t="str">
        <f t="shared" si="9"/>
        <v>BWBSR034.68_40163</v>
      </c>
      <c r="D608">
        <f>COUNTIF(data.SampSummary!$C$2:$C$1407,C608)</f>
        <v>0</v>
      </c>
    </row>
    <row r="609" spans="1:4" x14ac:dyDescent="0.25">
      <c r="A609" t="s">
        <v>329</v>
      </c>
      <c r="B609" s="5">
        <v>40379</v>
      </c>
      <c r="C609" t="str">
        <f t="shared" si="9"/>
        <v>VRWCL010.66_40379</v>
      </c>
      <c r="D609">
        <f>COUNTIF(data.SampSummary!$C$2:$C$1407,C609)</f>
        <v>0</v>
      </c>
    </row>
    <row r="610" spans="1:4" x14ac:dyDescent="0.25">
      <c r="A610" t="s">
        <v>2864</v>
      </c>
      <c r="B610" s="5">
        <v>41772</v>
      </c>
      <c r="C610" t="str">
        <f t="shared" si="9"/>
        <v>CLGLR007.11_41772</v>
      </c>
      <c r="D610">
        <f>COUNTIF(data.SampSummary!$C$2:$C$1407,C610)</f>
        <v>0</v>
      </c>
    </row>
    <row r="611" spans="1:4" x14ac:dyDescent="0.25">
      <c r="A611" t="s">
        <v>1772</v>
      </c>
      <c r="B611" s="5">
        <v>40156</v>
      </c>
      <c r="C611" t="str">
        <f t="shared" si="9"/>
        <v>BWBSR015.60_40156</v>
      </c>
      <c r="D611">
        <f>COUNTIF(data.SampSummary!$C$2:$C$1407,C611)</f>
        <v>0</v>
      </c>
    </row>
    <row r="612" spans="1:4" x14ac:dyDescent="0.25">
      <c r="A612" t="s">
        <v>118</v>
      </c>
      <c r="B612" s="5">
        <v>41771</v>
      </c>
      <c r="C612" t="str">
        <f t="shared" si="9"/>
        <v>LCSIL027.05_41771</v>
      </c>
      <c r="D612">
        <f>COUNTIF(data.SampSummary!$C$2:$C$1407,C612)</f>
        <v>1</v>
      </c>
    </row>
    <row r="613" spans="1:4" x14ac:dyDescent="0.25">
      <c r="A613" t="s">
        <v>278</v>
      </c>
      <c r="B613" s="5">
        <v>40156</v>
      </c>
      <c r="C613" t="str">
        <f t="shared" si="9"/>
        <v>BWBSR037.79_40156</v>
      </c>
      <c r="D613">
        <f>COUNTIF(data.SampSummary!$C$2:$C$1407,C613)</f>
        <v>0</v>
      </c>
    </row>
    <row r="614" spans="1:4" x14ac:dyDescent="0.25">
      <c r="A614" t="s">
        <v>212</v>
      </c>
      <c r="B614" s="5">
        <v>40155</v>
      </c>
      <c r="C614" t="str">
        <f t="shared" si="9"/>
        <v>BWBWR025.86_40155</v>
      </c>
      <c r="D614">
        <f>COUNTIF(data.SampSummary!$C$2:$C$1407,C614)</f>
        <v>0</v>
      </c>
    </row>
    <row r="615" spans="1:4" x14ac:dyDescent="0.25">
      <c r="A615" t="s">
        <v>218</v>
      </c>
      <c r="B615" s="5">
        <v>40154</v>
      </c>
      <c r="C615" t="str">
        <f t="shared" si="9"/>
        <v>BWBWR038.52_40154</v>
      </c>
      <c r="D615">
        <f>COUNTIF(data.SampSummary!$C$2:$C$1407,C615)</f>
        <v>0</v>
      </c>
    </row>
    <row r="616" spans="1:4" x14ac:dyDescent="0.25">
      <c r="A616" t="s">
        <v>121</v>
      </c>
      <c r="B616" s="5">
        <v>40154</v>
      </c>
      <c r="C616" t="str">
        <f t="shared" si="9"/>
        <v>VREVR045.50_40154</v>
      </c>
      <c r="D616">
        <f>COUNTIF(data.SampSummary!$C$2:$C$1407,C616)</f>
        <v>0</v>
      </c>
    </row>
    <row r="617" spans="1:4" x14ac:dyDescent="0.25">
      <c r="A617" t="s">
        <v>186</v>
      </c>
      <c r="B617" s="5">
        <v>40154</v>
      </c>
      <c r="C617" t="str">
        <f t="shared" si="9"/>
        <v>VREVR034.80_40154</v>
      </c>
      <c r="D617">
        <f>COUNTIF(data.SampSummary!$C$2:$C$1407,C617)</f>
        <v>0</v>
      </c>
    </row>
    <row r="618" spans="1:4" x14ac:dyDescent="0.25">
      <c r="A618" t="s">
        <v>34</v>
      </c>
      <c r="B618" s="5">
        <v>41758</v>
      </c>
      <c r="C618" t="str">
        <f t="shared" si="9"/>
        <v>LCELR005.67_41758</v>
      </c>
      <c r="D618">
        <f>COUNTIF(data.SampSummary!$C$2:$C$1407,C618)</f>
        <v>1</v>
      </c>
    </row>
    <row r="619" spans="1:4" x14ac:dyDescent="0.25">
      <c r="A619" t="s">
        <v>170</v>
      </c>
      <c r="B619" s="5">
        <v>41752</v>
      </c>
      <c r="C619" t="str">
        <f t="shared" si="9"/>
        <v>SRTON058.63_41752</v>
      </c>
      <c r="D619">
        <f>COUNTIF(data.SampSummary!$C$2:$C$1407,C619)</f>
        <v>1</v>
      </c>
    </row>
    <row r="620" spans="1:4" x14ac:dyDescent="0.25">
      <c r="A620" t="s">
        <v>219</v>
      </c>
      <c r="B620" s="5">
        <v>40126</v>
      </c>
      <c r="C620" t="str">
        <f t="shared" si="9"/>
        <v>CGVGR052.23_40126</v>
      </c>
      <c r="D620">
        <f>COUNTIF(data.SampSummary!$C$2:$C$1407,C620)</f>
        <v>0</v>
      </c>
    </row>
    <row r="621" spans="1:4" x14ac:dyDescent="0.25">
      <c r="A621" t="s">
        <v>329</v>
      </c>
      <c r="B621" s="5">
        <v>41751</v>
      </c>
      <c r="C621" t="str">
        <f t="shared" si="9"/>
        <v>VRWCL010.66_41751</v>
      </c>
      <c r="D621">
        <f>COUNTIF(data.SampSummary!$C$2:$C$1407,C621)</f>
        <v>1</v>
      </c>
    </row>
    <row r="622" spans="1:4" x14ac:dyDescent="0.25">
      <c r="A622" t="s">
        <v>378</v>
      </c>
      <c r="B622" s="5">
        <v>40107</v>
      </c>
      <c r="C622" t="str">
        <f t="shared" si="9"/>
        <v>CGHAV000.36_40107</v>
      </c>
      <c r="D622">
        <f>COUNTIF(data.SampSummary!$C$2:$C$1407,C622)</f>
        <v>1</v>
      </c>
    </row>
    <row r="623" spans="1:4" x14ac:dyDescent="0.25">
      <c r="A623" t="s">
        <v>60</v>
      </c>
      <c r="B623" s="5">
        <v>41746</v>
      </c>
      <c r="C623" t="str">
        <f t="shared" si="9"/>
        <v>VREVR051.15_41746</v>
      </c>
      <c r="D623">
        <f>COUNTIF(data.SampSummary!$C$2:$C$1407,C623)</f>
        <v>1</v>
      </c>
    </row>
    <row r="624" spans="1:4" x14ac:dyDescent="0.25">
      <c r="A624" t="s">
        <v>160</v>
      </c>
      <c r="B624" s="5">
        <v>40106</v>
      </c>
      <c r="C624" t="str">
        <f t="shared" si="9"/>
        <v>CGTAP000.08_40106</v>
      </c>
      <c r="D624">
        <f>COUNTIF(data.SampSummary!$C$2:$C$1407,C624)</f>
        <v>1</v>
      </c>
    </row>
    <row r="625" spans="1:4" x14ac:dyDescent="0.25">
      <c r="A625" t="s">
        <v>184</v>
      </c>
      <c r="B625" s="5">
        <v>40106</v>
      </c>
      <c r="C625" t="str">
        <f t="shared" si="9"/>
        <v>CGDEE000.07_40106</v>
      </c>
      <c r="D625">
        <f>COUNTIF(data.SampSummary!$C$2:$C$1407,C625)</f>
        <v>1</v>
      </c>
    </row>
    <row r="626" spans="1:4" x14ac:dyDescent="0.25">
      <c r="A626" t="s">
        <v>214</v>
      </c>
      <c r="B626" s="5">
        <v>40106</v>
      </c>
      <c r="C626" t="str">
        <f t="shared" si="9"/>
        <v>CGKAN000.26_40106</v>
      </c>
      <c r="D626">
        <f>COUNTIF(data.SampSummary!$C$2:$C$1407,C626)</f>
        <v>1</v>
      </c>
    </row>
    <row r="627" spans="1:4" x14ac:dyDescent="0.25">
      <c r="A627" t="s">
        <v>151</v>
      </c>
      <c r="B627" s="5">
        <v>41745</v>
      </c>
      <c r="C627" t="str">
        <f t="shared" si="9"/>
        <v>SRHAG013.09_41745</v>
      </c>
      <c r="D627">
        <f>COUNTIF(data.SampSummary!$C$2:$C$1407,C627)</f>
        <v>1</v>
      </c>
    </row>
    <row r="628" spans="1:4" x14ac:dyDescent="0.25">
      <c r="A628" t="s">
        <v>70</v>
      </c>
      <c r="B628" s="5">
        <v>41744</v>
      </c>
      <c r="C628" t="str">
        <f t="shared" si="9"/>
        <v>SRWFB003.45_41744</v>
      </c>
      <c r="D628">
        <f>COUNTIF(data.SampSummary!$C$2:$C$1407,C628)</f>
        <v>0</v>
      </c>
    </row>
    <row r="629" spans="1:4" x14ac:dyDescent="0.25">
      <c r="A629" t="s">
        <v>286</v>
      </c>
      <c r="B629" s="5">
        <v>40104</v>
      </c>
      <c r="C629" t="str">
        <f t="shared" si="9"/>
        <v>CGSHI000.05_40104</v>
      </c>
      <c r="D629">
        <f>COUNTIF(data.SampSummary!$C$2:$C$1407,C629)</f>
        <v>1</v>
      </c>
    </row>
    <row r="630" spans="1:4" x14ac:dyDescent="0.25">
      <c r="A630" t="s">
        <v>234</v>
      </c>
      <c r="B630" s="5">
        <v>41744</v>
      </c>
      <c r="C630" t="str">
        <f t="shared" si="9"/>
        <v>SPSPR014.18_41744</v>
      </c>
      <c r="D630">
        <f>COUNTIF(data.SampSummary!$C$2:$C$1407,C630)</f>
        <v>1</v>
      </c>
    </row>
    <row r="631" spans="1:4" x14ac:dyDescent="0.25">
      <c r="A631" t="s">
        <v>1634</v>
      </c>
      <c r="B631" s="5">
        <v>41725</v>
      </c>
      <c r="C631" t="str">
        <f t="shared" si="9"/>
        <v>UGEAG049.82_41725</v>
      </c>
      <c r="D631">
        <f>COUNTIF(data.SampSummary!$C$2:$C$1407,C631)</f>
        <v>0</v>
      </c>
    </row>
    <row r="632" spans="1:4" x14ac:dyDescent="0.25">
      <c r="A632" t="s">
        <v>142</v>
      </c>
      <c r="B632" s="5">
        <v>40086</v>
      </c>
      <c r="C632" t="str">
        <f t="shared" si="9"/>
        <v>LCLCR336.72_40086</v>
      </c>
      <c r="D632">
        <f>COUNTIF(data.SampSummary!$C$2:$C$1407,C632)</f>
        <v>0</v>
      </c>
    </row>
    <row r="633" spans="1:4" x14ac:dyDescent="0.25">
      <c r="A633" t="s">
        <v>95</v>
      </c>
      <c r="B633" s="5">
        <v>40086</v>
      </c>
      <c r="C633" t="str">
        <f t="shared" si="9"/>
        <v>LCRUD008.43_40086</v>
      </c>
      <c r="D633">
        <f>COUNTIF(data.SampSummary!$C$2:$C$1407,C633)</f>
        <v>0</v>
      </c>
    </row>
    <row r="634" spans="1:4" x14ac:dyDescent="0.25">
      <c r="A634" t="s">
        <v>62</v>
      </c>
      <c r="B634" s="5">
        <v>41724</v>
      </c>
      <c r="C634" t="str">
        <f t="shared" si="9"/>
        <v>LCBRB006.74_41724</v>
      </c>
      <c r="D634">
        <f>COUNTIF(data.SampSummary!$C$2:$C$1407,C634)</f>
        <v>0</v>
      </c>
    </row>
    <row r="635" spans="1:4" x14ac:dyDescent="0.25">
      <c r="A635" t="s">
        <v>2864</v>
      </c>
      <c r="B635" s="5">
        <v>41723</v>
      </c>
      <c r="C635" t="str">
        <f t="shared" si="9"/>
        <v>CLGLR007.11_41723</v>
      </c>
      <c r="D635">
        <f>COUNTIF(data.SampSummary!$C$2:$C$1407,C635)</f>
        <v>0</v>
      </c>
    </row>
    <row r="636" spans="1:4" x14ac:dyDescent="0.25">
      <c r="A636" t="s">
        <v>118</v>
      </c>
      <c r="B636" s="5">
        <v>40077</v>
      </c>
      <c r="C636" t="str">
        <f t="shared" si="9"/>
        <v>LCSIL027.05_40077</v>
      </c>
      <c r="D636">
        <f>COUNTIF(data.SampSummary!$C$2:$C$1407,C636)</f>
        <v>0</v>
      </c>
    </row>
    <row r="637" spans="1:4" x14ac:dyDescent="0.25">
      <c r="A637" t="s">
        <v>118</v>
      </c>
      <c r="B637" s="5">
        <v>41722</v>
      </c>
      <c r="C637" t="str">
        <f t="shared" si="9"/>
        <v>LCSIL027.05_41722</v>
      </c>
      <c r="D637">
        <f>COUNTIF(data.SampSummary!$C$2:$C$1407,C637)</f>
        <v>0</v>
      </c>
    </row>
    <row r="638" spans="1:4" x14ac:dyDescent="0.25">
      <c r="A638" t="s">
        <v>38</v>
      </c>
      <c r="B638" s="5">
        <v>41716</v>
      </c>
      <c r="C638" t="str">
        <f t="shared" si="9"/>
        <v>UGBLR046.35_41716</v>
      </c>
      <c r="D638">
        <f>COUNTIF(data.SampSummary!$C$2:$C$1407,C638)</f>
        <v>0</v>
      </c>
    </row>
    <row r="639" spans="1:4" x14ac:dyDescent="0.25">
      <c r="A639" t="s">
        <v>83</v>
      </c>
      <c r="B639" s="5">
        <v>40066</v>
      </c>
      <c r="C639" t="str">
        <f t="shared" si="9"/>
        <v>LCELR008.70_40066</v>
      </c>
      <c r="D639">
        <f>COUNTIF(data.SampSummary!$C$2:$C$1407,C639)</f>
        <v>0</v>
      </c>
    </row>
    <row r="640" spans="1:4" x14ac:dyDescent="0.25">
      <c r="A640" t="s">
        <v>106</v>
      </c>
      <c r="B640" s="5">
        <v>40066</v>
      </c>
      <c r="C640" t="str">
        <f t="shared" si="9"/>
        <v>LCWLR007.37_40066</v>
      </c>
      <c r="D640">
        <f>COUNTIF(data.SampSummary!$C$2:$C$1407,C640)</f>
        <v>0</v>
      </c>
    </row>
    <row r="641" spans="1:4" x14ac:dyDescent="0.25">
      <c r="A641" t="s">
        <v>106</v>
      </c>
      <c r="B641" s="5">
        <v>41715</v>
      </c>
      <c r="C641" t="str">
        <f t="shared" si="9"/>
        <v>LCWLR007.37_41715</v>
      </c>
      <c r="D641">
        <f>COUNTIF(data.SampSummary!$C$2:$C$1407,C641)</f>
        <v>0</v>
      </c>
    </row>
    <row r="642" spans="1:4" x14ac:dyDescent="0.25">
      <c r="A642" t="s">
        <v>2830</v>
      </c>
      <c r="B642" s="5">
        <v>40062</v>
      </c>
      <c r="C642" t="str">
        <f t="shared" si="9"/>
        <v>LCLCR200.23_40062</v>
      </c>
      <c r="D642">
        <f>COUNTIF(data.SampSummary!$C$2:$C$1407,C642)</f>
        <v>0</v>
      </c>
    </row>
    <row r="643" spans="1:4" x14ac:dyDescent="0.25">
      <c r="A643" t="s">
        <v>212</v>
      </c>
      <c r="B643" s="5">
        <v>41269</v>
      </c>
      <c r="C643" t="str">
        <f t="shared" ref="C643:C706" si="10">A643&amp;"_"&amp;B643</f>
        <v>BWBWR025.86_41269</v>
      </c>
      <c r="D643">
        <f>COUNTIF(data.SampSummary!$C$2:$C$1407,C643)</f>
        <v>0</v>
      </c>
    </row>
    <row r="644" spans="1:4" x14ac:dyDescent="0.25">
      <c r="A644" t="s">
        <v>2839</v>
      </c>
      <c r="B644" s="5">
        <v>41653</v>
      </c>
      <c r="C644" t="str">
        <f t="shared" si="10"/>
        <v>CLGLR011.17_41653</v>
      </c>
      <c r="D644">
        <f>COUNTIF(data.SampSummary!$C$2:$C$1407,C644)</f>
        <v>0</v>
      </c>
    </row>
    <row r="645" spans="1:4" x14ac:dyDescent="0.25">
      <c r="A645" t="s">
        <v>176</v>
      </c>
      <c r="B645" s="5">
        <v>40031</v>
      </c>
      <c r="C645" t="str">
        <f t="shared" si="10"/>
        <v>UGBLR036.37_40031</v>
      </c>
      <c r="D645">
        <f>COUNTIF(data.SampSummary!$C$2:$C$1407,C645)</f>
        <v>2</v>
      </c>
    </row>
    <row r="646" spans="1:4" x14ac:dyDescent="0.25">
      <c r="A646" t="s">
        <v>38</v>
      </c>
      <c r="B646" s="5">
        <v>40023</v>
      </c>
      <c r="C646" t="str">
        <f t="shared" si="10"/>
        <v>UGBLR046.35_40023</v>
      </c>
      <c r="D646">
        <f>COUNTIF(data.SampSummary!$C$2:$C$1407,C646)</f>
        <v>1</v>
      </c>
    </row>
    <row r="647" spans="1:4" x14ac:dyDescent="0.25">
      <c r="A647" t="s">
        <v>19</v>
      </c>
      <c r="B647" s="5">
        <v>41612</v>
      </c>
      <c r="C647" t="str">
        <f t="shared" si="10"/>
        <v>LCCOL003.03_41612</v>
      </c>
      <c r="D647">
        <f>COUNTIF(data.SampSummary!$C$2:$C$1407,C647)</f>
        <v>0</v>
      </c>
    </row>
    <row r="648" spans="1:4" x14ac:dyDescent="0.25">
      <c r="A648" t="s">
        <v>2814</v>
      </c>
      <c r="B648" s="5">
        <v>40001</v>
      </c>
      <c r="C648" t="str">
        <f t="shared" si="10"/>
        <v>LCSIL000.06_40001</v>
      </c>
      <c r="D648">
        <f>COUNTIF(data.SampSummary!$C$2:$C$1407,C648)</f>
        <v>0</v>
      </c>
    </row>
    <row r="649" spans="1:4" x14ac:dyDescent="0.25">
      <c r="A649" t="s">
        <v>2830</v>
      </c>
      <c r="B649" s="5">
        <v>40000</v>
      </c>
      <c r="C649" t="str">
        <f t="shared" si="10"/>
        <v>LCLCR200.23_40000</v>
      </c>
      <c r="D649">
        <f>COUNTIF(data.SampSummary!$C$2:$C$1407,C649)</f>
        <v>0</v>
      </c>
    </row>
    <row r="650" spans="1:4" x14ac:dyDescent="0.25">
      <c r="A650" t="s">
        <v>2839</v>
      </c>
      <c r="B650" s="5">
        <v>41597</v>
      </c>
      <c r="C650" t="str">
        <f t="shared" si="10"/>
        <v>CLGLR011.17_41597</v>
      </c>
      <c r="D650">
        <f>COUNTIF(data.SampSummary!$C$2:$C$1407,C650)</f>
        <v>0</v>
      </c>
    </row>
    <row r="651" spans="1:4" x14ac:dyDescent="0.25">
      <c r="A651" t="s">
        <v>2860</v>
      </c>
      <c r="B651" s="5">
        <v>40724</v>
      </c>
      <c r="C651" t="str">
        <f t="shared" si="10"/>
        <v>VREVR016.28_40724</v>
      </c>
      <c r="D651">
        <f>COUNTIF(data.SampSummary!$C$2:$C$1407,C651)</f>
        <v>0</v>
      </c>
    </row>
    <row r="652" spans="1:4" x14ac:dyDescent="0.25">
      <c r="A652" t="s">
        <v>299</v>
      </c>
      <c r="B652" s="5">
        <v>40724</v>
      </c>
      <c r="C652" t="str">
        <f t="shared" si="10"/>
        <v>VREVR023.23_40724</v>
      </c>
      <c r="D652">
        <f>COUNTIF(data.SampSummary!$C$2:$C$1407,C652)</f>
        <v>0</v>
      </c>
    </row>
    <row r="653" spans="1:4" x14ac:dyDescent="0.25">
      <c r="A653" t="s">
        <v>2853</v>
      </c>
      <c r="B653" s="5">
        <v>40723</v>
      </c>
      <c r="C653" t="str">
        <f t="shared" si="10"/>
        <v>VREVR046.18_40723</v>
      </c>
      <c r="D653">
        <f>COUNTIF(data.SampSummary!$C$2:$C$1407,C653)</f>
        <v>0</v>
      </c>
    </row>
    <row r="654" spans="1:4" x14ac:dyDescent="0.25">
      <c r="A654" t="s">
        <v>146</v>
      </c>
      <c r="B654" s="5">
        <v>40723</v>
      </c>
      <c r="C654" t="str">
        <f t="shared" si="10"/>
        <v>VREVR044.96_40723</v>
      </c>
      <c r="D654">
        <f>COUNTIF(data.SampSummary!$C$2:$C$1407,C654)</f>
        <v>0</v>
      </c>
    </row>
    <row r="655" spans="1:4" x14ac:dyDescent="0.25">
      <c r="A655" t="s">
        <v>186</v>
      </c>
      <c r="B655" s="5">
        <v>40722</v>
      </c>
      <c r="C655" t="str">
        <f t="shared" si="10"/>
        <v>VREVR034.80_40722</v>
      </c>
      <c r="D655">
        <f>COUNTIF(data.SampSummary!$C$2:$C$1407,C655)</f>
        <v>0</v>
      </c>
    </row>
    <row r="656" spans="1:4" x14ac:dyDescent="0.25">
      <c r="A656" t="s">
        <v>62</v>
      </c>
      <c r="B656" s="5">
        <v>41590</v>
      </c>
      <c r="C656" t="str">
        <f t="shared" si="10"/>
        <v>LCBRB006.74_41590</v>
      </c>
      <c r="D656">
        <f>COUNTIF(data.SampSummary!$C$2:$C$1407,C656)</f>
        <v>0</v>
      </c>
    </row>
    <row r="657" spans="1:4" x14ac:dyDescent="0.25">
      <c r="A657" t="s">
        <v>83</v>
      </c>
      <c r="B657" s="5">
        <v>41576</v>
      </c>
      <c r="C657" t="str">
        <f t="shared" si="10"/>
        <v>LCELR008.70_41576</v>
      </c>
      <c r="D657">
        <f>COUNTIF(data.SampSummary!$C$2:$C$1407,C657)</f>
        <v>0</v>
      </c>
    </row>
    <row r="658" spans="1:4" x14ac:dyDescent="0.25">
      <c r="A658" t="s">
        <v>106</v>
      </c>
      <c r="B658" s="5">
        <v>41576</v>
      </c>
      <c r="C658" t="str">
        <f t="shared" si="10"/>
        <v>LCWLR007.37_41576</v>
      </c>
      <c r="D658">
        <f>COUNTIF(data.SampSummary!$C$2:$C$1407,C658)</f>
        <v>0</v>
      </c>
    </row>
    <row r="659" spans="1:4" x14ac:dyDescent="0.25">
      <c r="A659" t="s">
        <v>34</v>
      </c>
      <c r="B659" s="5">
        <v>41576</v>
      </c>
      <c r="C659" t="str">
        <f t="shared" si="10"/>
        <v>LCELR005.67_41576</v>
      </c>
      <c r="D659">
        <f>COUNTIF(data.SampSummary!$C$2:$C$1407,C659)</f>
        <v>0</v>
      </c>
    </row>
    <row r="660" spans="1:4" x14ac:dyDescent="0.25">
      <c r="A660" t="s">
        <v>313</v>
      </c>
      <c r="B660" s="5">
        <v>40708</v>
      </c>
      <c r="C660" t="str">
        <f t="shared" si="10"/>
        <v>VRFOS011.88_40708</v>
      </c>
      <c r="D660">
        <f>COUNTIF(data.SampSummary!$C$2:$C$1407,C660)</f>
        <v>1</v>
      </c>
    </row>
    <row r="661" spans="1:4" x14ac:dyDescent="0.25">
      <c r="A661" t="s">
        <v>329</v>
      </c>
      <c r="B661" s="5">
        <v>40703</v>
      </c>
      <c r="C661" t="str">
        <f t="shared" si="10"/>
        <v>VRWCL010.66_40703</v>
      </c>
      <c r="D661">
        <f>COUNTIF(data.SampSummary!$C$2:$C$1407,C661)</f>
        <v>2</v>
      </c>
    </row>
    <row r="662" spans="1:4" x14ac:dyDescent="0.25">
      <c r="A662" t="s">
        <v>250</v>
      </c>
      <c r="B662" s="5">
        <v>40695</v>
      </c>
      <c r="C662" t="str">
        <f t="shared" si="10"/>
        <v>SRDEV000.38_40695</v>
      </c>
      <c r="D662">
        <f>COUNTIF(data.SampSummary!$C$2:$C$1407,C662)</f>
        <v>1</v>
      </c>
    </row>
    <row r="663" spans="1:4" x14ac:dyDescent="0.25">
      <c r="A663" t="s">
        <v>68</v>
      </c>
      <c r="B663" s="5">
        <v>41575</v>
      </c>
      <c r="C663" t="str">
        <f t="shared" si="10"/>
        <v>LCSLR001.42_41575</v>
      </c>
      <c r="D663">
        <f>COUNTIF(data.SampSummary!$C$2:$C$1407,C663)</f>
        <v>0</v>
      </c>
    </row>
    <row r="664" spans="1:4" x14ac:dyDescent="0.25">
      <c r="A664" t="s">
        <v>2865</v>
      </c>
      <c r="B664" s="5">
        <v>41892</v>
      </c>
      <c r="C664" t="str">
        <f t="shared" si="10"/>
        <v>UGNCV000.16_41892</v>
      </c>
      <c r="D664">
        <f>COUNTIF(data.SampSummary!$C$2:$C$1407,C664)</f>
        <v>0</v>
      </c>
    </row>
    <row r="665" spans="1:4" x14ac:dyDescent="0.25">
      <c r="A665" t="s">
        <v>60</v>
      </c>
      <c r="B665" s="5">
        <v>41570</v>
      </c>
      <c r="C665" t="str">
        <f t="shared" si="10"/>
        <v>VREVR051.15_41570</v>
      </c>
      <c r="D665">
        <f>COUNTIF(data.SampSummary!$C$2:$C$1407,C665)</f>
        <v>0</v>
      </c>
    </row>
    <row r="666" spans="1:4" x14ac:dyDescent="0.25">
      <c r="A666" t="s">
        <v>17</v>
      </c>
      <c r="B666" s="5">
        <v>40686</v>
      </c>
      <c r="C666" t="str">
        <f t="shared" si="10"/>
        <v>SRTON062.28_40686</v>
      </c>
      <c r="D666">
        <f>COUNTIF(data.SampSummary!$C$2:$C$1407,C666)</f>
        <v>1</v>
      </c>
    </row>
    <row r="667" spans="1:4" x14ac:dyDescent="0.25">
      <c r="A667" t="s">
        <v>59</v>
      </c>
      <c r="B667" s="5">
        <v>40680</v>
      </c>
      <c r="C667" t="str">
        <f t="shared" si="10"/>
        <v>VROAK045.64_40680</v>
      </c>
      <c r="D667">
        <f>COUNTIF(data.SampSummary!$C$2:$C$1407,C667)</f>
        <v>1</v>
      </c>
    </row>
    <row r="668" spans="1:4" x14ac:dyDescent="0.25">
      <c r="A668" t="s">
        <v>2850</v>
      </c>
      <c r="B668" s="5">
        <v>40674</v>
      </c>
      <c r="C668" t="str">
        <f t="shared" si="10"/>
        <v>LCSIL042.58_40674</v>
      </c>
      <c r="D668">
        <f>COUNTIF(data.SampSummary!$C$2:$C$1407,C668)</f>
        <v>0</v>
      </c>
    </row>
    <row r="669" spans="1:4" x14ac:dyDescent="0.25">
      <c r="A669" t="s">
        <v>232</v>
      </c>
      <c r="B669" s="5">
        <v>40674</v>
      </c>
      <c r="C669" t="str">
        <f t="shared" si="10"/>
        <v>SCSON016.78_40674</v>
      </c>
      <c r="D669">
        <f>COUNTIF(data.SampSummary!$C$2:$C$1407,C669)</f>
        <v>1</v>
      </c>
    </row>
    <row r="670" spans="1:4" x14ac:dyDescent="0.25">
      <c r="A670" t="s">
        <v>2828</v>
      </c>
      <c r="B670" s="5">
        <v>40673</v>
      </c>
      <c r="C670" t="str">
        <f t="shared" si="10"/>
        <v>LCLCR301.17_40673</v>
      </c>
      <c r="D670">
        <f>COUNTIF(data.SampSummary!$C$2:$C$1407,C670)</f>
        <v>0</v>
      </c>
    </row>
    <row r="671" spans="1:4" x14ac:dyDescent="0.25">
      <c r="A671" t="s">
        <v>120</v>
      </c>
      <c r="B671" s="5">
        <v>40673</v>
      </c>
      <c r="C671" t="str">
        <f t="shared" si="10"/>
        <v>LCLCR311.31_40673</v>
      </c>
      <c r="D671">
        <f>COUNTIF(data.SampSummary!$C$2:$C$1407,C671)</f>
        <v>0</v>
      </c>
    </row>
    <row r="672" spans="1:4" x14ac:dyDescent="0.25">
      <c r="A672" t="s">
        <v>178</v>
      </c>
      <c r="B672" s="5">
        <v>40673</v>
      </c>
      <c r="C672" t="str">
        <f t="shared" si="10"/>
        <v>SRCYN048.21_40673</v>
      </c>
      <c r="D672">
        <f>COUNTIF(data.SampSummary!$C$2:$C$1407,C672)</f>
        <v>1</v>
      </c>
    </row>
    <row r="673" spans="1:4" x14ac:dyDescent="0.25">
      <c r="A673" t="s">
        <v>124</v>
      </c>
      <c r="B673" s="5">
        <v>40672</v>
      </c>
      <c r="C673" t="str">
        <f t="shared" si="10"/>
        <v>LCSIL043.84_40672</v>
      </c>
      <c r="D673">
        <f>COUNTIF(data.SampSummary!$C$2:$C$1407,C673)</f>
        <v>1</v>
      </c>
    </row>
    <row r="674" spans="1:4" x14ac:dyDescent="0.25">
      <c r="A674" t="s">
        <v>19</v>
      </c>
      <c r="B674" s="5">
        <v>41556</v>
      </c>
      <c r="C674" t="str">
        <f t="shared" si="10"/>
        <v>LCCOL003.03_41556</v>
      </c>
      <c r="D674">
        <f>COUNTIF(data.SampSummary!$C$2:$C$1407,C674)</f>
        <v>0</v>
      </c>
    </row>
    <row r="675" spans="1:4" x14ac:dyDescent="0.25">
      <c r="A675" t="s">
        <v>28</v>
      </c>
      <c r="B675" s="5">
        <v>41556</v>
      </c>
      <c r="C675" t="str">
        <f t="shared" si="10"/>
        <v>UGBLR030.24_41556</v>
      </c>
      <c r="D675">
        <f>COUNTIF(data.SampSummary!$C$2:$C$1407,C675)</f>
        <v>0</v>
      </c>
    </row>
    <row r="676" spans="1:4" x14ac:dyDescent="0.25">
      <c r="A676" t="s">
        <v>84</v>
      </c>
      <c r="B676" s="5">
        <v>40668</v>
      </c>
      <c r="C676" t="str">
        <f t="shared" si="10"/>
        <v>SRRES000.33_40668</v>
      </c>
      <c r="D676">
        <f>COUNTIF(data.SampSummary!$C$2:$C$1407,C676)</f>
        <v>0</v>
      </c>
    </row>
    <row r="677" spans="1:4" x14ac:dyDescent="0.25">
      <c r="A677" t="s">
        <v>274</v>
      </c>
      <c r="B677" s="5">
        <v>40659</v>
      </c>
      <c r="C677" t="str">
        <f t="shared" si="10"/>
        <v>VRVER165.07_40659</v>
      </c>
      <c r="D677">
        <f>COUNTIF(data.SampSummary!$C$2:$C$1407,C677)</f>
        <v>1</v>
      </c>
    </row>
    <row r="678" spans="1:4" x14ac:dyDescent="0.25">
      <c r="A678" t="s">
        <v>318</v>
      </c>
      <c r="B678" s="5">
        <v>40658</v>
      </c>
      <c r="C678" t="str">
        <f t="shared" si="10"/>
        <v>VROAK042.78_40658</v>
      </c>
      <c r="D678">
        <f>COUNTIF(data.SampSummary!$C$2:$C$1407,C678)</f>
        <v>1</v>
      </c>
    </row>
    <row r="679" spans="1:4" x14ac:dyDescent="0.25">
      <c r="A679" t="s">
        <v>168</v>
      </c>
      <c r="B679" s="5">
        <v>40645</v>
      </c>
      <c r="C679" t="str">
        <f t="shared" si="10"/>
        <v>VRELL009.02_40645</v>
      </c>
      <c r="D679">
        <f>COUNTIF(data.SampSummary!$C$2:$C$1407,C679)</f>
        <v>0</v>
      </c>
    </row>
    <row r="680" spans="1:4" x14ac:dyDescent="0.25">
      <c r="A680" t="s">
        <v>40</v>
      </c>
      <c r="B680" s="5">
        <v>40645</v>
      </c>
      <c r="C680" t="str">
        <f t="shared" si="10"/>
        <v>VRWEB009.13_40645</v>
      </c>
      <c r="D680">
        <f>COUNTIF(data.SampSummary!$C$2:$C$1407,C680)</f>
        <v>0</v>
      </c>
    </row>
    <row r="681" spans="1:4" x14ac:dyDescent="0.25">
      <c r="A681" t="s">
        <v>313</v>
      </c>
      <c r="B681" s="5">
        <v>40644</v>
      </c>
      <c r="C681" t="str">
        <f t="shared" si="10"/>
        <v>VRFOS011.88_40644</v>
      </c>
      <c r="D681">
        <f>COUNTIF(data.SampSummary!$C$2:$C$1407,C681)</f>
        <v>0</v>
      </c>
    </row>
    <row r="682" spans="1:4" x14ac:dyDescent="0.25">
      <c r="A682" t="s">
        <v>220</v>
      </c>
      <c r="B682" s="5">
        <v>40639</v>
      </c>
      <c r="C682" t="str">
        <f t="shared" si="10"/>
        <v>SRWPN004.47_40639</v>
      </c>
      <c r="D682">
        <f>COUNTIF(data.SampSummary!$C$2:$C$1407,C682)</f>
        <v>0</v>
      </c>
    </row>
    <row r="683" spans="1:4" x14ac:dyDescent="0.25">
      <c r="A683" t="s">
        <v>79</v>
      </c>
      <c r="B683" s="5">
        <v>40856</v>
      </c>
      <c r="C683" t="str">
        <f t="shared" si="10"/>
        <v>UGETK011.80_40856</v>
      </c>
      <c r="D683">
        <f>COUNTIF(data.SampSummary!$C$2:$C$1407,C683)</f>
        <v>0</v>
      </c>
    </row>
    <row r="684" spans="1:4" x14ac:dyDescent="0.25">
      <c r="A684" t="s">
        <v>2845</v>
      </c>
      <c r="B684" s="5">
        <v>40632</v>
      </c>
      <c r="C684" t="str">
        <f t="shared" si="10"/>
        <v>VRAMG003.62_40632</v>
      </c>
      <c r="D684">
        <f>COUNTIF(data.SampSummary!$C$2:$C$1407,C684)</f>
        <v>0</v>
      </c>
    </row>
    <row r="685" spans="1:4" x14ac:dyDescent="0.25">
      <c r="A685" t="s">
        <v>299</v>
      </c>
      <c r="B685" s="5">
        <v>40631</v>
      </c>
      <c r="C685" t="str">
        <f t="shared" si="10"/>
        <v>VREVR023.23_40631</v>
      </c>
      <c r="D685">
        <f>COUNTIF(data.SampSummary!$C$2:$C$1407,C685)</f>
        <v>0</v>
      </c>
    </row>
    <row r="686" spans="1:4" x14ac:dyDescent="0.25">
      <c r="A686" t="s">
        <v>2860</v>
      </c>
      <c r="B686" s="5">
        <v>40631</v>
      </c>
      <c r="C686" t="str">
        <f t="shared" si="10"/>
        <v>VREVR016.28_40631</v>
      </c>
      <c r="D686">
        <f>COUNTIF(data.SampSummary!$C$2:$C$1407,C686)</f>
        <v>0</v>
      </c>
    </row>
    <row r="687" spans="1:4" x14ac:dyDescent="0.25">
      <c r="A687" t="s">
        <v>2827</v>
      </c>
      <c r="B687" s="5">
        <v>40631</v>
      </c>
      <c r="C687" t="str">
        <f t="shared" si="10"/>
        <v>VREVR027.67_40631</v>
      </c>
      <c r="D687">
        <f>COUNTIF(data.SampSummary!$C$2:$C$1407,C687)</f>
        <v>0</v>
      </c>
    </row>
    <row r="688" spans="1:4" x14ac:dyDescent="0.25">
      <c r="A688" t="s">
        <v>151</v>
      </c>
      <c r="B688" s="5">
        <v>41535</v>
      </c>
      <c r="C688" t="str">
        <f t="shared" si="10"/>
        <v>SRHAG013.09_41535</v>
      </c>
      <c r="D688">
        <f>COUNTIF(data.SampSummary!$C$2:$C$1407,C688)</f>
        <v>0</v>
      </c>
    </row>
    <row r="689" spans="1:4" x14ac:dyDescent="0.25">
      <c r="A689" t="s">
        <v>332</v>
      </c>
      <c r="B689" s="5">
        <v>40626</v>
      </c>
      <c r="C689" t="str">
        <f t="shared" si="10"/>
        <v>VROAK013.95_40626</v>
      </c>
      <c r="D689">
        <f>COUNTIF(data.SampSummary!$C$2:$C$1407,C689)</f>
        <v>0</v>
      </c>
    </row>
    <row r="690" spans="1:4" x14ac:dyDescent="0.25">
      <c r="A690" t="s">
        <v>329</v>
      </c>
      <c r="B690" s="5">
        <v>40626</v>
      </c>
      <c r="C690" t="str">
        <f t="shared" si="10"/>
        <v>VRWCL010.66_40626</v>
      </c>
      <c r="D690">
        <f>COUNTIF(data.SampSummary!$C$2:$C$1407,C690)</f>
        <v>0</v>
      </c>
    </row>
    <row r="691" spans="1:4" x14ac:dyDescent="0.25">
      <c r="A691" t="s">
        <v>45</v>
      </c>
      <c r="B691" s="5">
        <v>40625</v>
      </c>
      <c r="C691" t="str">
        <f t="shared" si="10"/>
        <v>SRREY001.14_40625</v>
      </c>
      <c r="D691">
        <f>COUNTIF(data.SampSummary!$C$2:$C$1407,C691)</f>
        <v>0</v>
      </c>
    </row>
    <row r="692" spans="1:4" x14ac:dyDescent="0.25">
      <c r="A692" t="s">
        <v>250</v>
      </c>
      <c r="B692" s="5">
        <v>40625</v>
      </c>
      <c r="C692" t="str">
        <f t="shared" si="10"/>
        <v>SRDEV000.38_40625</v>
      </c>
      <c r="D692">
        <f>COUNTIF(data.SampSummary!$C$2:$C$1407,C692)</f>
        <v>0</v>
      </c>
    </row>
    <row r="693" spans="1:4" x14ac:dyDescent="0.25">
      <c r="A693" t="s">
        <v>178</v>
      </c>
      <c r="B693" s="5">
        <v>40610</v>
      </c>
      <c r="C693" t="str">
        <f t="shared" si="10"/>
        <v>SRCYN048.21_40610</v>
      </c>
      <c r="D693">
        <f>COUNTIF(data.SampSummary!$C$2:$C$1407,C693)</f>
        <v>0</v>
      </c>
    </row>
    <row r="694" spans="1:4" x14ac:dyDescent="0.25">
      <c r="A694" t="s">
        <v>124</v>
      </c>
      <c r="B694" s="5">
        <v>40609</v>
      </c>
      <c r="C694" t="str">
        <f t="shared" si="10"/>
        <v>LCSIL043.84_40609</v>
      </c>
      <c r="D694">
        <f>COUNTIF(data.SampSummary!$C$2:$C$1407,C694)</f>
        <v>0</v>
      </c>
    </row>
    <row r="695" spans="1:4" x14ac:dyDescent="0.25">
      <c r="A695" t="s">
        <v>2850</v>
      </c>
      <c r="B695" s="5">
        <v>40609</v>
      </c>
      <c r="C695" t="str">
        <f t="shared" si="10"/>
        <v>LCSIL042.58_40609</v>
      </c>
      <c r="D695">
        <f>COUNTIF(data.SampSummary!$C$2:$C$1407,C695)</f>
        <v>0</v>
      </c>
    </row>
    <row r="696" spans="1:4" x14ac:dyDescent="0.25">
      <c r="A696" t="s">
        <v>147</v>
      </c>
      <c r="B696" s="5">
        <v>41534</v>
      </c>
      <c r="C696" t="str">
        <f t="shared" si="10"/>
        <v>SRUNF002.31_41534</v>
      </c>
      <c r="D696">
        <f>COUNTIF(data.SampSummary!$C$2:$C$1407,C696)</f>
        <v>0</v>
      </c>
    </row>
    <row r="697" spans="1:4" x14ac:dyDescent="0.25">
      <c r="A697" t="s">
        <v>114</v>
      </c>
      <c r="B697" s="5">
        <v>41534</v>
      </c>
      <c r="C697" t="str">
        <f t="shared" si="10"/>
        <v>LCBIL000.15_41534</v>
      </c>
      <c r="D697">
        <f>COUNTIF(data.SampSummary!$C$2:$C$1407,C697)</f>
        <v>0</v>
      </c>
    </row>
    <row r="698" spans="1:4" x14ac:dyDescent="0.25">
      <c r="A698" t="s">
        <v>365</v>
      </c>
      <c r="B698" s="5">
        <v>40597</v>
      </c>
      <c r="C698" t="str">
        <f t="shared" si="10"/>
        <v>SCSCR103.45_40597</v>
      </c>
      <c r="D698">
        <f>COUNTIF(data.SampSummary!$C$2:$C$1407,C698)</f>
        <v>0</v>
      </c>
    </row>
    <row r="699" spans="1:4" x14ac:dyDescent="0.25">
      <c r="A699" t="s">
        <v>2775</v>
      </c>
      <c r="B699" s="5">
        <v>40597</v>
      </c>
      <c r="C699" t="str">
        <f t="shared" si="10"/>
        <v>SCSON018.31_40597</v>
      </c>
      <c r="D699">
        <f>COUNTIF(data.SampSummary!$C$2:$C$1407,C699)</f>
        <v>0</v>
      </c>
    </row>
    <row r="700" spans="1:4" x14ac:dyDescent="0.25">
      <c r="A700" t="s">
        <v>274</v>
      </c>
      <c r="B700" s="5">
        <v>40596</v>
      </c>
      <c r="C700" t="str">
        <f t="shared" si="10"/>
        <v>VRVER165.07_40596</v>
      </c>
      <c r="D700">
        <f>COUNTIF(data.SampSummary!$C$2:$C$1407,C700)</f>
        <v>0</v>
      </c>
    </row>
    <row r="701" spans="1:4" x14ac:dyDescent="0.25">
      <c r="A701" t="s">
        <v>86</v>
      </c>
      <c r="B701" s="5">
        <v>41533</v>
      </c>
      <c r="C701" t="str">
        <f t="shared" si="10"/>
        <v>SRWFB005.34_41533</v>
      </c>
      <c r="D701">
        <f>COUNTIF(data.SampSummary!$C$2:$C$1407,C701)</f>
        <v>0</v>
      </c>
    </row>
    <row r="702" spans="1:4" x14ac:dyDescent="0.25">
      <c r="A702" t="s">
        <v>2866</v>
      </c>
      <c r="B702" s="5">
        <v>40583</v>
      </c>
      <c r="C702" t="str">
        <f t="shared" si="10"/>
        <v>VRWLK000.99_40583</v>
      </c>
      <c r="D702">
        <f>COUNTIF(data.SampSummary!$C$2:$C$1407,C702)</f>
        <v>0</v>
      </c>
    </row>
    <row r="703" spans="1:4" x14ac:dyDescent="0.25">
      <c r="A703" t="s">
        <v>35</v>
      </c>
      <c r="B703" s="5">
        <v>40798</v>
      </c>
      <c r="C703" t="str">
        <f t="shared" si="10"/>
        <v>UGCMB004.23_40798</v>
      </c>
      <c r="D703">
        <f>COUNTIF(data.SampSummary!$C$2:$C$1407,C703)</f>
        <v>0</v>
      </c>
    </row>
    <row r="704" spans="1:4" x14ac:dyDescent="0.25">
      <c r="A704" t="s">
        <v>59</v>
      </c>
      <c r="B704" s="5">
        <v>40582</v>
      </c>
      <c r="C704" t="str">
        <f t="shared" si="10"/>
        <v>VROAK045.64_40582</v>
      </c>
      <c r="D704">
        <f>COUNTIF(data.SampSummary!$C$2:$C$1407,C704)</f>
        <v>0</v>
      </c>
    </row>
    <row r="705" spans="1:4" x14ac:dyDescent="0.25">
      <c r="A705" t="s">
        <v>295</v>
      </c>
      <c r="B705" s="5">
        <v>41388</v>
      </c>
      <c r="C705" t="str">
        <f t="shared" si="10"/>
        <v>VRROU002.93_41388</v>
      </c>
      <c r="D705">
        <f>COUNTIF(data.SampSummary!$C$2:$C$1407,C705)</f>
        <v>1</v>
      </c>
    </row>
    <row r="706" spans="1:4" x14ac:dyDescent="0.25">
      <c r="A706" t="s">
        <v>130</v>
      </c>
      <c r="B706" s="5">
        <v>40521</v>
      </c>
      <c r="C706" t="str">
        <f t="shared" si="10"/>
        <v>LCCHC073.26_40521</v>
      </c>
      <c r="D706">
        <f>COUNTIF(data.SampSummary!$C$2:$C$1407,C706)</f>
        <v>0</v>
      </c>
    </row>
    <row r="707" spans="1:4" x14ac:dyDescent="0.25">
      <c r="A707" t="s">
        <v>178</v>
      </c>
      <c r="B707" s="5">
        <v>40512</v>
      </c>
      <c r="C707" t="str">
        <f t="shared" ref="C707:C770" si="11">A707&amp;"_"&amp;B707</f>
        <v>SRCYN048.21_40512</v>
      </c>
      <c r="D707">
        <f>COUNTIF(data.SampSummary!$C$2:$C$1407,C707)</f>
        <v>0</v>
      </c>
    </row>
    <row r="708" spans="1:4" x14ac:dyDescent="0.25">
      <c r="A708" t="s">
        <v>59</v>
      </c>
      <c r="B708" s="5">
        <v>40499</v>
      </c>
      <c r="C708" t="str">
        <f t="shared" si="11"/>
        <v>VROAK045.64_40499</v>
      </c>
      <c r="D708">
        <f>COUNTIF(data.SampSummary!$C$2:$C$1407,C708)</f>
        <v>0</v>
      </c>
    </row>
    <row r="709" spans="1:4" x14ac:dyDescent="0.25">
      <c r="A709" t="s">
        <v>329</v>
      </c>
      <c r="B709" s="5">
        <v>40499</v>
      </c>
      <c r="C709" t="str">
        <f t="shared" si="11"/>
        <v>VRWCL010.66_40499</v>
      </c>
      <c r="D709">
        <f>COUNTIF(data.SampSummary!$C$2:$C$1407,C709)</f>
        <v>0</v>
      </c>
    </row>
    <row r="710" spans="1:4" x14ac:dyDescent="0.25">
      <c r="A710" t="s">
        <v>274</v>
      </c>
      <c r="B710" s="5">
        <v>40498</v>
      </c>
      <c r="C710" t="str">
        <f t="shared" si="11"/>
        <v>VRVER165.07_40498</v>
      </c>
      <c r="D710">
        <f>COUNTIF(data.SampSummary!$C$2:$C$1407,C710)</f>
        <v>0</v>
      </c>
    </row>
    <row r="711" spans="1:4" x14ac:dyDescent="0.25">
      <c r="A711" t="s">
        <v>318</v>
      </c>
      <c r="B711" s="5">
        <v>40498</v>
      </c>
      <c r="C711" t="str">
        <f t="shared" si="11"/>
        <v>VROAK042.78_40498</v>
      </c>
      <c r="D711">
        <f>COUNTIF(data.SampSummary!$C$2:$C$1407,C711)</f>
        <v>0</v>
      </c>
    </row>
    <row r="712" spans="1:4" x14ac:dyDescent="0.25">
      <c r="A712" t="s">
        <v>186</v>
      </c>
      <c r="B712" s="5">
        <v>41481</v>
      </c>
      <c r="C712" t="str">
        <f t="shared" si="11"/>
        <v>VREVR034.80_41481</v>
      </c>
      <c r="D712">
        <f>COUNTIF(data.SampSummary!$C$2:$C$1407,C712)</f>
        <v>0</v>
      </c>
    </row>
    <row r="713" spans="1:4" x14ac:dyDescent="0.25">
      <c r="A713" t="s">
        <v>332</v>
      </c>
      <c r="B713" s="5">
        <v>40498</v>
      </c>
      <c r="C713" t="str">
        <f t="shared" si="11"/>
        <v>VROAK013.95_40498</v>
      </c>
      <c r="D713">
        <f>COUNTIF(data.SampSummary!$C$2:$C$1407,C713)</f>
        <v>0</v>
      </c>
    </row>
    <row r="714" spans="1:4" x14ac:dyDescent="0.25">
      <c r="A714" t="s">
        <v>2849</v>
      </c>
      <c r="B714" s="5">
        <v>40492</v>
      </c>
      <c r="C714" t="str">
        <f t="shared" si="11"/>
        <v>SCSCR096.72_40492</v>
      </c>
      <c r="D714">
        <f>COUNTIF(data.SampSummary!$C$2:$C$1407,C714)</f>
        <v>0</v>
      </c>
    </row>
    <row r="715" spans="1:4" x14ac:dyDescent="0.25">
      <c r="A715" t="s">
        <v>213</v>
      </c>
      <c r="B715" s="5">
        <v>40486</v>
      </c>
      <c r="C715" t="str">
        <f t="shared" si="11"/>
        <v>VRPIE008.19_40486</v>
      </c>
      <c r="D715">
        <f>COUNTIF(data.SampSummary!$C$2:$C$1407,C715)</f>
        <v>0</v>
      </c>
    </row>
    <row r="716" spans="1:4" x14ac:dyDescent="0.25">
      <c r="A716" t="s">
        <v>124</v>
      </c>
      <c r="B716" s="5">
        <v>40484</v>
      </c>
      <c r="C716" t="str">
        <f t="shared" si="11"/>
        <v>LCSIL043.84_40484</v>
      </c>
      <c r="D716">
        <f>COUNTIF(data.SampSummary!$C$2:$C$1407,C716)</f>
        <v>0</v>
      </c>
    </row>
    <row r="717" spans="1:4" x14ac:dyDescent="0.25">
      <c r="A717" t="s">
        <v>26</v>
      </c>
      <c r="B717" s="5">
        <v>40478</v>
      </c>
      <c r="C717" t="str">
        <f t="shared" si="11"/>
        <v>VRPIE016.49_40478</v>
      </c>
      <c r="D717">
        <f>COUNTIF(data.SampSummary!$C$2:$C$1407,C717)</f>
        <v>0</v>
      </c>
    </row>
    <row r="718" spans="1:4" x14ac:dyDescent="0.25">
      <c r="A718" t="s">
        <v>2858</v>
      </c>
      <c r="B718" s="5">
        <v>41474</v>
      </c>
      <c r="C718" t="str">
        <f t="shared" si="11"/>
        <v>VREVR023.39_41474</v>
      </c>
      <c r="D718">
        <f>COUNTIF(data.SampSummary!$C$2:$C$1407,C718)</f>
        <v>0</v>
      </c>
    </row>
    <row r="719" spans="1:4" x14ac:dyDescent="0.25">
      <c r="A719" t="s">
        <v>84</v>
      </c>
      <c r="B719" s="5">
        <v>40463</v>
      </c>
      <c r="C719" t="str">
        <f t="shared" si="11"/>
        <v>SRRES000.33_40463</v>
      </c>
      <c r="D719">
        <f>COUNTIF(data.SampSummary!$C$2:$C$1407,C719)</f>
        <v>0</v>
      </c>
    </row>
    <row r="720" spans="1:4" x14ac:dyDescent="0.25">
      <c r="A720" t="s">
        <v>230</v>
      </c>
      <c r="B720" s="5">
        <v>41163</v>
      </c>
      <c r="C720" t="str">
        <f t="shared" si="11"/>
        <v>VREVR023.59_41163</v>
      </c>
      <c r="D720">
        <f>COUNTIF(data.SampSummary!$C$2:$C$1407,C720)</f>
        <v>0</v>
      </c>
    </row>
    <row r="721" spans="1:4" x14ac:dyDescent="0.25">
      <c r="A721" t="s">
        <v>100</v>
      </c>
      <c r="B721" s="5">
        <v>40462</v>
      </c>
      <c r="C721" t="str">
        <f t="shared" si="11"/>
        <v>SRBWL005.79_40462</v>
      </c>
      <c r="D721">
        <f>COUNTIF(data.SampSummary!$C$2:$C$1407,C721)</f>
        <v>0</v>
      </c>
    </row>
    <row r="722" spans="1:4" x14ac:dyDescent="0.25">
      <c r="A722" t="s">
        <v>274</v>
      </c>
      <c r="B722" s="5">
        <v>40450</v>
      </c>
      <c r="C722" t="str">
        <f t="shared" si="11"/>
        <v>VRVER165.07_40450</v>
      </c>
      <c r="D722">
        <f>COUNTIF(data.SampSummary!$C$2:$C$1407,C722)</f>
        <v>0</v>
      </c>
    </row>
    <row r="723" spans="1:4" x14ac:dyDescent="0.25">
      <c r="A723" t="s">
        <v>2867</v>
      </c>
      <c r="B723" s="5">
        <v>40449</v>
      </c>
      <c r="C723" t="str">
        <f t="shared" si="11"/>
        <v>LCSIL043.30_40449</v>
      </c>
      <c r="D723">
        <f>COUNTIF(data.SampSummary!$C$2:$C$1407,C723)</f>
        <v>0</v>
      </c>
    </row>
    <row r="724" spans="1:4" x14ac:dyDescent="0.25">
      <c r="A724" t="s">
        <v>2868</v>
      </c>
      <c r="B724" s="5">
        <v>42165</v>
      </c>
      <c r="C724" t="str">
        <f t="shared" si="11"/>
        <v>LCLCR352.03_42165</v>
      </c>
      <c r="D724">
        <f>COUNTIF(data.SampSummary!$C$2:$C$1407,C724)</f>
        <v>0</v>
      </c>
    </row>
    <row r="725" spans="1:4" x14ac:dyDescent="0.25">
      <c r="A725" t="s">
        <v>45</v>
      </c>
      <c r="B725" s="5">
        <v>40443</v>
      </c>
      <c r="C725" t="str">
        <f t="shared" si="11"/>
        <v>SRREY001.14_40443</v>
      </c>
      <c r="D725">
        <f>COUNTIF(data.SampSummary!$C$2:$C$1407,C725)</f>
        <v>0</v>
      </c>
    </row>
    <row r="726" spans="1:4" x14ac:dyDescent="0.25">
      <c r="A726" t="s">
        <v>2869</v>
      </c>
      <c r="B726" s="5">
        <v>42165</v>
      </c>
      <c r="C726" t="str">
        <f t="shared" si="11"/>
        <v>LCLCR350.73_42165</v>
      </c>
      <c r="D726">
        <f>COUNTIF(data.SampSummary!$C$2:$C$1407,C726)</f>
        <v>0</v>
      </c>
    </row>
    <row r="727" spans="1:4" x14ac:dyDescent="0.25">
      <c r="A727" t="s">
        <v>250</v>
      </c>
      <c r="B727" s="5">
        <v>40442</v>
      </c>
      <c r="C727" t="str">
        <f t="shared" si="11"/>
        <v>SRDEV000.38_40442</v>
      </c>
      <c r="D727">
        <f>COUNTIF(data.SampSummary!$C$2:$C$1407,C727)</f>
        <v>0</v>
      </c>
    </row>
    <row r="728" spans="1:4" x14ac:dyDescent="0.25">
      <c r="A728" t="s">
        <v>2861</v>
      </c>
      <c r="B728" s="5">
        <v>40430</v>
      </c>
      <c r="C728" t="str">
        <f t="shared" si="11"/>
        <v>SPSPR101.25_40430</v>
      </c>
      <c r="D728">
        <f>COUNTIF(data.SampSummary!$C$2:$C$1407,C728)</f>
        <v>0</v>
      </c>
    </row>
    <row r="729" spans="1:4" x14ac:dyDescent="0.25">
      <c r="A729" t="s">
        <v>328</v>
      </c>
      <c r="B729" s="5">
        <v>42144</v>
      </c>
      <c r="C729" t="str">
        <f t="shared" si="11"/>
        <v>UGSFR019.04_42144</v>
      </c>
      <c r="D729">
        <f>COUNTIF(data.SampSummary!$C$2:$C$1407,C729)</f>
        <v>0</v>
      </c>
    </row>
    <row r="730" spans="1:4" x14ac:dyDescent="0.25">
      <c r="A730" t="s">
        <v>64</v>
      </c>
      <c r="B730" s="5">
        <v>40423</v>
      </c>
      <c r="C730" t="str">
        <f t="shared" si="11"/>
        <v>SRCKN001.61_40423</v>
      </c>
      <c r="D730">
        <f>COUNTIF(data.SampSummary!$C$2:$C$1407,C730)</f>
        <v>0</v>
      </c>
    </row>
    <row r="731" spans="1:4" x14ac:dyDescent="0.25">
      <c r="A731" t="s">
        <v>100</v>
      </c>
      <c r="B731" s="5">
        <v>40422</v>
      </c>
      <c r="C731" t="str">
        <f t="shared" si="11"/>
        <v>SRBWL005.79_40422</v>
      </c>
      <c r="D731">
        <f>COUNTIF(data.SampSummary!$C$2:$C$1407,C731)</f>
        <v>0</v>
      </c>
    </row>
    <row r="732" spans="1:4" x14ac:dyDescent="0.25">
      <c r="A732" t="s">
        <v>213</v>
      </c>
      <c r="B732" s="5">
        <v>41165</v>
      </c>
      <c r="C732" t="str">
        <f t="shared" si="11"/>
        <v>VRPIE008.19_41165</v>
      </c>
      <c r="D732">
        <f>COUNTIF(data.SampSummary!$C$2:$C$1407,C732)</f>
        <v>0</v>
      </c>
    </row>
    <row r="733" spans="1:4" x14ac:dyDescent="0.25">
      <c r="A733" t="s">
        <v>57</v>
      </c>
      <c r="B733" s="5">
        <v>40421</v>
      </c>
      <c r="C733" t="str">
        <f t="shared" si="11"/>
        <v>SREFB008.27_40421</v>
      </c>
      <c r="D733">
        <f>COUNTIF(data.SampSummary!$C$2:$C$1407,C733)</f>
        <v>0</v>
      </c>
    </row>
    <row r="734" spans="1:4" x14ac:dyDescent="0.25">
      <c r="A734" t="s">
        <v>353</v>
      </c>
      <c r="B734" s="5">
        <v>42143</v>
      </c>
      <c r="C734" t="str">
        <f t="shared" si="11"/>
        <v>UGEAG013.81_42143</v>
      </c>
      <c r="D734">
        <f>COUNTIF(data.SampSummary!$C$2:$C$1407,C734)</f>
        <v>1</v>
      </c>
    </row>
    <row r="735" spans="1:4" x14ac:dyDescent="0.25">
      <c r="A735" t="s">
        <v>124</v>
      </c>
      <c r="B735" s="5">
        <v>40416</v>
      </c>
      <c r="C735" t="str">
        <f t="shared" si="11"/>
        <v>LCSIL043.84_40416</v>
      </c>
      <c r="D735">
        <f>COUNTIF(data.SampSummary!$C$2:$C$1407,C735)</f>
        <v>0</v>
      </c>
    </row>
    <row r="736" spans="1:4" x14ac:dyDescent="0.25">
      <c r="A736" t="s">
        <v>39</v>
      </c>
      <c r="B736" s="5">
        <v>42136</v>
      </c>
      <c r="C736" t="str">
        <f t="shared" si="11"/>
        <v>UGFRY009.52_42136</v>
      </c>
      <c r="D736">
        <f>COUNTIF(data.SampSummary!$C$2:$C$1407,C736)</f>
        <v>2</v>
      </c>
    </row>
    <row r="737" spans="1:4" x14ac:dyDescent="0.25">
      <c r="A737" t="s">
        <v>178</v>
      </c>
      <c r="B737" s="5">
        <v>40415</v>
      </c>
      <c r="C737" t="str">
        <f t="shared" si="11"/>
        <v>SRCYN048.21_40415</v>
      </c>
      <c r="D737">
        <f>COUNTIF(data.SampSummary!$C$2:$C$1407,C737)</f>
        <v>1</v>
      </c>
    </row>
    <row r="738" spans="1:4" x14ac:dyDescent="0.25">
      <c r="A738" t="s">
        <v>201</v>
      </c>
      <c r="B738" s="5">
        <v>40386</v>
      </c>
      <c r="C738" t="str">
        <f t="shared" si="11"/>
        <v>SPSPR006.75_40386</v>
      </c>
      <c r="D738">
        <f>COUNTIF(data.SampSummary!$C$2:$C$1407,C738)</f>
        <v>0</v>
      </c>
    </row>
    <row r="739" spans="1:4" x14ac:dyDescent="0.25">
      <c r="A739" t="s">
        <v>2851</v>
      </c>
      <c r="B739" s="5">
        <v>40386</v>
      </c>
      <c r="C739" t="str">
        <f t="shared" si="11"/>
        <v>SPSPR013.29_40386</v>
      </c>
      <c r="D739">
        <f>COUNTIF(data.SampSummary!$C$2:$C$1407,C739)</f>
        <v>0</v>
      </c>
    </row>
    <row r="740" spans="1:4" x14ac:dyDescent="0.25">
      <c r="A740" t="s">
        <v>32</v>
      </c>
      <c r="B740" s="5">
        <v>40386</v>
      </c>
      <c r="C740" t="str">
        <f t="shared" si="11"/>
        <v>SRBGY002.86_40386</v>
      </c>
      <c r="D740">
        <f>COUNTIF(data.SampSummary!$C$2:$C$1407,C740)</f>
        <v>0</v>
      </c>
    </row>
    <row r="741" spans="1:4" x14ac:dyDescent="0.25">
      <c r="A741" t="s">
        <v>228</v>
      </c>
      <c r="B741" s="5">
        <v>42109</v>
      </c>
      <c r="C741" t="str">
        <f t="shared" si="11"/>
        <v>MGHSR048.20_42109</v>
      </c>
      <c r="D741">
        <f>COUNTIF(data.SampSummary!$C$2:$C$1407,C741)</f>
        <v>1</v>
      </c>
    </row>
    <row r="742" spans="1:4" x14ac:dyDescent="0.25">
      <c r="A742" t="s">
        <v>201</v>
      </c>
      <c r="B742" s="5">
        <v>40381</v>
      </c>
      <c r="C742" t="str">
        <f t="shared" si="11"/>
        <v>SPSPR006.75_40381</v>
      </c>
      <c r="D742">
        <f>COUNTIF(data.SampSummary!$C$2:$C$1407,C742)</f>
        <v>0</v>
      </c>
    </row>
    <row r="743" spans="1:4" x14ac:dyDescent="0.25">
      <c r="A743" t="s">
        <v>332</v>
      </c>
      <c r="B743" s="5">
        <v>40379</v>
      </c>
      <c r="C743" t="str">
        <f t="shared" si="11"/>
        <v>VROAK013.95_40379</v>
      </c>
      <c r="D743">
        <f>COUNTIF(data.SampSummary!$C$2:$C$1407,C743)</f>
        <v>0</v>
      </c>
    </row>
    <row r="744" spans="1:4" x14ac:dyDescent="0.25">
      <c r="A744" t="s">
        <v>59</v>
      </c>
      <c r="B744" s="5">
        <v>40378</v>
      </c>
      <c r="C744" t="str">
        <f t="shared" si="11"/>
        <v>VROAK045.64_40378</v>
      </c>
      <c r="D744">
        <f>COUNTIF(data.SampSummary!$C$2:$C$1407,C744)</f>
        <v>0</v>
      </c>
    </row>
    <row r="745" spans="1:4" x14ac:dyDescent="0.25">
      <c r="A745" t="s">
        <v>318</v>
      </c>
      <c r="B745" s="5">
        <v>40378</v>
      </c>
      <c r="C745" t="str">
        <f t="shared" si="11"/>
        <v>VROAK042.78_40378</v>
      </c>
      <c r="D745">
        <f>COUNTIF(data.SampSummary!$C$2:$C$1407,C745)</f>
        <v>0</v>
      </c>
    </row>
    <row r="746" spans="1:4" x14ac:dyDescent="0.25">
      <c r="A746" t="s">
        <v>35</v>
      </c>
      <c r="B746" s="5">
        <v>41200</v>
      </c>
      <c r="C746" t="str">
        <f t="shared" si="11"/>
        <v>UGCMB004.23_41200</v>
      </c>
      <c r="D746">
        <f>COUNTIF(data.SampSummary!$C$2:$C$1407,C746)</f>
        <v>0</v>
      </c>
    </row>
    <row r="747" spans="1:4" x14ac:dyDescent="0.25">
      <c r="A747" t="s">
        <v>102</v>
      </c>
      <c r="B747" s="5">
        <v>42087</v>
      </c>
      <c r="C747" t="str">
        <f t="shared" si="11"/>
        <v>UGKPK011.18_42087</v>
      </c>
      <c r="D747">
        <f>COUNTIF(data.SampSummary!$C$2:$C$1407,C747)</f>
        <v>0</v>
      </c>
    </row>
    <row r="748" spans="1:4" x14ac:dyDescent="0.25">
      <c r="A748" t="s">
        <v>2870</v>
      </c>
      <c r="B748" s="5">
        <v>42066</v>
      </c>
      <c r="C748" t="str">
        <f t="shared" si="11"/>
        <v>SRPNT027.51_42066</v>
      </c>
      <c r="D748">
        <f>COUNTIF(data.SampSummary!$C$2:$C$1407,C748)</f>
        <v>0</v>
      </c>
    </row>
    <row r="749" spans="1:4" x14ac:dyDescent="0.25">
      <c r="A749" t="s">
        <v>104</v>
      </c>
      <c r="B749" s="5">
        <v>41080</v>
      </c>
      <c r="C749" t="str">
        <f t="shared" si="11"/>
        <v>LCWLR000.92_41080</v>
      </c>
      <c r="D749">
        <f>COUNTIF(data.SampSummary!$C$2:$C$1407,C749)</f>
        <v>1</v>
      </c>
    </row>
    <row r="750" spans="1:4" x14ac:dyDescent="0.25">
      <c r="A750" t="s">
        <v>35</v>
      </c>
      <c r="B750" s="5">
        <v>41079</v>
      </c>
      <c r="C750" t="str">
        <f t="shared" si="11"/>
        <v>UGCMB004.23_41079</v>
      </c>
      <c r="D750">
        <f>COUNTIF(data.SampSummary!$C$2:$C$1407,C750)</f>
        <v>1</v>
      </c>
    </row>
    <row r="751" spans="1:4" x14ac:dyDescent="0.25">
      <c r="A751" t="s">
        <v>57</v>
      </c>
      <c r="B751" s="5">
        <v>41078</v>
      </c>
      <c r="C751" t="str">
        <f t="shared" si="11"/>
        <v>SREFB008.27_41078</v>
      </c>
      <c r="D751">
        <f>COUNTIF(data.SampSummary!$C$2:$C$1407,C751)</f>
        <v>1</v>
      </c>
    </row>
    <row r="752" spans="1:4" x14ac:dyDescent="0.25">
      <c r="A752" t="s">
        <v>275</v>
      </c>
      <c r="B752" s="5">
        <v>41072</v>
      </c>
      <c r="C752" t="str">
        <f t="shared" si="11"/>
        <v>MGLAS004.52_41072</v>
      </c>
      <c r="D752">
        <f>COUNTIF(data.SampSummary!$C$2:$C$1407,C752)</f>
        <v>1</v>
      </c>
    </row>
    <row r="753" spans="1:4" x14ac:dyDescent="0.25">
      <c r="A753" t="s">
        <v>305</v>
      </c>
      <c r="B753" s="5">
        <v>41052</v>
      </c>
      <c r="C753" t="str">
        <f t="shared" si="11"/>
        <v>MGAFR087.35_41052</v>
      </c>
      <c r="D753">
        <f>COUNTIF(data.SampSummary!$C$2:$C$1407,C753)</f>
        <v>1</v>
      </c>
    </row>
    <row r="754" spans="1:4" x14ac:dyDescent="0.25">
      <c r="A754" t="s">
        <v>2870</v>
      </c>
      <c r="B754" s="5">
        <v>42037</v>
      </c>
      <c r="C754" t="str">
        <f t="shared" si="11"/>
        <v>SRPNT027.51_42037</v>
      </c>
      <c r="D754">
        <f>COUNTIF(data.SampSummary!$C$2:$C$1407,C754)</f>
        <v>0</v>
      </c>
    </row>
    <row r="755" spans="1:4" x14ac:dyDescent="0.25">
      <c r="A755" t="s">
        <v>2857</v>
      </c>
      <c r="B755" s="5">
        <v>41046</v>
      </c>
      <c r="C755" t="str">
        <f t="shared" si="11"/>
        <v>MGHSR000.77_41046</v>
      </c>
      <c r="D755">
        <f>COUNTIF(data.SampSummary!$C$2:$C$1407,C755)</f>
        <v>0</v>
      </c>
    </row>
    <row r="756" spans="1:4" x14ac:dyDescent="0.25">
      <c r="A756" t="s">
        <v>52</v>
      </c>
      <c r="B756" s="5">
        <v>41044</v>
      </c>
      <c r="C756" t="str">
        <f t="shared" si="11"/>
        <v>UGCAV016.84_41044</v>
      </c>
      <c r="D756">
        <f>COUNTIF(data.SampSummary!$C$2:$C$1407,C756)</f>
        <v>1</v>
      </c>
    </row>
    <row r="757" spans="1:4" x14ac:dyDescent="0.25">
      <c r="A757" t="s">
        <v>79</v>
      </c>
      <c r="B757" s="5">
        <v>41044</v>
      </c>
      <c r="C757" t="str">
        <f t="shared" si="11"/>
        <v>UGETK011.80_41044</v>
      </c>
      <c r="D757">
        <f>COUNTIF(data.SampSummary!$C$2:$C$1407,C757)</f>
        <v>0</v>
      </c>
    </row>
    <row r="758" spans="1:4" x14ac:dyDescent="0.25">
      <c r="A758" t="s">
        <v>238</v>
      </c>
      <c r="B758" s="5">
        <v>41044</v>
      </c>
      <c r="C758" t="str">
        <f t="shared" si="11"/>
        <v>UGBLR008.19_41044</v>
      </c>
      <c r="D758">
        <f>COUNTIF(data.SampSummary!$C$2:$C$1407,C758)</f>
        <v>1</v>
      </c>
    </row>
    <row r="759" spans="1:4" x14ac:dyDescent="0.25">
      <c r="A759" t="s">
        <v>201</v>
      </c>
      <c r="B759" s="5">
        <v>42030</v>
      </c>
      <c r="C759" t="str">
        <f t="shared" si="11"/>
        <v>SPSPR006.75_42030</v>
      </c>
      <c r="D759">
        <f>COUNTIF(data.SampSummary!$C$2:$C$1407,C759)</f>
        <v>0</v>
      </c>
    </row>
    <row r="760" spans="1:4" x14ac:dyDescent="0.25">
      <c r="A760" t="s">
        <v>2871</v>
      </c>
      <c r="B760" s="5">
        <v>42024</v>
      </c>
      <c r="C760" t="str">
        <f t="shared" si="11"/>
        <v>LCNUT017.83_42024</v>
      </c>
      <c r="D760">
        <f>COUNTIF(data.SampSummary!$C$2:$C$1407,C760)</f>
        <v>0</v>
      </c>
    </row>
    <row r="761" spans="1:4" x14ac:dyDescent="0.25">
      <c r="A761" t="s">
        <v>2872</v>
      </c>
      <c r="B761" s="5">
        <v>41043</v>
      </c>
      <c r="C761" t="str">
        <f t="shared" si="11"/>
        <v>MGSLR003.96_41043</v>
      </c>
      <c r="D761">
        <f>COUNTIF(data.SampSummary!$C$2:$C$1407,C761)</f>
        <v>0</v>
      </c>
    </row>
    <row r="762" spans="1:4" x14ac:dyDescent="0.25">
      <c r="A762" t="s">
        <v>57</v>
      </c>
      <c r="B762" s="5">
        <v>41043</v>
      </c>
      <c r="C762" t="str">
        <f t="shared" si="11"/>
        <v>SREFB008.27_41043</v>
      </c>
      <c r="D762">
        <f>COUNTIF(data.SampSummary!$C$2:$C$1407,C762)</f>
        <v>0</v>
      </c>
    </row>
    <row r="763" spans="1:4" x14ac:dyDescent="0.25">
      <c r="A763" t="s">
        <v>194</v>
      </c>
      <c r="B763" s="5">
        <v>41256</v>
      </c>
      <c r="C763" t="str">
        <f t="shared" si="11"/>
        <v>CGVGR044.58_41256</v>
      </c>
      <c r="D763">
        <f>COUNTIF(data.SampSummary!$C$2:$C$1407,C763)</f>
        <v>0</v>
      </c>
    </row>
    <row r="764" spans="1:4" x14ac:dyDescent="0.25">
      <c r="A764" t="s">
        <v>2856</v>
      </c>
      <c r="B764" s="5">
        <v>41037</v>
      </c>
      <c r="C764" t="str">
        <f t="shared" si="11"/>
        <v>VRMAI000.78_41037</v>
      </c>
      <c r="D764">
        <f>COUNTIF(data.SampSummary!$C$2:$C$1407,C764)</f>
        <v>0</v>
      </c>
    </row>
    <row r="765" spans="1:4" x14ac:dyDescent="0.25">
      <c r="A765" t="s">
        <v>240</v>
      </c>
      <c r="B765" s="5">
        <v>41233</v>
      </c>
      <c r="C765" t="str">
        <f t="shared" si="11"/>
        <v>SCCIE002.89_41233</v>
      </c>
      <c r="D765">
        <f>COUNTIF(data.SampSummary!$C$2:$C$1407,C765)</f>
        <v>0</v>
      </c>
    </row>
    <row r="766" spans="1:4" x14ac:dyDescent="0.25">
      <c r="A766" t="s">
        <v>285</v>
      </c>
      <c r="B766" s="5">
        <v>41037</v>
      </c>
      <c r="C766" t="str">
        <f t="shared" si="11"/>
        <v>VRPIE000.29_41037</v>
      </c>
      <c r="D766">
        <f>COUNTIF(data.SampSummary!$C$2:$C$1407,C766)</f>
        <v>0</v>
      </c>
    </row>
    <row r="767" spans="1:4" x14ac:dyDescent="0.25">
      <c r="A767" t="s">
        <v>26</v>
      </c>
      <c r="B767" s="5">
        <v>41036</v>
      </c>
      <c r="C767" t="str">
        <f t="shared" si="11"/>
        <v>VRPIE016.49_41036</v>
      </c>
      <c r="D767">
        <f>COUNTIF(data.SampSummary!$C$2:$C$1407,C767)</f>
        <v>0</v>
      </c>
    </row>
    <row r="768" spans="1:4" x14ac:dyDescent="0.25">
      <c r="A768" t="s">
        <v>64</v>
      </c>
      <c r="B768" s="5">
        <v>41025</v>
      </c>
      <c r="C768" t="str">
        <f t="shared" si="11"/>
        <v>SRCKN001.61_41025</v>
      </c>
      <c r="D768">
        <f>COUNTIF(data.SampSummary!$C$2:$C$1407,C768)</f>
        <v>0</v>
      </c>
    </row>
    <row r="769" spans="1:4" x14ac:dyDescent="0.25">
      <c r="A769" t="s">
        <v>104</v>
      </c>
      <c r="B769" s="5">
        <v>41024</v>
      </c>
      <c r="C769" t="str">
        <f t="shared" si="11"/>
        <v>LCWLR000.92_41024</v>
      </c>
      <c r="D769">
        <f>COUNTIF(data.SampSummary!$C$2:$C$1407,C769)</f>
        <v>0</v>
      </c>
    </row>
    <row r="770" spans="1:4" x14ac:dyDescent="0.25">
      <c r="A770" t="s">
        <v>216</v>
      </c>
      <c r="B770" s="5">
        <v>41961</v>
      </c>
      <c r="C770" t="str">
        <f t="shared" si="11"/>
        <v>MGSSW000.38_41961</v>
      </c>
      <c r="D770">
        <f>COUNTIF(data.SampSummary!$C$2:$C$1407,C770)</f>
        <v>0</v>
      </c>
    </row>
    <row r="771" spans="1:4" x14ac:dyDescent="0.25">
      <c r="A771" t="s">
        <v>228</v>
      </c>
      <c r="B771" s="5">
        <v>41961</v>
      </c>
      <c r="C771" t="str">
        <f t="shared" ref="C771:C834" si="12">A771&amp;"_"&amp;B771</f>
        <v>MGHSR048.20_41961</v>
      </c>
      <c r="D771">
        <f>COUNTIF(data.SampSummary!$C$2:$C$1407,C771)</f>
        <v>0</v>
      </c>
    </row>
    <row r="772" spans="1:4" x14ac:dyDescent="0.25">
      <c r="A772" t="s">
        <v>232</v>
      </c>
      <c r="B772" s="5">
        <v>41016</v>
      </c>
      <c r="C772" t="str">
        <f t="shared" si="12"/>
        <v>SCSON016.78_41016</v>
      </c>
      <c r="D772">
        <f>COUNTIF(data.SampSummary!$C$2:$C$1407,C772)</f>
        <v>1</v>
      </c>
    </row>
    <row r="773" spans="1:4" x14ac:dyDescent="0.25">
      <c r="A773" t="s">
        <v>145</v>
      </c>
      <c r="B773" s="5">
        <v>41960</v>
      </c>
      <c r="C773" t="str">
        <f t="shared" si="12"/>
        <v>UGSTO003.44_41960</v>
      </c>
      <c r="D773">
        <f>COUNTIF(data.SampSummary!$C$2:$C$1407,C773)</f>
        <v>0</v>
      </c>
    </row>
    <row r="774" spans="1:4" x14ac:dyDescent="0.25">
      <c r="A774" t="s">
        <v>52</v>
      </c>
      <c r="B774" s="5">
        <v>41009</v>
      </c>
      <c r="C774" t="str">
        <f t="shared" si="12"/>
        <v>UGCAV016.84_41009</v>
      </c>
      <c r="D774">
        <f>COUNTIF(data.SampSummary!$C$2:$C$1407,C774)</f>
        <v>0</v>
      </c>
    </row>
    <row r="775" spans="1:4" x14ac:dyDescent="0.25">
      <c r="A775" t="s">
        <v>79</v>
      </c>
      <c r="B775" s="5">
        <v>41009</v>
      </c>
      <c r="C775" t="str">
        <f t="shared" si="12"/>
        <v>UGETK011.80_41009</v>
      </c>
      <c r="D775">
        <f>COUNTIF(data.SampSummary!$C$2:$C$1407,C775)</f>
        <v>0</v>
      </c>
    </row>
    <row r="776" spans="1:4" x14ac:dyDescent="0.25">
      <c r="A776" t="s">
        <v>158</v>
      </c>
      <c r="B776" s="5">
        <v>41008</v>
      </c>
      <c r="C776" t="str">
        <f t="shared" si="12"/>
        <v>SPTUR028.53_41008</v>
      </c>
      <c r="D776">
        <f>COUNTIF(data.SampSummary!$C$2:$C$1407,C776)</f>
        <v>0</v>
      </c>
    </row>
    <row r="777" spans="1:4" x14ac:dyDescent="0.25">
      <c r="A777" t="s">
        <v>290</v>
      </c>
      <c r="B777" s="5">
        <v>41003</v>
      </c>
      <c r="C777" t="str">
        <f t="shared" si="12"/>
        <v>SPHSC010.67_41003</v>
      </c>
      <c r="D777">
        <f>COUNTIF(data.SampSummary!$C$2:$C$1407,C777)</f>
        <v>1</v>
      </c>
    </row>
    <row r="778" spans="1:4" x14ac:dyDescent="0.25">
      <c r="A778" t="s">
        <v>204</v>
      </c>
      <c r="B778" s="5">
        <v>41003</v>
      </c>
      <c r="C778" t="str">
        <f t="shared" si="12"/>
        <v>SPBAS001.64_41003</v>
      </c>
      <c r="D778">
        <f>COUNTIF(data.SampSummary!$C$2:$C$1407,C778)</f>
        <v>1</v>
      </c>
    </row>
    <row r="779" spans="1:4" x14ac:dyDescent="0.25">
      <c r="A779" t="s">
        <v>295</v>
      </c>
      <c r="B779" s="5">
        <v>41298</v>
      </c>
      <c r="C779" t="str">
        <f t="shared" si="12"/>
        <v>VRROU002.93_41298</v>
      </c>
      <c r="D779">
        <f>COUNTIF(data.SampSummary!$C$2:$C$1407,C779)</f>
        <v>0</v>
      </c>
    </row>
    <row r="780" spans="1:4" x14ac:dyDescent="0.25">
      <c r="A780" t="s">
        <v>289</v>
      </c>
      <c r="B780" s="5">
        <v>41001</v>
      </c>
      <c r="C780" t="str">
        <f t="shared" si="12"/>
        <v>SPARA013.78_41001</v>
      </c>
      <c r="D780">
        <f>COUNTIF(data.SampSummary!$C$2:$C$1407,C780)</f>
        <v>1</v>
      </c>
    </row>
    <row r="781" spans="1:4" x14ac:dyDescent="0.25">
      <c r="A781" t="s">
        <v>217</v>
      </c>
      <c r="B781" s="5">
        <v>41934</v>
      </c>
      <c r="C781" t="str">
        <f t="shared" si="12"/>
        <v>SPARA010.19_41934</v>
      </c>
      <c r="D781">
        <f>COUNTIF(data.SampSummary!$C$2:$C$1407,C781)</f>
        <v>0</v>
      </c>
    </row>
    <row r="782" spans="1:4" x14ac:dyDescent="0.25">
      <c r="A782" t="s">
        <v>126</v>
      </c>
      <c r="B782" s="5">
        <v>40975</v>
      </c>
      <c r="C782" t="str">
        <f t="shared" si="12"/>
        <v>VRELL000.18_40975</v>
      </c>
      <c r="D782">
        <f>COUNTIF(data.SampSummary!$C$2:$C$1407,C782)</f>
        <v>0</v>
      </c>
    </row>
    <row r="783" spans="1:4" x14ac:dyDescent="0.25">
      <c r="A783" t="s">
        <v>146</v>
      </c>
      <c r="B783" s="5">
        <v>40975</v>
      </c>
      <c r="C783" t="str">
        <f t="shared" si="12"/>
        <v>VREVR044.96_40975</v>
      </c>
      <c r="D783">
        <f>COUNTIF(data.SampSummary!$C$2:$C$1407,C783)</f>
        <v>0</v>
      </c>
    </row>
    <row r="784" spans="1:4" x14ac:dyDescent="0.25">
      <c r="A784" t="s">
        <v>60</v>
      </c>
      <c r="B784" s="5">
        <v>40974</v>
      </c>
      <c r="C784" t="str">
        <f t="shared" si="12"/>
        <v>VREVR051.15_40974</v>
      </c>
      <c r="D784">
        <f>COUNTIF(data.SampSummary!$C$2:$C$1407,C784)</f>
        <v>0</v>
      </c>
    </row>
    <row r="785" spans="1:4" x14ac:dyDescent="0.25">
      <c r="A785" t="s">
        <v>186</v>
      </c>
      <c r="B785" s="5">
        <v>40973</v>
      </c>
      <c r="C785" t="str">
        <f t="shared" si="12"/>
        <v>VREVR034.80_40973</v>
      </c>
      <c r="D785">
        <f>COUNTIF(data.SampSummary!$C$2:$C$1407,C785)</f>
        <v>0</v>
      </c>
    </row>
    <row r="786" spans="1:4" x14ac:dyDescent="0.25">
      <c r="A786" t="s">
        <v>299</v>
      </c>
      <c r="B786" s="5">
        <v>40973</v>
      </c>
      <c r="C786" t="str">
        <f t="shared" si="12"/>
        <v>VREVR023.23_40973</v>
      </c>
      <c r="D786">
        <f>COUNTIF(data.SampSummary!$C$2:$C$1407,C786)</f>
        <v>0</v>
      </c>
    </row>
    <row r="787" spans="1:4" x14ac:dyDescent="0.25">
      <c r="A787" t="s">
        <v>2860</v>
      </c>
      <c r="B787" s="5">
        <v>40973</v>
      </c>
      <c r="C787" t="str">
        <f t="shared" si="12"/>
        <v>VREVR016.28_40973</v>
      </c>
      <c r="D787">
        <f>COUNTIF(data.SampSummary!$C$2:$C$1407,C787)</f>
        <v>0</v>
      </c>
    </row>
    <row r="788" spans="1:4" x14ac:dyDescent="0.25">
      <c r="A788" t="s">
        <v>2857</v>
      </c>
      <c r="B788" s="5">
        <v>41331</v>
      </c>
      <c r="C788" t="str">
        <f t="shared" si="12"/>
        <v>MGHSR000.77_41331</v>
      </c>
      <c r="D788">
        <f>COUNTIF(data.SampSummary!$C$2:$C$1407,C788)</f>
        <v>0</v>
      </c>
    </row>
    <row r="789" spans="1:4" x14ac:dyDescent="0.25">
      <c r="A789" t="s">
        <v>2859</v>
      </c>
      <c r="B789" s="5">
        <v>41303</v>
      </c>
      <c r="C789" t="str">
        <f t="shared" si="12"/>
        <v>VREVR043.98_41303</v>
      </c>
      <c r="D789">
        <f>COUNTIF(data.SampSummary!$C$2:$C$1407,C789)</f>
        <v>0</v>
      </c>
    </row>
    <row r="790" spans="1:4" x14ac:dyDescent="0.25">
      <c r="A790" t="s">
        <v>169</v>
      </c>
      <c r="B790" s="5">
        <v>42249</v>
      </c>
      <c r="C790" t="str">
        <f t="shared" si="12"/>
        <v>SRUEF000.87_42249</v>
      </c>
      <c r="D790">
        <f>COUNTIF(data.SampSummary!$C$2:$C$1407,C790)</f>
        <v>0</v>
      </c>
    </row>
    <row r="791" spans="1:4" x14ac:dyDescent="0.25">
      <c r="A791" t="s">
        <v>262</v>
      </c>
      <c r="B791" s="5">
        <v>40968</v>
      </c>
      <c r="C791" t="str">
        <f t="shared" si="12"/>
        <v>UGEAG040.33_40968</v>
      </c>
      <c r="D791">
        <f>COUNTIF(data.SampSummary!$C$2:$C$1407,C791)</f>
        <v>0</v>
      </c>
    </row>
    <row r="792" spans="1:4" x14ac:dyDescent="0.25">
      <c r="A792" t="s">
        <v>145</v>
      </c>
      <c r="B792" s="5">
        <v>41904</v>
      </c>
      <c r="C792" t="str">
        <f t="shared" si="12"/>
        <v>UGSTO003.44_41904</v>
      </c>
      <c r="D792">
        <f>COUNTIF(data.SampSummary!$C$2:$C$1407,C792)</f>
        <v>0</v>
      </c>
    </row>
    <row r="793" spans="1:4" x14ac:dyDescent="0.25">
      <c r="A793" t="s">
        <v>238</v>
      </c>
      <c r="B793" s="5">
        <v>40968</v>
      </c>
      <c r="C793" t="str">
        <f t="shared" si="12"/>
        <v>UGBLR008.19_40968</v>
      </c>
      <c r="D793">
        <f>COUNTIF(data.SampSummary!$C$2:$C$1407,C793)</f>
        <v>0</v>
      </c>
    </row>
    <row r="794" spans="1:4" x14ac:dyDescent="0.25">
      <c r="A794" t="s">
        <v>328</v>
      </c>
      <c r="B794" s="5">
        <v>40967</v>
      </c>
      <c r="C794" t="str">
        <f t="shared" si="12"/>
        <v>UGSFR019.04_40967</v>
      </c>
      <c r="D794">
        <f>COUNTIF(data.SampSummary!$C$2:$C$1407,C794)</f>
        <v>0</v>
      </c>
    </row>
    <row r="795" spans="1:4" x14ac:dyDescent="0.25">
      <c r="A795" t="s">
        <v>18</v>
      </c>
      <c r="B795" s="5">
        <v>40967</v>
      </c>
      <c r="C795" t="str">
        <f t="shared" si="12"/>
        <v>SPGRA007.71_40967</v>
      </c>
      <c r="D795">
        <f>COUNTIF(data.SampSummary!$C$2:$C$1407,C795)</f>
        <v>0</v>
      </c>
    </row>
    <row r="796" spans="1:4" x14ac:dyDescent="0.25">
      <c r="A796" t="s">
        <v>228</v>
      </c>
      <c r="B796" s="5">
        <v>41898</v>
      </c>
      <c r="C796" t="str">
        <f t="shared" si="12"/>
        <v>MGHSR048.20_41898</v>
      </c>
      <c r="D796">
        <f>COUNTIF(data.SampSummary!$C$2:$C$1407,C796)</f>
        <v>0</v>
      </c>
    </row>
    <row r="797" spans="1:4" x14ac:dyDescent="0.25">
      <c r="A797" t="s">
        <v>273</v>
      </c>
      <c r="B797" s="5">
        <v>41898</v>
      </c>
      <c r="C797" t="str">
        <f t="shared" si="12"/>
        <v>MGHSR058.80_41898</v>
      </c>
      <c r="D797">
        <f>COUNTIF(data.SampSummary!$C$2:$C$1407,C797)</f>
        <v>0</v>
      </c>
    </row>
    <row r="798" spans="1:4" x14ac:dyDescent="0.25">
      <c r="A798" t="s">
        <v>56</v>
      </c>
      <c r="B798" s="5">
        <v>41576</v>
      </c>
      <c r="C798" t="str">
        <f t="shared" si="12"/>
        <v>LCHAL008.83_41576</v>
      </c>
      <c r="D798">
        <f>COUNTIF(data.SampSummary!$C$2:$C$1407,C798)</f>
        <v>0</v>
      </c>
    </row>
    <row r="799" spans="1:4" x14ac:dyDescent="0.25">
      <c r="A799" t="s">
        <v>232</v>
      </c>
      <c r="B799" s="5">
        <v>40962</v>
      </c>
      <c r="C799" t="str">
        <f t="shared" si="12"/>
        <v>SCSON016.78_40962</v>
      </c>
      <c r="D799">
        <f>COUNTIF(data.SampSummary!$C$2:$C$1407,C799)</f>
        <v>0</v>
      </c>
    </row>
    <row r="800" spans="1:4" x14ac:dyDescent="0.25">
      <c r="A800" t="s">
        <v>199</v>
      </c>
      <c r="B800" s="5">
        <v>41332</v>
      </c>
      <c r="C800" t="str">
        <f t="shared" si="12"/>
        <v>UGBON006.41_41332</v>
      </c>
      <c r="D800">
        <f>COUNTIF(data.SampSummary!$C$2:$C$1407,C800)</f>
        <v>0</v>
      </c>
    </row>
    <row r="801" spans="1:4" x14ac:dyDescent="0.25">
      <c r="A801" t="s">
        <v>290</v>
      </c>
      <c r="B801" s="5">
        <v>40946</v>
      </c>
      <c r="C801" t="str">
        <f t="shared" si="12"/>
        <v>SPHSC010.67_40946</v>
      </c>
      <c r="D801">
        <f>COUNTIF(data.SampSummary!$C$2:$C$1407,C801)</f>
        <v>0</v>
      </c>
    </row>
    <row r="802" spans="1:4" x14ac:dyDescent="0.25">
      <c r="A802" t="s">
        <v>357</v>
      </c>
      <c r="B802" s="5">
        <v>41333</v>
      </c>
      <c r="C802" t="str">
        <f t="shared" si="12"/>
        <v>UGSFR034.57_41333</v>
      </c>
      <c r="D802">
        <f>COUNTIF(data.SampSummary!$C$2:$C$1407,C802)</f>
        <v>0</v>
      </c>
    </row>
    <row r="803" spans="1:4" x14ac:dyDescent="0.25">
      <c r="A803" t="s">
        <v>217</v>
      </c>
      <c r="B803" s="5">
        <v>41892</v>
      </c>
      <c r="C803" t="str">
        <f t="shared" si="12"/>
        <v>SPARA010.19_41892</v>
      </c>
      <c r="D803">
        <f>COUNTIF(data.SampSummary!$C$2:$C$1407,C803)</f>
        <v>0</v>
      </c>
    </row>
    <row r="804" spans="1:4" x14ac:dyDescent="0.25">
      <c r="A804" t="s">
        <v>289</v>
      </c>
      <c r="B804" s="5">
        <v>40945</v>
      </c>
      <c r="C804" t="str">
        <f t="shared" si="12"/>
        <v>SPARA013.78_40945</v>
      </c>
      <c r="D804">
        <f>COUNTIF(data.SampSummary!$C$2:$C$1407,C804)</f>
        <v>0</v>
      </c>
    </row>
    <row r="805" spans="1:4" x14ac:dyDescent="0.25">
      <c r="A805" t="s">
        <v>201</v>
      </c>
      <c r="B805" s="5">
        <v>40945</v>
      </c>
      <c r="C805" t="str">
        <f t="shared" si="12"/>
        <v>SPSPR006.75_40945</v>
      </c>
      <c r="D805">
        <f>COUNTIF(data.SampSummary!$C$2:$C$1407,C805)</f>
        <v>0</v>
      </c>
    </row>
    <row r="806" spans="1:4" x14ac:dyDescent="0.25">
      <c r="A806" t="s">
        <v>226</v>
      </c>
      <c r="B806" s="5">
        <v>40928</v>
      </c>
      <c r="C806" t="str">
        <f t="shared" si="12"/>
        <v>MGSYD009.13_40928</v>
      </c>
      <c r="D806">
        <f>COUNTIF(data.SampSummary!$C$2:$C$1407,C806)</f>
        <v>0</v>
      </c>
    </row>
    <row r="807" spans="1:4" x14ac:dyDescent="0.25">
      <c r="A807" t="s">
        <v>232</v>
      </c>
      <c r="B807" s="5">
        <v>40926</v>
      </c>
      <c r="C807" t="str">
        <f t="shared" si="12"/>
        <v>SCSON016.78_40926</v>
      </c>
      <c r="D807">
        <f>COUNTIF(data.SampSummary!$C$2:$C$1407,C807)</f>
        <v>0</v>
      </c>
    </row>
    <row r="808" spans="1:4" x14ac:dyDescent="0.25">
      <c r="A808" t="s">
        <v>2042</v>
      </c>
      <c r="B808" s="5">
        <v>41885</v>
      </c>
      <c r="C808" t="str">
        <f t="shared" si="12"/>
        <v>UGEEG001.57_41885</v>
      </c>
      <c r="D808">
        <f>COUNTIF(data.SampSummary!$C$2:$C$1407,C808)</f>
        <v>0</v>
      </c>
    </row>
    <row r="809" spans="1:4" x14ac:dyDescent="0.25">
      <c r="A809" t="s">
        <v>52</v>
      </c>
      <c r="B809" s="5">
        <v>40925</v>
      </c>
      <c r="C809" t="str">
        <f t="shared" si="12"/>
        <v>UGCAV016.84_40925</v>
      </c>
      <c r="D809">
        <f>COUNTIF(data.SampSummary!$C$2:$C$1407,C809)</f>
        <v>0</v>
      </c>
    </row>
    <row r="810" spans="1:4" x14ac:dyDescent="0.25">
      <c r="A810" t="s">
        <v>158</v>
      </c>
      <c r="B810" s="5">
        <v>40924</v>
      </c>
      <c r="C810" t="str">
        <f t="shared" si="12"/>
        <v>SPTUR028.53_40924</v>
      </c>
      <c r="D810">
        <f>COUNTIF(data.SampSummary!$C$2:$C$1407,C810)</f>
        <v>0</v>
      </c>
    </row>
    <row r="811" spans="1:4" x14ac:dyDescent="0.25">
      <c r="A811" t="s">
        <v>305</v>
      </c>
      <c r="B811" s="5">
        <v>40905</v>
      </c>
      <c r="C811" t="str">
        <f t="shared" si="12"/>
        <v>MGAFR087.35_40905</v>
      </c>
      <c r="D811">
        <f>COUNTIF(data.SampSummary!$C$2:$C$1407,C811)</f>
        <v>0</v>
      </c>
    </row>
    <row r="812" spans="1:4" x14ac:dyDescent="0.25">
      <c r="A812" t="s">
        <v>190</v>
      </c>
      <c r="B812" s="5">
        <v>40905</v>
      </c>
      <c r="C812" t="str">
        <f t="shared" si="12"/>
        <v>MGAFR087.06_40905</v>
      </c>
      <c r="D812">
        <f>COUNTIF(data.SampSummary!$C$2:$C$1407,C812)</f>
        <v>0</v>
      </c>
    </row>
    <row r="813" spans="1:4" x14ac:dyDescent="0.25">
      <c r="A813" t="s">
        <v>204</v>
      </c>
      <c r="B813" s="5">
        <v>40883</v>
      </c>
      <c r="C813" t="str">
        <f t="shared" si="12"/>
        <v>SPBAS001.64_40883</v>
      </c>
      <c r="D813">
        <f>COUNTIF(data.SampSummary!$C$2:$C$1407,C813)</f>
        <v>0</v>
      </c>
    </row>
    <row r="814" spans="1:4" x14ac:dyDescent="0.25">
      <c r="A814" t="s">
        <v>2873</v>
      </c>
      <c r="B814" s="5">
        <v>41871</v>
      </c>
      <c r="C814" t="str">
        <f t="shared" si="12"/>
        <v>SRGIB000.11_41871</v>
      </c>
      <c r="D814">
        <f>COUNTIF(data.SampSummary!$C$2:$C$1407,C814)</f>
        <v>0</v>
      </c>
    </row>
    <row r="815" spans="1:4" x14ac:dyDescent="0.25">
      <c r="A815" t="s">
        <v>201</v>
      </c>
      <c r="B815" s="5">
        <v>40882</v>
      </c>
      <c r="C815" t="str">
        <f t="shared" si="12"/>
        <v>SPSPR006.75_40882</v>
      </c>
      <c r="D815">
        <f>COUNTIF(data.SampSummary!$C$2:$C$1407,C815)</f>
        <v>0</v>
      </c>
    </row>
    <row r="816" spans="1:4" x14ac:dyDescent="0.25">
      <c r="A816" t="s">
        <v>289</v>
      </c>
      <c r="B816" s="5">
        <v>40882</v>
      </c>
      <c r="C816" t="str">
        <f t="shared" si="12"/>
        <v>SPARA013.78_40882</v>
      </c>
      <c r="D816">
        <f>COUNTIF(data.SampSummary!$C$2:$C$1407,C816)</f>
        <v>0</v>
      </c>
    </row>
    <row r="817" spans="1:4" x14ac:dyDescent="0.25">
      <c r="A817" t="s">
        <v>2870</v>
      </c>
      <c r="B817" s="5">
        <v>41870</v>
      </c>
      <c r="C817" t="str">
        <f t="shared" si="12"/>
        <v>SRPNT027.51_41870</v>
      </c>
      <c r="D817">
        <f>COUNTIF(data.SampSummary!$C$2:$C$1407,C817)</f>
        <v>0</v>
      </c>
    </row>
    <row r="818" spans="1:4" x14ac:dyDescent="0.25">
      <c r="A818" t="s">
        <v>2873</v>
      </c>
      <c r="B818" s="5">
        <v>41870</v>
      </c>
      <c r="C818" t="str">
        <f t="shared" si="12"/>
        <v>SRGIB000.11_41870</v>
      </c>
      <c r="D818">
        <f>COUNTIF(data.SampSummary!$C$2:$C$1407,C818)</f>
        <v>0</v>
      </c>
    </row>
    <row r="819" spans="1:4" x14ac:dyDescent="0.25">
      <c r="A819" t="s">
        <v>299</v>
      </c>
      <c r="B819" s="5">
        <v>40863</v>
      </c>
      <c r="C819" t="str">
        <f t="shared" si="12"/>
        <v>VREVR023.23_40863</v>
      </c>
      <c r="D819">
        <f>COUNTIF(data.SampSummary!$C$2:$C$1407,C819)</f>
        <v>0</v>
      </c>
    </row>
    <row r="820" spans="1:4" x14ac:dyDescent="0.25">
      <c r="A820" t="s">
        <v>2827</v>
      </c>
      <c r="B820" s="5">
        <v>40862</v>
      </c>
      <c r="C820" t="str">
        <f t="shared" si="12"/>
        <v>VREVR027.67_40862</v>
      </c>
      <c r="D820">
        <f>COUNTIF(data.SampSummary!$C$2:$C$1407,C820)</f>
        <v>0</v>
      </c>
    </row>
    <row r="821" spans="1:4" x14ac:dyDescent="0.25">
      <c r="A821" t="s">
        <v>2860</v>
      </c>
      <c r="B821" s="5">
        <v>40862</v>
      </c>
      <c r="C821" t="str">
        <f t="shared" si="12"/>
        <v>VREVR016.28_40862</v>
      </c>
      <c r="D821">
        <f>COUNTIF(data.SampSummary!$C$2:$C$1407,C821)</f>
        <v>0</v>
      </c>
    </row>
    <row r="822" spans="1:4" x14ac:dyDescent="0.25">
      <c r="A822" t="s">
        <v>60</v>
      </c>
      <c r="B822" s="5">
        <v>40861</v>
      </c>
      <c r="C822" t="str">
        <f t="shared" si="12"/>
        <v>VREVR051.15_40861</v>
      </c>
      <c r="D822">
        <f>COUNTIF(data.SampSummary!$C$2:$C$1407,C822)</f>
        <v>0</v>
      </c>
    </row>
    <row r="823" spans="1:4" x14ac:dyDescent="0.25">
      <c r="A823" t="s">
        <v>186</v>
      </c>
      <c r="B823" s="5">
        <v>40861</v>
      </c>
      <c r="C823" t="str">
        <f t="shared" si="12"/>
        <v>VREVR034.80_40861</v>
      </c>
      <c r="D823">
        <f>COUNTIF(data.SampSummary!$C$2:$C$1407,C823)</f>
        <v>0</v>
      </c>
    </row>
    <row r="824" spans="1:4" x14ac:dyDescent="0.25">
      <c r="A824" t="s">
        <v>2853</v>
      </c>
      <c r="B824" s="5">
        <v>40861</v>
      </c>
      <c r="C824" t="str">
        <f t="shared" si="12"/>
        <v>VREVR046.18_40861</v>
      </c>
      <c r="D824">
        <f>COUNTIF(data.SampSummary!$C$2:$C$1407,C824)</f>
        <v>0</v>
      </c>
    </row>
    <row r="825" spans="1:4" x14ac:dyDescent="0.25">
      <c r="A825" t="s">
        <v>146</v>
      </c>
      <c r="B825" s="5">
        <v>40861</v>
      </c>
      <c r="C825" t="str">
        <f t="shared" si="12"/>
        <v>VREVR044.96_40861</v>
      </c>
      <c r="D825">
        <f>COUNTIF(data.SampSummary!$C$2:$C$1407,C825)</f>
        <v>0</v>
      </c>
    </row>
    <row r="826" spans="1:4" x14ac:dyDescent="0.25">
      <c r="A826" t="s">
        <v>183</v>
      </c>
      <c r="B826" s="5">
        <v>40857</v>
      </c>
      <c r="C826" t="str">
        <f t="shared" si="12"/>
        <v>SPSPR126.35_40857</v>
      </c>
      <c r="D826">
        <f>COUNTIF(data.SampSummary!$C$2:$C$1407,C826)</f>
        <v>0</v>
      </c>
    </row>
    <row r="827" spans="1:4" x14ac:dyDescent="0.25">
      <c r="A827" t="s">
        <v>18</v>
      </c>
      <c r="B827" s="5">
        <v>40857</v>
      </c>
      <c r="C827" t="str">
        <f t="shared" si="12"/>
        <v>SPGRA007.71_40857</v>
      </c>
      <c r="D827">
        <f>COUNTIF(data.SampSummary!$C$2:$C$1407,C827)</f>
        <v>0</v>
      </c>
    </row>
    <row r="828" spans="1:4" x14ac:dyDescent="0.25">
      <c r="A828" t="s">
        <v>328</v>
      </c>
      <c r="B828" s="5">
        <v>40857</v>
      </c>
      <c r="C828" t="str">
        <f t="shared" si="12"/>
        <v>UGSFR019.04_40857</v>
      </c>
      <c r="D828">
        <f>COUNTIF(data.SampSummary!$C$2:$C$1407,C828)</f>
        <v>0</v>
      </c>
    </row>
    <row r="829" spans="1:4" x14ac:dyDescent="0.25">
      <c r="A829" t="s">
        <v>28</v>
      </c>
      <c r="B829" s="5">
        <v>41828</v>
      </c>
      <c r="C829" t="str">
        <f t="shared" si="12"/>
        <v>UGBLR030.24_41828</v>
      </c>
      <c r="D829">
        <f>COUNTIF(data.SampSummary!$C$2:$C$1407,C829)</f>
        <v>2</v>
      </c>
    </row>
    <row r="830" spans="1:4" x14ac:dyDescent="0.25">
      <c r="A830" t="s">
        <v>262</v>
      </c>
      <c r="B830" s="5">
        <v>40856</v>
      </c>
      <c r="C830" t="str">
        <f t="shared" si="12"/>
        <v>UGEAG040.33_40856</v>
      </c>
      <c r="D830">
        <f>COUNTIF(data.SampSummary!$C$2:$C$1407,C830)</f>
        <v>0</v>
      </c>
    </row>
    <row r="831" spans="1:4" x14ac:dyDescent="0.25">
      <c r="A831" t="s">
        <v>35</v>
      </c>
      <c r="B831" s="5">
        <v>40842</v>
      </c>
      <c r="C831" t="str">
        <f t="shared" si="12"/>
        <v>UGCMB004.23_40842</v>
      </c>
      <c r="D831">
        <f>COUNTIF(data.SampSummary!$C$2:$C$1407,C831)</f>
        <v>0</v>
      </c>
    </row>
    <row r="832" spans="1:4" x14ac:dyDescent="0.25">
      <c r="A832" t="s">
        <v>64</v>
      </c>
      <c r="B832" s="5">
        <v>40842</v>
      </c>
      <c r="C832" t="str">
        <f t="shared" si="12"/>
        <v>SRCKN001.61_40842</v>
      </c>
      <c r="D832">
        <f>COUNTIF(data.SampSummary!$C$2:$C$1407,C832)</f>
        <v>0</v>
      </c>
    </row>
    <row r="833" spans="1:4" x14ac:dyDescent="0.25">
      <c r="A833" t="s">
        <v>213</v>
      </c>
      <c r="B833" s="5">
        <v>41396</v>
      </c>
      <c r="C833" t="str">
        <f t="shared" si="12"/>
        <v>VRPIE008.19_41396</v>
      </c>
      <c r="D833">
        <f>COUNTIF(data.SampSummary!$C$2:$C$1407,C833)</f>
        <v>1</v>
      </c>
    </row>
    <row r="834" spans="1:4" x14ac:dyDescent="0.25">
      <c r="A834" t="s">
        <v>31</v>
      </c>
      <c r="B834" s="5">
        <v>42543</v>
      </c>
      <c r="C834" t="str">
        <f t="shared" si="12"/>
        <v>SRUDC000.02_42543</v>
      </c>
      <c r="D834">
        <f>COUNTIF(data.SampSummary!$C$2:$C$1407,C834)</f>
        <v>1</v>
      </c>
    </row>
    <row r="835" spans="1:4" x14ac:dyDescent="0.25">
      <c r="A835" t="s">
        <v>204</v>
      </c>
      <c r="B835" s="5">
        <v>40835</v>
      </c>
      <c r="C835" t="str">
        <f t="shared" ref="C835:C898" si="13">A835&amp;"_"&amp;B835</f>
        <v>SPBAS001.64_40835</v>
      </c>
      <c r="D835">
        <f>COUNTIF(data.SampSummary!$C$2:$C$1407,C835)</f>
        <v>0</v>
      </c>
    </row>
    <row r="836" spans="1:4" x14ac:dyDescent="0.25">
      <c r="A836" t="s">
        <v>290</v>
      </c>
      <c r="B836" s="5">
        <v>40835</v>
      </c>
      <c r="C836" t="str">
        <f t="shared" si="13"/>
        <v>SPHSC010.67_40835</v>
      </c>
      <c r="D836">
        <f>COUNTIF(data.SampSummary!$C$2:$C$1407,C836)</f>
        <v>0</v>
      </c>
    </row>
    <row r="837" spans="1:4" x14ac:dyDescent="0.25">
      <c r="A837" t="s">
        <v>328</v>
      </c>
      <c r="B837" s="5">
        <v>40800</v>
      </c>
      <c r="C837" t="str">
        <f t="shared" si="13"/>
        <v>UGSFR019.04_40800</v>
      </c>
      <c r="D837">
        <f>COUNTIF(data.SampSummary!$C$2:$C$1407,C837)</f>
        <v>0</v>
      </c>
    </row>
    <row r="838" spans="1:4" x14ac:dyDescent="0.25">
      <c r="A838" t="s">
        <v>18</v>
      </c>
      <c r="B838" s="5">
        <v>40800</v>
      </c>
      <c r="C838" t="str">
        <f t="shared" si="13"/>
        <v>SPGRA007.71_40800</v>
      </c>
      <c r="D838">
        <f>COUNTIF(data.SampSummary!$C$2:$C$1407,C838)</f>
        <v>0</v>
      </c>
    </row>
    <row r="839" spans="1:4" x14ac:dyDescent="0.25">
      <c r="A839" t="s">
        <v>238</v>
      </c>
      <c r="B839" s="5">
        <v>40799</v>
      </c>
      <c r="C839" t="str">
        <f t="shared" si="13"/>
        <v>UGBLR008.19_40799</v>
      </c>
      <c r="D839">
        <f>COUNTIF(data.SampSummary!$C$2:$C$1407,C839)</f>
        <v>0</v>
      </c>
    </row>
    <row r="840" spans="1:4" x14ac:dyDescent="0.25">
      <c r="A840" t="s">
        <v>179</v>
      </c>
      <c r="B840" s="5">
        <v>42535</v>
      </c>
      <c r="C840" t="str">
        <f t="shared" si="13"/>
        <v>SRNFB012.35_42535</v>
      </c>
      <c r="D840">
        <f>COUNTIF(data.SampSummary!$C$2:$C$1407,C840)</f>
        <v>1</v>
      </c>
    </row>
    <row r="841" spans="1:4" x14ac:dyDescent="0.25">
      <c r="A841" t="s">
        <v>275</v>
      </c>
      <c r="B841" s="5">
        <v>40787</v>
      </c>
      <c r="C841" t="str">
        <f t="shared" si="13"/>
        <v>MGLAS004.52_40787</v>
      </c>
      <c r="D841">
        <f>COUNTIF(data.SampSummary!$C$2:$C$1407,C841)</f>
        <v>0</v>
      </c>
    </row>
    <row r="842" spans="1:4" x14ac:dyDescent="0.25">
      <c r="A842" t="s">
        <v>269</v>
      </c>
      <c r="B842" s="5">
        <v>41220</v>
      </c>
      <c r="C842" t="str">
        <f t="shared" si="13"/>
        <v>SRCHE011.90_41220</v>
      </c>
      <c r="D842">
        <f>COUNTIF(data.SampSummary!$C$2:$C$1407,C842)</f>
        <v>0</v>
      </c>
    </row>
    <row r="843" spans="1:4" x14ac:dyDescent="0.25">
      <c r="A843" t="s">
        <v>163</v>
      </c>
      <c r="B843" s="5">
        <v>42492</v>
      </c>
      <c r="C843" t="str">
        <f t="shared" si="13"/>
        <v>LCECL021.13_42492</v>
      </c>
      <c r="D843">
        <f>COUNTIF(data.SampSummary!$C$2:$C$1407,C843)</f>
        <v>1</v>
      </c>
    </row>
    <row r="844" spans="1:4" x14ac:dyDescent="0.25">
      <c r="A844" t="s">
        <v>150</v>
      </c>
      <c r="B844" s="5">
        <v>42472</v>
      </c>
      <c r="C844" t="str">
        <f t="shared" si="13"/>
        <v>MGHSR110.58_42472</v>
      </c>
      <c r="D844">
        <f>COUNTIF(data.SampSummary!$C$2:$C$1407,C844)</f>
        <v>0</v>
      </c>
    </row>
    <row r="845" spans="1:4" x14ac:dyDescent="0.25">
      <c r="A845" t="s">
        <v>2874</v>
      </c>
      <c r="B845" s="5">
        <v>42466</v>
      </c>
      <c r="C845" t="str">
        <f t="shared" si="13"/>
        <v>SPSPR109.75_42466</v>
      </c>
      <c r="D845">
        <f>COUNTIF(data.SampSummary!$C$2:$C$1407,C845)</f>
        <v>0</v>
      </c>
    </row>
    <row r="846" spans="1:4" x14ac:dyDescent="0.25">
      <c r="A846" t="s">
        <v>2861</v>
      </c>
      <c r="B846" s="5">
        <v>42466</v>
      </c>
      <c r="C846" t="str">
        <f t="shared" si="13"/>
        <v>SPSPR101.25_42466</v>
      </c>
      <c r="D846">
        <f>COUNTIF(data.SampSummary!$C$2:$C$1407,C846)</f>
        <v>0</v>
      </c>
    </row>
    <row r="847" spans="1:4" x14ac:dyDescent="0.25">
      <c r="A847" t="s">
        <v>2875</v>
      </c>
      <c r="B847" s="5">
        <v>42466</v>
      </c>
      <c r="C847" t="str">
        <f t="shared" si="13"/>
        <v>SPSPR113.49_42466</v>
      </c>
      <c r="D847">
        <f>COUNTIF(data.SampSummary!$C$2:$C$1407,C847)</f>
        <v>0</v>
      </c>
    </row>
    <row r="848" spans="1:4" x14ac:dyDescent="0.25">
      <c r="A848" t="s">
        <v>289</v>
      </c>
      <c r="B848" s="5">
        <v>40764</v>
      </c>
      <c r="C848" t="str">
        <f t="shared" si="13"/>
        <v>SPARA013.78_40764</v>
      </c>
      <c r="D848">
        <f>COUNTIF(data.SampSummary!$C$2:$C$1407,C848)</f>
        <v>0</v>
      </c>
    </row>
    <row r="849" spans="1:4" x14ac:dyDescent="0.25">
      <c r="A849" t="s">
        <v>2876</v>
      </c>
      <c r="B849" s="5">
        <v>42465</v>
      </c>
      <c r="C849" t="str">
        <f t="shared" si="13"/>
        <v>SPSPR120.47_42465</v>
      </c>
      <c r="D849">
        <f>COUNTIF(data.SampSummary!$C$2:$C$1407,C849)</f>
        <v>0</v>
      </c>
    </row>
    <row r="850" spans="1:4" x14ac:dyDescent="0.25">
      <c r="A850" t="s">
        <v>200</v>
      </c>
      <c r="B850" s="5">
        <v>42465</v>
      </c>
      <c r="C850" t="str">
        <f t="shared" si="13"/>
        <v>SPSPR015.42_42465</v>
      </c>
      <c r="D850">
        <f>COUNTIF(data.SampSummary!$C$2:$C$1407,C850)</f>
        <v>1</v>
      </c>
    </row>
    <row r="851" spans="1:4" x14ac:dyDescent="0.25">
      <c r="A851" t="s">
        <v>278</v>
      </c>
      <c r="B851" s="5">
        <v>41410</v>
      </c>
      <c r="C851" t="str">
        <f t="shared" si="13"/>
        <v>BWBSR037.79_41410</v>
      </c>
      <c r="D851">
        <f>COUNTIF(data.SampSummary!$C$2:$C$1407,C851)</f>
        <v>2</v>
      </c>
    </row>
    <row r="852" spans="1:4" x14ac:dyDescent="0.25">
      <c r="A852" t="s">
        <v>245</v>
      </c>
      <c r="B852" s="5">
        <v>41164</v>
      </c>
      <c r="C852" t="str">
        <f t="shared" si="13"/>
        <v>SRHAG007.47_41164</v>
      </c>
      <c r="D852">
        <f>COUNTIF(data.SampSummary!$C$2:$C$1407,C852)</f>
        <v>0</v>
      </c>
    </row>
    <row r="853" spans="1:4" x14ac:dyDescent="0.25">
      <c r="A853" t="s">
        <v>231</v>
      </c>
      <c r="B853" s="5">
        <v>41152</v>
      </c>
      <c r="C853" t="str">
        <f t="shared" si="13"/>
        <v>SPARA026.35_41152</v>
      </c>
      <c r="D853">
        <f>COUNTIF(data.SampSummary!$C$2:$C$1407,C853)</f>
        <v>0</v>
      </c>
    </row>
    <row r="854" spans="1:4" x14ac:dyDescent="0.25">
      <c r="A854" t="s">
        <v>182</v>
      </c>
      <c r="B854" s="5">
        <v>42459</v>
      </c>
      <c r="C854" t="str">
        <f t="shared" si="13"/>
        <v>VRBON002.71_42459</v>
      </c>
      <c r="D854">
        <f>COUNTIF(data.SampSummary!$C$2:$C$1407,C854)</f>
        <v>0</v>
      </c>
    </row>
    <row r="855" spans="1:4" x14ac:dyDescent="0.25">
      <c r="A855" t="s">
        <v>181</v>
      </c>
      <c r="B855" s="5">
        <v>42459</v>
      </c>
      <c r="C855" t="str">
        <f t="shared" si="13"/>
        <v>SRUUE000.03_42459</v>
      </c>
      <c r="D855">
        <f>COUNTIF(data.SampSummary!$C$2:$C$1407,C855)</f>
        <v>0</v>
      </c>
    </row>
    <row r="856" spans="1:4" x14ac:dyDescent="0.25">
      <c r="A856" t="s">
        <v>2877</v>
      </c>
      <c r="B856" s="5">
        <v>42459</v>
      </c>
      <c r="C856" t="str">
        <f t="shared" si="13"/>
        <v>LCLCR347.91_42459</v>
      </c>
      <c r="D856">
        <f>COUNTIF(data.SampSummary!$C$2:$C$1407,C856)</f>
        <v>0</v>
      </c>
    </row>
    <row r="857" spans="1:4" x14ac:dyDescent="0.25">
      <c r="A857" t="s">
        <v>193</v>
      </c>
      <c r="B857" s="5">
        <v>41148</v>
      </c>
      <c r="C857" t="str">
        <f t="shared" si="13"/>
        <v>VRSYW001.72_41148</v>
      </c>
      <c r="D857">
        <f>COUNTIF(data.SampSummary!$C$2:$C$1407,C857)</f>
        <v>0</v>
      </c>
    </row>
    <row r="858" spans="1:4" x14ac:dyDescent="0.25">
      <c r="A858" t="s">
        <v>35</v>
      </c>
      <c r="B858" s="5">
        <v>41120</v>
      </c>
      <c r="C858" t="str">
        <f t="shared" si="13"/>
        <v>UGCMB004.23_41120</v>
      </c>
      <c r="D858">
        <f>COUNTIF(data.SampSummary!$C$2:$C$1407,C858)</f>
        <v>0</v>
      </c>
    </row>
    <row r="859" spans="1:4" x14ac:dyDescent="0.25">
      <c r="A859" t="s">
        <v>60</v>
      </c>
      <c r="B859" s="5">
        <v>41162</v>
      </c>
      <c r="C859" t="str">
        <f t="shared" si="13"/>
        <v>VREVR051.15_41162</v>
      </c>
      <c r="D859">
        <f>COUNTIF(data.SampSummary!$C$2:$C$1407,C859)</f>
        <v>0</v>
      </c>
    </row>
    <row r="860" spans="1:4" x14ac:dyDescent="0.25">
      <c r="A860" t="s">
        <v>2860</v>
      </c>
      <c r="B860" s="5">
        <v>41163</v>
      </c>
      <c r="C860" t="str">
        <f t="shared" si="13"/>
        <v>VREVR016.28_41163</v>
      </c>
      <c r="D860">
        <f>COUNTIF(data.SampSummary!$C$2:$C$1407,C860)</f>
        <v>0</v>
      </c>
    </row>
    <row r="861" spans="1:4" x14ac:dyDescent="0.25">
      <c r="A861" t="s">
        <v>222</v>
      </c>
      <c r="B861" s="5">
        <v>41164</v>
      </c>
      <c r="C861" t="str">
        <f t="shared" si="13"/>
        <v>SRCHE013.65_41164</v>
      </c>
      <c r="D861">
        <f>COUNTIF(data.SampSummary!$C$2:$C$1407,C861)</f>
        <v>0</v>
      </c>
    </row>
    <row r="862" spans="1:4" x14ac:dyDescent="0.25">
      <c r="A862" t="s">
        <v>57</v>
      </c>
      <c r="B862" s="5">
        <v>41121</v>
      </c>
      <c r="C862" t="str">
        <f t="shared" si="13"/>
        <v>SREFB008.27_41121</v>
      </c>
      <c r="D862">
        <f>COUNTIF(data.SampSummary!$C$2:$C$1407,C862)</f>
        <v>0</v>
      </c>
    </row>
    <row r="863" spans="1:4" x14ac:dyDescent="0.25">
      <c r="A863" t="s">
        <v>66</v>
      </c>
      <c r="B863" s="5">
        <v>41120</v>
      </c>
      <c r="C863" t="str">
        <f t="shared" si="13"/>
        <v>SRBLR102.24_41120</v>
      </c>
      <c r="D863">
        <f>COUNTIF(data.SampSummary!$C$2:$C$1407,C863)</f>
        <v>0</v>
      </c>
    </row>
    <row r="864" spans="1:4" x14ac:dyDescent="0.25">
      <c r="A864" t="s">
        <v>240</v>
      </c>
      <c r="B864" s="5">
        <v>41162</v>
      </c>
      <c r="C864" t="str">
        <f t="shared" si="13"/>
        <v>SCCIE002.89_41162</v>
      </c>
      <c r="D864">
        <f>COUNTIF(data.SampSummary!$C$2:$C$1407,C864)</f>
        <v>0</v>
      </c>
    </row>
    <row r="865" spans="1:4" x14ac:dyDescent="0.25">
      <c r="A865" t="s">
        <v>250</v>
      </c>
      <c r="B865" s="5">
        <v>41164</v>
      </c>
      <c r="C865" t="str">
        <f t="shared" si="13"/>
        <v>SRDEV000.38_41164</v>
      </c>
      <c r="D865">
        <f>COUNTIF(data.SampSummary!$C$2:$C$1407,C865)</f>
        <v>0</v>
      </c>
    </row>
    <row r="866" spans="1:4" x14ac:dyDescent="0.25">
      <c r="A866" t="s">
        <v>93</v>
      </c>
      <c r="B866" s="5">
        <v>42457</v>
      </c>
      <c r="C866" t="str">
        <f t="shared" si="13"/>
        <v>SRCDY002.95_42457</v>
      </c>
      <c r="D866">
        <f>COUNTIF(data.SampSummary!$C$2:$C$1407,C866)</f>
        <v>0</v>
      </c>
    </row>
    <row r="867" spans="1:4" x14ac:dyDescent="0.25">
      <c r="A867" t="s">
        <v>31</v>
      </c>
      <c r="B867" s="5">
        <v>42457</v>
      </c>
      <c r="C867" t="str">
        <f t="shared" si="13"/>
        <v>SRUDC000.02_42457</v>
      </c>
      <c r="D867">
        <f>COUNTIF(data.SampSummary!$C$2:$C$1407,C867)</f>
        <v>0</v>
      </c>
    </row>
    <row r="868" spans="1:4" x14ac:dyDescent="0.25">
      <c r="A868" t="s">
        <v>284</v>
      </c>
      <c r="B868" s="5">
        <v>42451</v>
      </c>
      <c r="C868" t="str">
        <f t="shared" si="13"/>
        <v>BWFRA001.04_42451</v>
      </c>
      <c r="D868">
        <f>COUNTIF(data.SampSummary!$C$2:$C$1407,C868)</f>
        <v>0</v>
      </c>
    </row>
    <row r="869" spans="1:4" x14ac:dyDescent="0.25">
      <c r="A869" t="s">
        <v>2108</v>
      </c>
      <c r="B869" s="5">
        <v>42157</v>
      </c>
      <c r="C869" t="str">
        <f t="shared" si="13"/>
        <v>UGSFR151.22_42157</v>
      </c>
      <c r="D869">
        <f>COUNTIF(data.SampSummary!$C$2:$C$1407,C869)</f>
        <v>1</v>
      </c>
    </row>
    <row r="870" spans="1:4" x14ac:dyDescent="0.25">
      <c r="A870" t="s">
        <v>295</v>
      </c>
      <c r="B870" s="5">
        <v>41184</v>
      </c>
      <c r="C870" t="str">
        <f t="shared" si="13"/>
        <v>VRROU002.93_41184</v>
      </c>
      <c r="D870">
        <f>COUNTIF(data.SampSummary!$C$2:$C$1407,C870)</f>
        <v>0</v>
      </c>
    </row>
    <row r="871" spans="1:4" x14ac:dyDescent="0.25">
      <c r="A871" t="s">
        <v>157</v>
      </c>
      <c r="B871" s="5">
        <v>42445</v>
      </c>
      <c r="C871" t="str">
        <f t="shared" si="13"/>
        <v>VRWEB010.36_42445</v>
      </c>
      <c r="D871">
        <f>COUNTIF(data.SampSummary!$C$2:$C$1407,C871)</f>
        <v>0</v>
      </c>
    </row>
    <row r="872" spans="1:4" x14ac:dyDescent="0.25">
      <c r="A872" t="s">
        <v>162</v>
      </c>
      <c r="B872" s="5">
        <v>42156</v>
      </c>
      <c r="C872" t="str">
        <f t="shared" si="13"/>
        <v>UGBLR028.77_42156</v>
      </c>
      <c r="D872">
        <f>COUNTIF(data.SampSummary!$C$2:$C$1407,C872)</f>
        <v>2</v>
      </c>
    </row>
    <row r="873" spans="1:4" x14ac:dyDescent="0.25">
      <c r="A873" t="s">
        <v>2864</v>
      </c>
      <c r="B873" s="5">
        <v>41290</v>
      </c>
      <c r="C873" t="str">
        <f t="shared" si="13"/>
        <v>CLGLR007.11_41290</v>
      </c>
      <c r="D873">
        <f>COUNTIF(data.SampSummary!$C$2:$C$1407,C873)</f>
        <v>0</v>
      </c>
    </row>
    <row r="874" spans="1:4" x14ac:dyDescent="0.25">
      <c r="A874" t="s">
        <v>299</v>
      </c>
      <c r="B874" s="5">
        <v>42444</v>
      </c>
      <c r="C874" t="str">
        <f t="shared" si="13"/>
        <v>VREVR023.23_42444</v>
      </c>
      <c r="D874">
        <f>COUNTIF(data.SampSummary!$C$2:$C$1407,C874)</f>
        <v>0</v>
      </c>
    </row>
    <row r="875" spans="1:4" x14ac:dyDescent="0.25">
      <c r="A875" t="s">
        <v>186</v>
      </c>
      <c r="B875" s="5">
        <v>41163</v>
      </c>
      <c r="C875" t="str">
        <f t="shared" si="13"/>
        <v>VREVR034.80_41163</v>
      </c>
      <c r="D875">
        <f>COUNTIF(data.SampSummary!$C$2:$C$1407,C875)</f>
        <v>0</v>
      </c>
    </row>
    <row r="876" spans="1:4" x14ac:dyDescent="0.25">
      <c r="A876" t="s">
        <v>2878</v>
      </c>
      <c r="B876" s="5">
        <v>42444</v>
      </c>
      <c r="C876" t="str">
        <f t="shared" si="13"/>
        <v>VRFOS010.48_42444</v>
      </c>
      <c r="D876">
        <f>COUNTIF(data.SampSummary!$C$2:$C$1407,C876)</f>
        <v>0</v>
      </c>
    </row>
    <row r="877" spans="1:4" x14ac:dyDescent="0.25">
      <c r="A877" t="s">
        <v>32</v>
      </c>
      <c r="B877" s="5">
        <v>41801</v>
      </c>
      <c r="C877" t="str">
        <f t="shared" si="13"/>
        <v>SRBGY002.86_41801</v>
      </c>
      <c r="D877">
        <f>COUNTIF(data.SampSummary!$C$2:$C$1407,C877)</f>
        <v>1</v>
      </c>
    </row>
    <row r="878" spans="1:4" x14ac:dyDescent="0.25">
      <c r="A878" t="s">
        <v>146</v>
      </c>
      <c r="B878" s="5">
        <v>41162</v>
      </c>
      <c r="C878" t="str">
        <f t="shared" si="13"/>
        <v>VREVR044.96_41162</v>
      </c>
      <c r="D878">
        <f>COUNTIF(data.SampSummary!$C$2:$C$1407,C878)</f>
        <v>0</v>
      </c>
    </row>
    <row r="879" spans="1:4" x14ac:dyDescent="0.25">
      <c r="A879" t="s">
        <v>2857</v>
      </c>
      <c r="B879" s="5">
        <v>41207</v>
      </c>
      <c r="C879" t="str">
        <f t="shared" si="13"/>
        <v>MGHSR000.77_41207</v>
      </c>
      <c r="D879">
        <f>COUNTIF(data.SampSummary!$C$2:$C$1407,C879)</f>
        <v>0</v>
      </c>
    </row>
    <row r="880" spans="1:4" x14ac:dyDescent="0.25">
      <c r="A880" t="s">
        <v>70</v>
      </c>
      <c r="B880" s="5">
        <v>41800</v>
      </c>
      <c r="C880" t="str">
        <f t="shared" si="13"/>
        <v>SRWFB003.45_41800</v>
      </c>
      <c r="D880">
        <f>COUNTIF(data.SampSummary!$C$2:$C$1407,C880)</f>
        <v>2</v>
      </c>
    </row>
    <row r="881" spans="1:4" x14ac:dyDescent="0.25">
      <c r="A881" t="s">
        <v>194</v>
      </c>
      <c r="B881" s="5">
        <v>41179</v>
      </c>
      <c r="C881" t="str">
        <f t="shared" si="13"/>
        <v>CGVGR044.58_41179</v>
      </c>
      <c r="D881">
        <f>COUNTIF(data.SampSummary!$C$2:$C$1407,C881)</f>
        <v>0</v>
      </c>
    </row>
    <row r="882" spans="1:4" x14ac:dyDescent="0.25">
      <c r="A882" t="s">
        <v>2879</v>
      </c>
      <c r="B882" s="5">
        <v>42425</v>
      </c>
      <c r="C882" t="str">
        <f t="shared" si="13"/>
        <v>SRD2E000.12_42425</v>
      </c>
      <c r="D882">
        <f>COUNTIF(data.SampSummary!$C$2:$C$1407,C882)</f>
        <v>0</v>
      </c>
    </row>
    <row r="883" spans="1:4" x14ac:dyDescent="0.25">
      <c r="A883" t="s">
        <v>135</v>
      </c>
      <c r="B883" s="5">
        <v>42425</v>
      </c>
      <c r="C883" t="str">
        <f t="shared" si="13"/>
        <v>SRHRS001.41_42425</v>
      </c>
      <c r="D883">
        <f>COUNTIF(data.SampSummary!$C$2:$C$1407,C883)</f>
        <v>0</v>
      </c>
    </row>
    <row r="884" spans="1:4" x14ac:dyDescent="0.25">
      <c r="A884" t="s">
        <v>2880</v>
      </c>
      <c r="B884" s="5">
        <v>42423</v>
      </c>
      <c r="C884" t="str">
        <f t="shared" si="13"/>
        <v>MGHSR112.91_42423</v>
      </c>
      <c r="D884">
        <f>COUNTIF(data.SampSummary!$C$2:$C$1407,C884)</f>
        <v>0</v>
      </c>
    </row>
    <row r="885" spans="1:4" x14ac:dyDescent="0.25">
      <c r="A885" t="s">
        <v>2872</v>
      </c>
      <c r="B885" s="5">
        <v>41208</v>
      </c>
      <c r="C885" t="str">
        <f t="shared" si="13"/>
        <v>MGSLR003.96_41208</v>
      </c>
      <c r="D885">
        <f>COUNTIF(data.SampSummary!$C$2:$C$1407,C885)</f>
        <v>0</v>
      </c>
    </row>
    <row r="886" spans="1:4" x14ac:dyDescent="0.25">
      <c r="A886" t="s">
        <v>51</v>
      </c>
      <c r="B886" s="5">
        <v>42131</v>
      </c>
      <c r="C886" t="str">
        <f t="shared" si="13"/>
        <v>SRTON061.37_42131</v>
      </c>
      <c r="D886">
        <f>COUNTIF(data.SampSummary!$C$2:$C$1407,C886)</f>
        <v>1</v>
      </c>
    </row>
    <row r="887" spans="1:4" x14ac:dyDescent="0.25">
      <c r="A887" t="s">
        <v>313</v>
      </c>
      <c r="B887" s="5">
        <v>41163</v>
      </c>
      <c r="C887" t="str">
        <f t="shared" si="13"/>
        <v>VRFOS011.88_41163</v>
      </c>
      <c r="D887">
        <f>COUNTIF(data.SampSummary!$C$2:$C$1407,C887)</f>
        <v>0</v>
      </c>
    </row>
    <row r="888" spans="1:4" x14ac:dyDescent="0.25">
      <c r="A888" t="s">
        <v>247</v>
      </c>
      <c r="B888" s="5">
        <v>41135</v>
      </c>
      <c r="C888" t="str">
        <f t="shared" si="13"/>
        <v>BWTRT002.43_41135</v>
      </c>
      <c r="D888">
        <f>COUNTIF(data.SampSummary!$C$2:$C$1407,C888)</f>
        <v>0</v>
      </c>
    </row>
    <row r="889" spans="1:4" x14ac:dyDescent="0.25">
      <c r="A889" t="s">
        <v>114</v>
      </c>
      <c r="B889" s="5">
        <v>41772</v>
      </c>
      <c r="C889" t="str">
        <f t="shared" si="13"/>
        <v>LCBIL000.15_41772</v>
      </c>
      <c r="D889">
        <f>COUNTIF(data.SampSummary!$C$2:$C$1407,C889)</f>
        <v>2</v>
      </c>
    </row>
    <row r="890" spans="1:4" x14ac:dyDescent="0.25">
      <c r="A890" t="s">
        <v>250</v>
      </c>
      <c r="B890" s="5">
        <v>42409</v>
      </c>
      <c r="C890" t="str">
        <f t="shared" si="13"/>
        <v>SRDEV000.38_42409</v>
      </c>
      <c r="D890">
        <f>COUNTIF(data.SampSummary!$C$2:$C$1407,C890)</f>
        <v>0</v>
      </c>
    </row>
    <row r="891" spans="1:4" x14ac:dyDescent="0.25">
      <c r="A891" t="s">
        <v>253</v>
      </c>
      <c r="B891" s="5">
        <v>41312</v>
      </c>
      <c r="C891" t="str">
        <f t="shared" si="13"/>
        <v>VRWBV006.54_41312</v>
      </c>
      <c r="D891">
        <f>COUNTIF(data.SampSummary!$C$2:$C$1407,C891)</f>
        <v>0</v>
      </c>
    </row>
    <row r="892" spans="1:4" x14ac:dyDescent="0.25">
      <c r="A892" t="s">
        <v>57</v>
      </c>
      <c r="B892" s="5">
        <v>41200</v>
      </c>
      <c r="C892" t="str">
        <f t="shared" si="13"/>
        <v>SREFB008.27_41200</v>
      </c>
      <c r="D892">
        <f>COUNTIF(data.SampSummary!$C$2:$C$1407,C892)</f>
        <v>0</v>
      </c>
    </row>
    <row r="893" spans="1:4" x14ac:dyDescent="0.25">
      <c r="A893" t="s">
        <v>182</v>
      </c>
      <c r="B893" s="5">
        <v>42347</v>
      </c>
      <c r="C893" t="str">
        <f t="shared" si="13"/>
        <v>VRBON002.71_42347</v>
      </c>
      <c r="D893">
        <f>COUNTIF(data.SampSummary!$C$2:$C$1407,C893)</f>
        <v>0</v>
      </c>
    </row>
    <row r="894" spans="1:4" x14ac:dyDescent="0.25">
      <c r="A894" t="s">
        <v>147</v>
      </c>
      <c r="B894" s="5">
        <v>41745</v>
      </c>
      <c r="C894" t="str">
        <f t="shared" si="13"/>
        <v>SRUNF002.31_41745</v>
      </c>
      <c r="D894">
        <f>COUNTIF(data.SampSummary!$C$2:$C$1407,C894)</f>
        <v>0</v>
      </c>
    </row>
    <row r="895" spans="1:4" x14ac:dyDescent="0.25">
      <c r="A895" t="s">
        <v>357</v>
      </c>
      <c r="B895" s="5">
        <v>41213</v>
      </c>
      <c r="C895" t="str">
        <f t="shared" si="13"/>
        <v>UGSFR034.57_41213</v>
      </c>
      <c r="D895">
        <f>COUNTIF(data.SampSummary!$C$2:$C$1407,C895)</f>
        <v>0</v>
      </c>
    </row>
    <row r="896" spans="1:4" x14ac:dyDescent="0.25">
      <c r="A896" t="s">
        <v>333</v>
      </c>
      <c r="B896" s="5">
        <v>41212</v>
      </c>
      <c r="C896" t="str">
        <f t="shared" si="13"/>
        <v>UGEAG011.09_41212</v>
      </c>
      <c r="D896">
        <f>COUNTIF(data.SampSummary!$C$2:$C$1407,C896)</f>
        <v>0</v>
      </c>
    </row>
    <row r="897" spans="1:4" x14ac:dyDescent="0.25">
      <c r="A897" t="s">
        <v>199</v>
      </c>
      <c r="B897" s="5">
        <v>41212</v>
      </c>
      <c r="C897" t="str">
        <f t="shared" si="13"/>
        <v>UGBON006.41_41212</v>
      </c>
      <c r="D897">
        <f>COUNTIF(data.SampSummary!$C$2:$C$1407,C897)</f>
        <v>0</v>
      </c>
    </row>
    <row r="898" spans="1:4" x14ac:dyDescent="0.25">
      <c r="A898" t="s">
        <v>326</v>
      </c>
      <c r="B898" s="5">
        <v>41213</v>
      </c>
      <c r="C898" t="str">
        <f t="shared" si="13"/>
        <v>UGSFR006.42_41213</v>
      </c>
      <c r="D898">
        <f>COUNTIF(data.SampSummary!$C$2:$C$1407,C898)</f>
        <v>0</v>
      </c>
    </row>
    <row r="899" spans="1:4" x14ac:dyDescent="0.25">
      <c r="A899" t="s">
        <v>250</v>
      </c>
      <c r="B899" s="5">
        <v>41220</v>
      </c>
      <c r="C899" t="str">
        <f t="shared" ref="C899:C962" si="14">A899&amp;"_"&amp;B899</f>
        <v>SRDEV000.38_41220</v>
      </c>
      <c r="D899">
        <f>COUNTIF(data.SampSummary!$C$2:$C$1407,C899)</f>
        <v>0</v>
      </c>
    </row>
    <row r="900" spans="1:4" x14ac:dyDescent="0.25">
      <c r="A900" t="s">
        <v>2839</v>
      </c>
      <c r="B900" s="5">
        <v>41233</v>
      </c>
      <c r="C900" t="str">
        <f t="shared" si="14"/>
        <v>CLGLR011.17_41233</v>
      </c>
      <c r="D900">
        <f>COUNTIF(data.SampSummary!$C$2:$C$1407,C900)</f>
        <v>0</v>
      </c>
    </row>
    <row r="901" spans="1:4" x14ac:dyDescent="0.25">
      <c r="A901" t="s">
        <v>2876</v>
      </c>
      <c r="B901" s="5">
        <v>42325</v>
      </c>
      <c r="C901" t="str">
        <f t="shared" si="14"/>
        <v>SPSPR120.47_42325</v>
      </c>
      <c r="D901">
        <f>COUNTIF(data.SampSummary!$C$2:$C$1407,C901)</f>
        <v>0</v>
      </c>
    </row>
    <row r="902" spans="1:4" x14ac:dyDescent="0.25">
      <c r="A902" t="s">
        <v>315</v>
      </c>
      <c r="B902" s="5">
        <v>41249</v>
      </c>
      <c r="C902" t="str">
        <f t="shared" si="14"/>
        <v>BWBRO029.91_41249</v>
      </c>
      <c r="D902">
        <f>COUNTIF(data.SampSummary!$C$2:$C$1407,C902)</f>
        <v>0</v>
      </c>
    </row>
    <row r="903" spans="1:4" x14ac:dyDescent="0.25">
      <c r="A903" t="s">
        <v>19</v>
      </c>
      <c r="B903" s="5">
        <v>41743</v>
      </c>
      <c r="C903" t="str">
        <f t="shared" si="14"/>
        <v>LCCOL003.03_41743</v>
      </c>
      <c r="D903">
        <f>COUNTIF(data.SampSummary!$C$2:$C$1407,C903)</f>
        <v>0</v>
      </c>
    </row>
    <row r="904" spans="1:4" x14ac:dyDescent="0.25">
      <c r="A904" t="s">
        <v>2827</v>
      </c>
      <c r="B904" s="5">
        <v>41240</v>
      </c>
      <c r="C904" t="str">
        <f t="shared" si="14"/>
        <v>VREVR027.67_41240</v>
      </c>
      <c r="D904">
        <f>COUNTIF(data.SampSummary!$C$2:$C$1407,C904)</f>
        <v>0</v>
      </c>
    </row>
    <row r="905" spans="1:4" x14ac:dyDescent="0.25">
      <c r="A905" t="s">
        <v>203</v>
      </c>
      <c r="B905" s="5">
        <v>41240</v>
      </c>
      <c r="C905" t="str">
        <f t="shared" si="14"/>
        <v>MGLSY000.42_41240</v>
      </c>
      <c r="D905">
        <f>COUNTIF(data.SampSummary!$C$2:$C$1407,C905)</f>
        <v>0</v>
      </c>
    </row>
    <row r="906" spans="1:4" x14ac:dyDescent="0.25">
      <c r="A906" t="s">
        <v>187</v>
      </c>
      <c r="B906" s="5">
        <v>41240</v>
      </c>
      <c r="C906" t="str">
        <f t="shared" si="14"/>
        <v>VRWBV002.97_41240</v>
      </c>
      <c r="D906">
        <f>COUNTIF(data.SampSummary!$C$2:$C$1407,C906)</f>
        <v>0</v>
      </c>
    </row>
    <row r="907" spans="1:4" x14ac:dyDescent="0.25">
      <c r="A907" t="s">
        <v>245</v>
      </c>
      <c r="B907" s="5">
        <v>41247</v>
      </c>
      <c r="C907" t="str">
        <f t="shared" si="14"/>
        <v>SRHAG007.47_41247</v>
      </c>
      <c r="D907">
        <f>COUNTIF(data.SampSummary!$C$2:$C$1407,C907)</f>
        <v>0</v>
      </c>
    </row>
    <row r="908" spans="1:4" x14ac:dyDescent="0.25">
      <c r="A908" t="s">
        <v>45</v>
      </c>
      <c r="B908" s="5">
        <v>42325</v>
      </c>
      <c r="C908" t="str">
        <f t="shared" si="14"/>
        <v>SRREY001.14_42325</v>
      </c>
      <c r="D908">
        <f>COUNTIF(data.SampSummary!$C$2:$C$1407,C908)</f>
        <v>0</v>
      </c>
    </row>
    <row r="909" spans="1:4" x14ac:dyDescent="0.25">
      <c r="A909" t="s">
        <v>313</v>
      </c>
      <c r="B909" s="5">
        <v>41249</v>
      </c>
      <c r="C909" t="str">
        <f t="shared" si="14"/>
        <v>VRFOS011.88_41249</v>
      </c>
      <c r="D909">
        <f>COUNTIF(data.SampSummary!$C$2:$C$1407,C909)</f>
        <v>0</v>
      </c>
    </row>
    <row r="910" spans="1:4" x14ac:dyDescent="0.25">
      <c r="A910" t="s">
        <v>163</v>
      </c>
      <c r="B910" s="5">
        <v>42318</v>
      </c>
      <c r="C910" t="str">
        <f t="shared" si="14"/>
        <v>LCECL021.13_42318</v>
      </c>
      <c r="D910">
        <f>COUNTIF(data.SampSummary!$C$2:$C$1407,C910)</f>
        <v>0</v>
      </c>
    </row>
    <row r="911" spans="1:4" x14ac:dyDescent="0.25">
      <c r="A911" t="s">
        <v>49</v>
      </c>
      <c r="B911" s="5">
        <v>42318</v>
      </c>
      <c r="C911" t="str">
        <f t="shared" si="14"/>
        <v>VRWCL036.37_42318</v>
      </c>
      <c r="D911">
        <f>COUNTIF(data.SampSummary!$C$2:$C$1407,C911)</f>
        <v>0</v>
      </c>
    </row>
    <row r="912" spans="1:4" x14ac:dyDescent="0.25">
      <c r="A912" t="s">
        <v>179</v>
      </c>
      <c r="B912" s="5">
        <v>42459</v>
      </c>
      <c r="C912" t="str">
        <f t="shared" si="14"/>
        <v>SRNFB012.35_42459</v>
      </c>
      <c r="D912">
        <f>COUNTIF(data.SampSummary!$C$2:$C$1407,C912)</f>
        <v>0</v>
      </c>
    </row>
    <row r="913" spans="1:4" x14ac:dyDescent="0.25">
      <c r="A913" t="s">
        <v>2879</v>
      </c>
      <c r="B913" s="5">
        <v>42311</v>
      </c>
      <c r="C913" t="str">
        <f t="shared" si="14"/>
        <v>SRD2E000.12_42311</v>
      </c>
      <c r="D913">
        <f>COUNTIF(data.SampSummary!$C$2:$C$1407,C913)</f>
        <v>0</v>
      </c>
    </row>
    <row r="914" spans="1:4" x14ac:dyDescent="0.25">
      <c r="A914" t="s">
        <v>31</v>
      </c>
      <c r="B914" s="5">
        <v>42310</v>
      </c>
      <c r="C914" t="str">
        <f t="shared" si="14"/>
        <v>SRUDC000.02_42310</v>
      </c>
      <c r="D914">
        <f>COUNTIF(data.SampSummary!$C$2:$C$1407,C914)</f>
        <v>0</v>
      </c>
    </row>
    <row r="915" spans="1:4" x14ac:dyDescent="0.25">
      <c r="A915" t="s">
        <v>50</v>
      </c>
      <c r="B915" s="5">
        <v>42310</v>
      </c>
      <c r="C915" t="str">
        <f t="shared" si="14"/>
        <v>SRDCN001.90_42310</v>
      </c>
      <c r="D915">
        <f>COUNTIF(data.SampSummary!$C$2:$C$1407,C915)</f>
        <v>0</v>
      </c>
    </row>
    <row r="916" spans="1:4" x14ac:dyDescent="0.25">
      <c r="A916" t="s">
        <v>250</v>
      </c>
      <c r="B916" s="5">
        <v>42304</v>
      </c>
      <c r="C916" t="str">
        <f t="shared" si="14"/>
        <v>SRDEV000.38_42304</v>
      </c>
      <c r="D916">
        <f>COUNTIF(data.SampSummary!$C$2:$C$1407,C916)</f>
        <v>0</v>
      </c>
    </row>
    <row r="917" spans="1:4" x14ac:dyDescent="0.25">
      <c r="A917" t="s">
        <v>2881</v>
      </c>
      <c r="B917" s="5">
        <v>42303</v>
      </c>
      <c r="C917" t="str">
        <f t="shared" si="14"/>
        <v>LCLCR326.41_42303</v>
      </c>
      <c r="D917">
        <f>COUNTIF(data.SampSummary!$C$2:$C$1407,C917)</f>
        <v>0</v>
      </c>
    </row>
    <row r="918" spans="1:4" x14ac:dyDescent="0.25">
      <c r="A918" t="s">
        <v>2816</v>
      </c>
      <c r="B918" s="5">
        <v>42303</v>
      </c>
      <c r="C918" t="str">
        <f t="shared" si="14"/>
        <v>LCLCR324.92_42303</v>
      </c>
      <c r="D918">
        <f>COUNTIF(data.SampSummary!$C$2:$C$1407,C918)</f>
        <v>0</v>
      </c>
    </row>
    <row r="919" spans="1:4" x14ac:dyDescent="0.25">
      <c r="A919" t="s">
        <v>2882</v>
      </c>
      <c r="B919" s="5">
        <v>42303</v>
      </c>
      <c r="C919" t="str">
        <f t="shared" si="14"/>
        <v>LCLCR349.82_42303</v>
      </c>
      <c r="D919">
        <f>COUNTIF(data.SampSummary!$C$2:$C$1407,C919)</f>
        <v>0</v>
      </c>
    </row>
    <row r="920" spans="1:4" x14ac:dyDescent="0.25">
      <c r="A920" t="s">
        <v>2883</v>
      </c>
      <c r="B920" s="5">
        <v>41254</v>
      </c>
      <c r="C920" t="str">
        <f t="shared" si="14"/>
        <v>VRVER129.75_41254</v>
      </c>
      <c r="D920">
        <f>COUNTIF(data.SampSummary!$C$2:$C$1407,C920)</f>
        <v>0</v>
      </c>
    </row>
    <row r="921" spans="1:4" x14ac:dyDescent="0.25">
      <c r="A921" t="s">
        <v>2864</v>
      </c>
      <c r="B921" s="5">
        <v>41367</v>
      </c>
      <c r="C921" t="str">
        <f t="shared" si="14"/>
        <v>CLGLR007.11_41367</v>
      </c>
      <c r="D921">
        <f>COUNTIF(data.SampSummary!$C$2:$C$1407,C921)</f>
        <v>0</v>
      </c>
    </row>
    <row r="922" spans="1:4" x14ac:dyDescent="0.25">
      <c r="A922" t="s">
        <v>173</v>
      </c>
      <c r="B922" s="5">
        <v>41715</v>
      </c>
      <c r="C922" t="str">
        <f t="shared" si="14"/>
        <v>LCROS000.25_41715</v>
      </c>
      <c r="D922">
        <f>COUNTIF(data.SampSummary!$C$2:$C$1407,C922)</f>
        <v>0</v>
      </c>
    </row>
    <row r="923" spans="1:4" x14ac:dyDescent="0.25">
      <c r="A923" t="s">
        <v>274</v>
      </c>
      <c r="B923" s="5">
        <v>41254</v>
      </c>
      <c r="C923" t="str">
        <f t="shared" si="14"/>
        <v>VRVER165.07_41254</v>
      </c>
      <c r="D923">
        <f>COUNTIF(data.SampSummary!$C$2:$C$1407,C923)</f>
        <v>0</v>
      </c>
    </row>
    <row r="924" spans="1:4" x14ac:dyDescent="0.25">
      <c r="A924" t="s">
        <v>36</v>
      </c>
      <c r="B924" s="5">
        <v>42298</v>
      </c>
      <c r="C924" t="str">
        <f t="shared" si="14"/>
        <v>SRFIS010.92_42298</v>
      </c>
      <c r="D924">
        <f>COUNTIF(data.SampSummary!$C$2:$C$1407,C924)</f>
        <v>0</v>
      </c>
    </row>
    <row r="925" spans="1:4" x14ac:dyDescent="0.25">
      <c r="A925" t="s">
        <v>2884</v>
      </c>
      <c r="B925" s="5">
        <v>42297</v>
      </c>
      <c r="C925" t="str">
        <f t="shared" si="14"/>
        <v>SPSPR144.76_42297</v>
      </c>
      <c r="D925">
        <f>COUNTIF(data.SampSummary!$C$2:$C$1407,C925)</f>
        <v>0</v>
      </c>
    </row>
    <row r="926" spans="1:4" x14ac:dyDescent="0.25">
      <c r="A926" t="s">
        <v>43</v>
      </c>
      <c r="B926" s="5">
        <v>41696</v>
      </c>
      <c r="C926" t="str">
        <f t="shared" si="14"/>
        <v>SRCYN045.73_41696</v>
      </c>
      <c r="D926">
        <f>COUNTIF(data.SampSummary!$C$2:$C$1407,C926)</f>
        <v>0</v>
      </c>
    </row>
    <row r="927" spans="1:4" x14ac:dyDescent="0.25">
      <c r="A927" t="s">
        <v>2852</v>
      </c>
      <c r="B927" s="5">
        <v>42297</v>
      </c>
      <c r="C927" t="str">
        <f t="shared" si="14"/>
        <v>SRSNK001.33_42297</v>
      </c>
      <c r="D927">
        <f>COUNTIF(data.SampSummary!$C$2:$C$1407,C927)</f>
        <v>0</v>
      </c>
    </row>
    <row r="928" spans="1:4" x14ac:dyDescent="0.25">
      <c r="A928" t="s">
        <v>72</v>
      </c>
      <c r="B928" s="5">
        <v>42297</v>
      </c>
      <c r="C928" t="str">
        <f t="shared" si="14"/>
        <v>SRNBE000.86_42297</v>
      </c>
      <c r="D928">
        <f>COUNTIF(data.SampSummary!$C$2:$C$1407,C928)</f>
        <v>0</v>
      </c>
    </row>
    <row r="929" spans="1:4" x14ac:dyDescent="0.25">
      <c r="A929" t="s">
        <v>2839</v>
      </c>
      <c r="B929" s="5">
        <v>41289</v>
      </c>
      <c r="C929" t="str">
        <f t="shared" si="14"/>
        <v>CLGLR011.17_41289</v>
      </c>
      <c r="D929">
        <f>COUNTIF(data.SampSummary!$C$2:$C$1407,C929)</f>
        <v>0</v>
      </c>
    </row>
    <row r="930" spans="1:4" x14ac:dyDescent="0.25">
      <c r="A930" t="s">
        <v>151</v>
      </c>
      <c r="B930" s="5">
        <v>41696</v>
      </c>
      <c r="C930" t="str">
        <f t="shared" si="14"/>
        <v>SRHAG013.09_41696</v>
      </c>
      <c r="D930">
        <f>COUNTIF(data.SampSummary!$C$2:$C$1407,C930)</f>
        <v>0</v>
      </c>
    </row>
    <row r="931" spans="1:4" x14ac:dyDescent="0.25">
      <c r="A931" t="s">
        <v>231</v>
      </c>
      <c r="B931" s="5">
        <v>41260</v>
      </c>
      <c r="C931" t="str">
        <f t="shared" si="14"/>
        <v>SPARA026.35_41260</v>
      </c>
      <c r="D931">
        <f>COUNTIF(data.SampSummary!$C$2:$C$1407,C931)</f>
        <v>0</v>
      </c>
    </row>
    <row r="932" spans="1:4" x14ac:dyDescent="0.25">
      <c r="A932" t="s">
        <v>244</v>
      </c>
      <c r="B932" s="5">
        <v>41248</v>
      </c>
      <c r="C932" t="str">
        <f t="shared" si="14"/>
        <v>SCSON015.35_41248</v>
      </c>
      <c r="D932">
        <f>COUNTIF(data.SampSummary!$C$2:$C$1407,C932)</f>
        <v>0</v>
      </c>
    </row>
    <row r="933" spans="1:4" x14ac:dyDescent="0.25">
      <c r="A933" t="s">
        <v>2878</v>
      </c>
      <c r="B933" s="5">
        <v>42290</v>
      </c>
      <c r="C933" t="str">
        <f t="shared" si="14"/>
        <v>VRFOS010.48_42290</v>
      </c>
      <c r="D933">
        <f>COUNTIF(data.SampSummary!$C$2:$C$1407,C933)</f>
        <v>0</v>
      </c>
    </row>
    <row r="934" spans="1:4" x14ac:dyDescent="0.25">
      <c r="A934" t="s">
        <v>2885</v>
      </c>
      <c r="B934" s="5">
        <v>41248</v>
      </c>
      <c r="C934" t="str">
        <f t="shared" si="14"/>
        <v>SCSON015.51_41248</v>
      </c>
      <c r="D934">
        <f>COUNTIF(data.SampSummary!$C$2:$C$1407,C934)</f>
        <v>0</v>
      </c>
    </row>
    <row r="935" spans="1:4" x14ac:dyDescent="0.25">
      <c r="A935" t="s">
        <v>2886</v>
      </c>
      <c r="B935" s="5">
        <v>42264</v>
      </c>
      <c r="C935" t="str">
        <f t="shared" si="14"/>
        <v>LCNUT013.33_42264</v>
      </c>
      <c r="D935">
        <f>COUNTIF(data.SampSummary!$C$2:$C$1407,C935)</f>
        <v>0</v>
      </c>
    </row>
    <row r="936" spans="1:4" x14ac:dyDescent="0.25">
      <c r="A936" t="s">
        <v>2887</v>
      </c>
      <c r="B936" s="5">
        <v>42263</v>
      </c>
      <c r="C936" t="str">
        <f t="shared" si="14"/>
        <v>LCLCR325.37_42263</v>
      </c>
      <c r="D936">
        <f>COUNTIF(data.SampSummary!$C$2:$C$1407,C936)</f>
        <v>0</v>
      </c>
    </row>
    <row r="937" spans="1:4" x14ac:dyDescent="0.25">
      <c r="A937" t="s">
        <v>2888</v>
      </c>
      <c r="B937" s="5">
        <v>42263</v>
      </c>
      <c r="C937" t="str">
        <f t="shared" si="14"/>
        <v>LCLCR328.04_42263</v>
      </c>
      <c r="D937">
        <f>COUNTIF(data.SampSummary!$C$2:$C$1407,C937)</f>
        <v>0</v>
      </c>
    </row>
    <row r="938" spans="1:4" x14ac:dyDescent="0.25">
      <c r="A938" t="s">
        <v>2816</v>
      </c>
      <c r="B938" s="5">
        <v>42263</v>
      </c>
      <c r="C938" t="str">
        <f t="shared" si="14"/>
        <v>LCLCR324.92_42263</v>
      </c>
      <c r="D938">
        <f>COUNTIF(data.SampSummary!$C$2:$C$1407,C938)</f>
        <v>0</v>
      </c>
    </row>
    <row r="939" spans="1:4" x14ac:dyDescent="0.25">
      <c r="A939" t="s">
        <v>346</v>
      </c>
      <c r="B939" s="5">
        <v>41283</v>
      </c>
      <c r="C939" t="str">
        <f t="shared" si="14"/>
        <v>UGGLR446.02_41283</v>
      </c>
      <c r="D939">
        <f>COUNTIF(data.SampSummary!$C$2:$C$1407,C939)</f>
        <v>0</v>
      </c>
    </row>
    <row r="940" spans="1:4" x14ac:dyDescent="0.25">
      <c r="A940" t="s">
        <v>199</v>
      </c>
      <c r="B940" s="5">
        <v>41281</v>
      </c>
      <c r="C940" t="str">
        <f t="shared" si="14"/>
        <v>UGBON006.41_41281</v>
      </c>
      <c r="D940">
        <f>COUNTIF(data.SampSummary!$C$2:$C$1407,C940)</f>
        <v>0</v>
      </c>
    </row>
    <row r="941" spans="1:4" x14ac:dyDescent="0.25">
      <c r="A941" t="s">
        <v>357</v>
      </c>
      <c r="B941" s="5">
        <v>41282</v>
      </c>
      <c r="C941" t="str">
        <f t="shared" si="14"/>
        <v>UGSFR034.57_41282</v>
      </c>
      <c r="D941">
        <f>COUNTIF(data.SampSummary!$C$2:$C$1407,C941)</f>
        <v>0</v>
      </c>
    </row>
    <row r="942" spans="1:4" x14ac:dyDescent="0.25">
      <c r="A942" t="s">
        <v>333</v>
      </c>
      <c r="B942" s="5">
        <v>41281</v>
      </c>
      <c r="C942" t="str">
        <f t="shared" si="14"/>
        <v>UGEAG011.09_41281</v>
      </c>
      <c r="D942">
        <f>COUNTIF(data.SampSummary!$C$2:$C$1407,C942)</f>
        <v>0</v>
      </c>
    </row>
    <row r="943" spans="1:4" x14ac:dyDescent="0.25">
      <c r="A943" t="s">
        <v>329</v>
      </c>
      <c r="B943" s="5">
        <v>41604</v>
      </c>
      <c r="C943" t="str">
        <f t="shared" si="14"/>
        <v>VRWCL010.66_41604</v>
      </c>
      <c r="D943">
        <f>COUNTIF(data.SampSummary!$C$2:$C$1407,C943)</f>
        <v>0</v>
      </c>
    </row>
    <row r="944" spans="1:4" x14ac:dyDescent="0.25">
      <c r="A944" t="s">
        <v>112</v>
      </c>
      <c r="B944" s="5">
        <v>41534</v>
      </c>
      <c r="C944" t="str">
        <f t="shared" si="14"/>
        <v>LCSHL031.05_41534</v>
      </c>
      <c r="D944">
        <f>COUNTIF(data.SampSummary!$C$2:$C$1407,C944)</f>
        <v>0</v>
      </c>
    </row>
    <row r="945" spans="1:4" x14ac:dyDescent="0.25">
      <c r="A945" t="s">
        <v>216</v>
      </c>
      <c r="B945" s="5">
        <v>41298</v>
      </c>
      <c r="C945" t="str">
        <f t="shared" si="14"/>
        <v>MGSSW000.38_41298</v>
      </c>
      <c r="D945">
        <f>COUNTIF(data.SampSummary!$C$2:$C$1407,C945)</f>
        <v>0</v>
      </c>
    </row>
    <row r="946" spans="1:4" x14ac:dyDescent="0.25">
      <c r="A946" t="s">
        <v>2853</v>
      </c>
      <c r="B946" s="5">
        <v>41304</v>
      </c>
      <c r="C946" t="str">
        <f t="shared" si="14"/>
        <v>VREVR046.18_41304</v>
      </c>
      <c r="D946">
        <f>COUNTIF(data.SampSummary!$C$2:$C$1407,C946)</f>
        <v>0</v>
      </c>
    </row>
    <row r="947" spans="1:4" x14ac:dyDescent="0.25">
      <c r="A947" t="s">
        <v>244</v>
      </c>
      <c r="B947" s="5">
        <v>41318</v>
      </c>
      <c r="C947" t="str">
        <f t="shared" si="14"/>
        <v>SCSON015.35_41318</v>
      </c>
      <c r="D947">
        <f>COUNTIF(data.SampSummary!$C$2:$C$1407,C947)</f>
        <v>0</v>
      </c>
    </row>
    <row r="948" spans="1:4" x14ac:dyDescent="0.25">
      <c r="A948" t="s">
        <v>186</v>
      </c>
      <c r="B948" s="5">
        <v>41303</v>
      </c>
      <c r="C948" t="str">
        <f t="shared" si="14"/>
        <v>VREVR034.80_41303</v>
      </c>
      <c r="D948">
        <f>COUNTIF(data.SampSummary!$C$2:$C$1407,C948)</f>
        <v>0</v>
      </c>
    </row>
    <row r="949" spans="1:4" x14ac:dyDescent="0.25">
      <c r="A949" t="s">
        <v>2860</v>
      </c>
      <c r="B949" s="5">
        <v>41303</v>
      </c>
      <c r="C949" t="str">
        <f t="shared" si="14"/>
        <v>VREVR016.28_41303</v>
      </c>
      <c r="D949">
        <f>COUNTIF(data.SampSummary!$C$2:$C$1407,C949)</f>
        <v>0</v>
      </c>
    </row>
    <row r="950" spans="1:4" x14ac:dyDescent="0.25">
      <c r="A950" t="s">
        <v>2872</v>
      </c>
      <c r="B950" s="5">
        <v>41332</v>
      </c>
      <c r="C950" t="str">
        <f t="shared" si="14"/>
        <v>MGSLR003.96_41332</v>
      </c>
      <c r="D950">
        <f>COUNTIF(data.SampSummary!$C$2:$C$1407,C950)</f>
        <v>0</v>
      </c>
    </row>
    <row r="951" spans="1:4" x14ac:dyDescent="0.25">
      <c r="A951" t="s">
        <v>126</v>
      </c>
      <c r="B951" s="5">
        <v>41304</v>
      </c>
      <c r="C951" t="str">
        <f t="shared" si="14"/>
        <v>VRELL000.18_41304</v>
      </c>
      <c r="D951">
        <f>COUNTIF(data.SampSummary!$C$2:$C$1407,C951)</f>
        <v>0</v>
      </c>
    </row>
    <row r="952" spans="1:4" x14ac:dyDescent="0.25">
      <c r="A952" t="s">
        <v>187</v>
      </c>
      <c r="B952" s="5">
        <v>41312</v>
      </c>
      <c r="C952" t="str">
        <f t="shared" si="14"/>
        <v>VRWBV002.97_41312</v>
      </c>
      <c r="D952">
        <f>COUNTIF(data.SampSummary!$C$2:$C$1407,C952)</f>
        <v>0</v>
      </c>
    </row>
    <row r="953" spans="1:4" x14ac:dyDescent="0.25">
      <c r="A953" t="s">
        <v>181</v>
      </c>
      <c r="B953" s="5">
        <v>42249</v>
      </c>
      <c r="C953" t="str">
        <f t="shared" si="14"/>
        <v>SRUUE000.03_42249</v>
      </c>
      <c r="D953">
        <f>COUNTIF(data.SampSummary!$C$2:$C$1407,C953)</f>
        <v>0</v>
      </c>
    </row>
    <row r="954" spans="1:4" x14ac:dyDescent="0.25">
      <c r="A954" t="s">
        <v>129</v>
      </c>
      <c r="B954" s="5">
        <v>41590</v>
      </c>
      <c r="C954" t="str">
        <f t="shared" si="14"/>
        <v>LCECL009.39_41590</v>
      </c>
      <c r="D954">
        <f>COUNTIF(data.SampSummary!$C$2:$C$1407,C954)</f>
        <v>0</v>
      </c>
    </row>
    <row r="955" spans="1:4" x14ac:dyDescent="0.25">
      <c r="A955" t="s">
        <v>200</v>
      </c>
      <c r="B955" s="5">
        <v>41327</v>
      </c>
      <c r="C955" t="str">
        <f t="shared" si="14"/>
        <v>SPSPR015.42_41327</v>
      </c>
      <c r="D955">
        <f>COUNTIF(data.SampSummary!$C$2:$C$1407,C955)</f>
        <v>0</v>
      </c>
    </row>
    <row r="956" spans="1:4" x14ac:dyDescent="0.25">
      <c r="A956" t="s">
        <v>240</v>
      </c>
      <c r="B956" s="5">
        <v>41332</v>
      </c>
      <c r="C956" t="str">
        <f t="shared" si="14"/>
        <v>SCCIE002.89_41332</v>
      </c>
      <c r="D956">
        <f>COUNTIF(data.SampSummary!$C$2:$C$1407,C956)</f>
        <v>0</v>
      </c>
    </row>
    <row r="957" spans="1:4" x14ac:dyDescent="0.25">
      <c r="A957" t="s">
        <v>247</v>
      </c>
      <c r="B957" s="5">
        <v>41339</v>
      </c>
      <c r="C957" t="str">
        <f t="shared" si="14"/>
        <v>BWTRT002.43_41339</v>
      </c>
      <c r="D957">
        <f>COUNTIF(data.SampSummary!$C$2:$C$1407,C957)</f>
        <v>0</v>
      </c>
    </row>
    <row r="958" spans="1:4" x14ac:dyDescent="0.25">
      <c r="A958" t="s">
        <v>326</v>
      </c>
      <c r="B958" s="5">
        <v>41333</v>
      </c>
      <c r="C958" t="str">
        <f t="shared" si="14"/>
        <v>UGSFR006.42_41333</v>
      </c>
      <c r="D958">
        <f>COUNTIF(data.SampSummary!$C$2:$C$1407,C958)</f>
        <v>0</v>
      </c>
    </row>
    <row r="959" spans="1:4" x14ac:dyDescent="0.25">
      <c r="A959" t="s">
        <v>346</v>
      </c>
      <c r="B959" s="5">
        <v>41333</v>
      </c>
      <c r="C959" t="str">
        <f t="shared" si="14"/>
        <v>UGGLR446.02_41333</v>
      </c>
      <c r="D959">
        <f>COUNTIF(data.SampSummary!$C$2:$C$1407,C959)</f>
        <v>0</v>
      </c>
    </row>
    <row r="960" spans="1:4" x14ac:dyDescent="0.25">
      <c r="A960" t="s">
        <v>315</v>
      </c>
      <c r="B960" s="5">
        <v>41346</v>
      </c>
      <c r="C960" t="str">
        <f t="shared" si="14"/>
        <v>BWBRO029.91_41346</v>
      </c>
      <c r="D960">
        <f>COUNTIF(data.SampSummary!$C$2:$C$1407,C960)</f>
        <v>0</v>
      </c>
    </row>
    <row r="961" spans="1:4" x14ac:dyDescent="0.25">
      <c r="A961" t="s">
        <v>104</v>
      </c>
      <c r="B961" s="5">
        <v>42233</v>
      </c>
      <c r="C961" t="str">
        <f t="shared" si="14"/>
        <v>LCWLR000.92_42233</v>
      </c>
      <c r="D961">
        <f>COUNTIF(data.SampSummary!$C$2:$C$1407,C961)</f>
        <v>0</v>
      </c>
    </row>
    <row r="962" spans="1:4" x14ac:dyDescent="0.25">
      <c r="A962" t="s">
        <v>333</v>
      </c>
      <c r="B962" s="5">
        <v>41332</v>
      </c>
      <c r="C962" t="str">
        <f t="shared" si="14"/>
        <v>UGEAG011.09_41332</v>
      </c>
      <c r="D962">
        <f>COUNTIF(data.SampSummary!$C$2:$C$1407,C962)</f>
        <v>0</v>
      </c>
    </row>
    <row r="963" spans="1:4" x14ac:dyDescent="0.25">
      <c r="A963" t="s">
        <v>2858</v>
      </c>
      <c r="B963" s="5">
        <v>41347</v>
      </c>
      <c r="C963" t="str">
        <f t="shared" ref="C963:C1026" si="15">A963&amp;"_"&amp;B963</f>
        <v>VREVR023.39_41347</v>
      </c>
      <c r="D963">
        <f>COUNTIF(data.SampSummary!$C$2:$C$1407,C963)</f>
        <v>0</v>
      </c>
    </row>
    <row r="964" spans="1:4" x14ac:dyDescent="0.25">
      <c r="A964" t="s">
        <v>230</v>
      </c>
      <c r="B964" s="5">
        <v>41414</v>
      </c>
      <c r="C964" t="str">
        <f t="shared" si="15"/>
        <v>VREVR023.59_41414</v>
      </c>
      <c r="D964">
        <f>COUNTIF(data.SampSummary!$C$2:$C$1407,C964)</f>
        <v>1</v>
      </c>
    </row>
    <row r="965" spans="1:4" x14ac:dyDescent="0.25">
      <c r="A965" t="s">
        <v>355</v>
      </c>
      <c r="B965" s="5">
        <v>42229</v>
      </c>
      <c r="C965" t="str">
        <f t="shared" si="15"/>
        <v>VRSPN002.92_42229</v>
      </c>
      <c r="D965">
        <f>COUNTIF(data.SampSummary!$C$2:$C$1407,C965)</f>
        <v>0</v>
      </c>
    </row>
    <row r="966" spans="1:4" x14ac:dyDescent="0.25">
      <c r="A966" t="s">
        <v>274</v>
      </c>
      <c r="B966" s="5">
        <v>41330</v>
      </c>
      <c r="C966" t="str">
        <f t="shared" si="15"/>
        <v>VRVER165.07_41330</v>
      </c>
      <c r="D966">
        <f>COUNTIF(data.SampSummary!$C$2:$C$1407,C966)</f>
        <v>0</v>
      </c>
    </row>
    <row r="967" spans="1:4" x14ac:dyDescent="0.25">
      <c r="A967" t="s">
        <v>193</v>
      </c>
      <c r="B967" s="5">
        <v>41330</v>
      </c>
      <c r="C967" t="str">
        <f t="shared" si="15"/>
        <v>VRSYW001.72_41330</v>
      </c>
      <c r="D967">
        <f>COUNTIF(data.SampSummary!$C$2:$C$1407,C967)</f>
        <v>0</v>
      </c>
    </row>
    <row r="968" spans="1:4" x14ac:dyDescent="0.25">
      <c r="A968" t="s">
        <v>266</v>
      </c>
      <c r="B968" s="5">
        <v>41330</v>
      </c>
      <c r="C968" t="str">
        <f t="shared" si="15"/>
        <v>VRVER137.53_41330</v>
      </c>
      <c r="D968">
        <f>COUNTIF(data.SampSummary!$C$2:$C$1407,C968)</f>
        <v>0</v>
      </c>
    </row>
    <row r="969" spans="1:4" x14ac:dyDescent="0.25">
      <c r="A969" t="s">
        <v>2883</v>
      </c>
      <c r="B969" s="5">
        <v>41330</v>
      </c>
      <c r="C969" t="str">
        <f t="shared" si="15"/>
        <v>VRVER129.75_41330</v>
      </c>
      <c r="D969">
        <f>COUNTIF(data.SampSummary!$C$2:$C$1407,C969)</f>
        <v>0</v>
      </c>
    </row>
    <row r="970" spans="1:4" x14ac:dyDescent="0.25">
      <c r="A970" t="s">
        <v>230</v>
      </c>
      <c r="B970" s="5">
        <v>41352</v>
      </c>
      <c r="C970" t="str">
        <f t="shared" si="15"/>
        <v>VREVR023.59_41352</v>
      </c>
      <c r="D970">
        <f>COUNTIF(data.SampSummary!$C$2:$C$1407,C970)</f>
        <v>0</v>
      </c>
    </row>
    <row r="971" spans="1:4" x14ac:dyDescent="0.25">
      <c r="A971" t="s">
        <v>313</v>
      </c>
      <c r="B971" s="5">
        <v>41351</v>
      </c>
      <c r="C971" t="str">
        <f t="shared" si="15"/>
        <v>VRFOS011.88_41351</v>
      </c>
      <c r="D971">
        <f>COUNTIF(data.SampSummary!$C$2:$C$1407,C971)</f>
        <v>0</v>
      </c>
    </row>
    <row r="972" spans="1:4" x14ac:dyDescent="0.25">
      <c r="A972" t="s">
        <v>213</v>
      </c>
      <c r="B972" s="5">
        <v>41351</v>
      </c>
      <c r="C972" t="str">
        <f t="shared" si="15"/>
        <v>VRPIE008.19_41351</v>
      </c>
      <c r="D972">
        <f>COUNTIF(data.SampSummary!$C$2:$C$1407,C972)</f>
        <v>0</v>
      </c>
    </row>
    <row r="973" spans="1:4" x14ac:dyDescent="0.25">
      <c r="A973" t="s">
        <v>194</v>
      </c>
      <c r="B973" s="5">
        <v>41331</v>
      </c>
      <c r="C973" t="str">
        <f t="shared" si="15"/>
        <v>CGVGR044.58_41331</v>
      </c>
      <c r="D973">
        <f>COUNTIF(data.SampSummary!$C$2:$C$1407,C973)</f>
        <v>0</v>
      </c>
    </row>
    <row r="974" spans="1:4" x14ac:dyDescent="0.25">
      <c r="A974" t="s">
        <v>269</v>
      </c>
      <c r="B974" s="5">
        <v>41353</v>
      </c>
      <c r="C974" t="str">
        <f t="shared" si="15"/>
        <v>SRCHE011.90_41353</v>
      </c>
      <c r="D974">
        <f>COUNTIF(data.SampSummary!$C$2:$C$1407,C974)</f>
        <v>0</v>
      </c>
    </row>
    <row r="975" spans="1:4" x14ac:dyDescent="0.25">
      <c r="A975" t="s">
        <v>2878</v>
      </c>
      <c r="B975" s="5">
        <v>42193</v>
      </c>
      <c r="C975" t="str">
        <f t="shared" si="15"/>
        <v>VRFOS010.48_42193</v>
      </c>
      <c r="D975">
        <f>COUNTIF(data.SampSummary!$C$2:$C$1407,C975)</f>
        <v>0</v>
      </c>
    </row>
    <row r="976" spans="1:4" x14ac:dyDescent="0.25">
      <c r="A976" t="s">
        <v>212</v>
      </c>
      <c r="B976" s="5">
        <v>41353</v>
      </c>
      <c r="C976" t="str">
        <f t="shared" si="15"/>
        <v>BWBWR025.86_41353</v>
      </c>
      <c r="D976">
        <f>COUNTIF(data.SampSummary!$C$2:$C$1407,C976)</f>
        <v>0</v>
      </c>
    </row>
    <row r="977" spans="1:4" x14ac:dyDescent="0.25">
      <c r="A977" t="s">
        <v>250</v>
      </c>
      <c r="B977" s="5">
        <v>41353</v>
      </c>
      <c r="C977" t="str">
        <f t="shared" si="15"/>
        <v>SRDEV000.38_41353</v>
      </c>
      <c r="D977">
        <f>COUNTIF(data.SampSummary!$C$2:$C$1407,C977)</f>
        <v>0</v>
      </c>
    </row>
    <row r="978" spans="1:4" x14ac:dyDescent="0.25">
      <c r="A978" t="s">
        <v>216</v>
      </c>
      <c r="B978" s="5">
        <v>42031</v>
      </c>
      <c r="C978" t="str">
        <f t="shared" si="15"/>
        <v>MGSSW000.38_42031</v>
      </c>
      <c r="D978">
        <f>COUNTIF(data.SampSummary!$C$2:$C$1407,C978)</f>
        <v>0</v>
      </c>
    </row>
    <row r="979" spans="1:4" x14ac:dyDescent="0.25">
      <c r="A979" t="s">
        <v>56</v>
      </c>
      <c r="B979" s="5">
        <v>41543</v>
      </c>
      <c r="C979" t="str">
        <f t="shared" si="15"/>
        <v>LCHAL008.83_41543</v>
      </c>
      <c r="D979">
        <f>COUNTIF(data.SampSummary!$C$2:$C$1407,C979)</f>
        <v>0</v>
      </c>
    </row>
    <row r="980" spans="1:4" x14ac:dyDescent="0.25">
      <c r="A980" t="s">
        <v>269</v>
      </c>
      <c r="B980" s="5">
        <v>41402</v>
      </c>
      <c r="C980" t="str">
        <f t="shared" si="15"/>
        <v>SRCHE011.90_41402</v>
      </c>
      <c r="D980">
        <f>COUNTIF(data.SampSummary!$C$2:$C$1407,C980)</f>
        <v>1</v>
      </c>
    </row>
    <row r="981" spans="1:4" x14ac:dyDescent="0.25">
      <c r="A981" t="s">
        <v>200</v>
      </c>
      <c r="B981" s="5">
        <v>41367</v>
      </c>
      <c r="C981" t="str">
        <f t="shared" si="15"/>
        <v>SPSPR015.42_41367</v>
      </c>
      <c r="D981">
        <f>COUNTIF(data.SampSummary!$C$2:$C$1407,C981)</f>
        <v>1</v>
      </c>
    </row>
    <row r="982" spans="1:4" x14ac:dyDescent="0.25">
      <c r="A982" t="s">
        <v>204</v>
      </c>
      <c r="B982" s="5">
        <v>41366</v>
      </c>
      <c r="C982" t="str">
        <f t="shared" si="15"/>
        <v>SPBAS001.64_41366</v>
      </c>
      <c r="D982">
        <f>COUNTIF(data.SampSummary!$C$2:$C$1407,C982)</f>
        <v>1</v>
      </c>
    </row>
    <row r="983" spans="1:4" x14ac:dyDescent="0.25">
      <c r="A983" t="s">
        <v>83</v>
      </c>
      <c r="B983" s="5">
        <v>41542</v>
      </c>
      <c r="C983" t="str">
        <f t="shared" si="15"/>
        <v>LCELR008.70_41542</v>
      </c>
      <c r="D983">
        <f>COUNTIF(data.SampSummary!$C$2:$C$1407,C983)</f>
        <v>0</v>
      </c>
    </row>
    <row r="984" spans="1:4" x14ac:dyDescent="0.25">
      <c r="A984" t="s">
        <v>87</v>
      </c>
      <c r="B984" s="5">
        <v>41542</v>
      </c>
      <c r="C984" t="str">
        <f t="shared" si="15"/>
        <v>LCLVL001.32_41542</v>
      </c>
      <c r="D984">
        <f>COUNTIF(data.SampSummary!$C$2:$C$1407,C984)</f>
        <v>0</v>
      </c>
    </row>
    <row r="985" spans="1:4" x14ac:dyDescent="0.25">
      <c r="A985" t="s">
        <v>231</v>
      </c>
      <c r="B985" s="5">
        <v>41368</v>
      </c>
      <c r="C985" t="str">
        <f t="shared" si="15"/>
        <v>SPARA026.35_41368</v>
      </c>
      <c r="D985">
        <f>COUNTIF(data.SampSummary!$C$2:$C$1407,C985)</f>
        <v>2</v>
      </c>
    </row>
    <row r="986" spans="1:4" x14ac:dyDescent="0.25">
      <c r="A986" t="s">
        <v>68</v>
      </c>
      <c r="B986" s="5">
        <v>41541</v>
      </c>
      <c r="C986" t="str">
        <f t="shared" si="15"/>
        <v>LCSLR001.42_41541</v>
      </c>
      <c r="D986">
        <f>COUNTIF(data.SampSummary!$C$2:$C$1407,C986)</f>
        <v>0</v>
      </c>
    </row>
    <row r="987" spans="1:4" x14ac:dyDescent="0.25">
      <c r="A987" t="s">
        <v>60</v>
      </c>
      <c r="B987" s="5">
        <v>41535</v>
      </c>
      <c r="C987" t="str">
        <f t="shared" si="15"/>
        <v>VREVR051.15_41535</v>
      </c>
      <c r="D987">
        <f>COUNTIF(data.SampSummary!$C$2:$C$1407,C987)</f>
        <v>0</v>
      </c>
    </row>
    <row r="988" spans="1:4" x14ac:dyDescent="0.25">
      <c r="A988" t="s">
        <v>240</v>
      </c>
      <c r="B988" s="5">
        <v>41382</v>
      </c>
      <c r="C988" t="str">
        <f t="shared" si="15"/>
        <v>SCCIE002.89_41382</v>
      </c>
      <c r="D988">
        <f>COUNTIF(data.SampSummary!$C$2:$C$1407,C988)</f>
        <v>1</v>
      </c>
    </row>
    <row r="989" spans="1:4" x14ac:dyDescent="0.25">
      <c r="A989" t="s">
        <v>223</v>
      </c>
      <c r="B989" s="5">
        <v>41380</v>
      </c>
      <c r="C989" t="str">
        <f t="shared" si="15"/>
        <v>SPBHC004.31_41380</v>
      </c>
      <c r="D989">
        <f>COUNTIF(data.SampSummary!$C$2:$C$1407,C989)</f>
        <v>1</v>
      </c>
    </row>
    <row r="990" spans="1:4" x14ac:dyDescent="0.25">
      <c r="A990" t="s">
        <v>313</v>
      </c>
      <c r="B990" s="5">
        <v>41395</v>
      </c>
      <c r="C990" t="str">
        <f t="shared" si="15"/>
        <v>VRFOS011.88_41395</v>
      </c>
      <c r="D990">
        <f>COUNTIF(data.SampSummary!$C$2:$C$1407,C990)</f>
        <v>1</v>
      </c>
    </row>
    <row r="991" spans="1:4" x14ac:dyDescent="0.25">
      <c r="A991" t="s">
        <v>62</v>
      </c>
      <c r="B991" s="5">
        <v>41780</v>
      </c>
      <c r="C991" t="str">
        <f t="shared" si="15"/>
        <v>LCBRB006.74_41780</v>
      </c>
      <c r="D991">
        <f>COUNTIF(data.SampSummary!$C$2:$C$1407,C991)</f>
        <v>1</v>
      </c>
    </row>
    <row r="992" spans="1:4" x14ac:dyDescent="0.25">
      <c r="A992" t="s">
        <v>142</v>
      </c>
      <c r="B992" s="5">
        <v>41780</v>
      </c>
      <c r="C992" t="str">
        <f t="shared" si="15"/>
        <v>LCLCR336.72_41780</v>
      </c>
      <c r="D992">
        <f>COUNTIF(data.SampSummary!$C$2:$C$1407,C992)</f>
        <v>1</v>
      </c>
    </row>
    <row r="993" spans="1:4" x14ac:dyDescent="0.25">
      <c r="A993" t="s">
        <v>19</v>
      </c>
      <c r="B993" s="5">
        <v>41780</v>
      </c>
      <c r="C993" t="str">
        <f t="shared" si="15"/>
        <v>LCCOL003.03_41780</v>
      </c>
      <c r="D993">
        <f>COUNTIF(data.SampSummary!$C$2:$C$1407,C993)</f>
        <v>1</v>
      </c>
    </row>
    <row r="994" spans="1:4" x14ac:dyDescent="0.25">
      <c r="A994" t="s">
        <v>2883</v>
      </c>
      <c r="B994" s="5">
        <v>41386</v>
      </c>
      <c r="C994" t="str">
        <f t="shared" si="15"/>
        <v>VRVER129.75_41386</v>
      </c>
      <c r="D994">
        <f>COUNTIF(data.SampSummary!$C$2:$C$1407,C994)</f>
        <v>0</v>
      </c>
    </row>
    <row r="995" spans="1:4" x14ac:dyDescent="0.25">
      <c r="A995" t="s">
        <v>260</v>
      </c>
      <c r="B995" s="5">
        <v>41387</v>
      </c>
      <c r="C995" t="str">
        <f t="shared" si="15"/>
        <v>VROAK034.02_41387</v>
      </c>
      <c r="D995">
        <f>COUNTIF(data.SampSummary!$C$2:$C$1407,C995)</f>
        <v>1</v>
      </c>
    </row>
    <row r="996" spans="1:4" x14ac:dyDescent="0.25">
      <c r="A996" t="s">
        <v>173</v>
      </c>
      <c r="B996" s="5">
        <v>41534</v>
      </c>
      <c r="C996" t="str">
        <f t="shared" si="15"/>
        <v>LCROS000.25_41534</v>
      </c>
      <c r="D996">
        <f>COUNTIF(data.SampSummary!$C$2:$C$1407,C996)</f>
        <v>0</v>
      </c>
    </row>
    <row r="997" spans="1:4" x14ac:dyDescent="0.25">
      <c r="A997" t="s">
        <v>16</v>
      </c>
      <c r="B997" s="5">
        <v>41534</v>
      </c>
      <c r="C997" t="str">
        <f t="shared" si="15"/>
        <v>LCWLR001.23_41534</v>
      </c>
      <c r="D997">
        <f>COUNTIF(data.SampSummary!$C$2:$C$1407,C997)</f>
        <v>0</v>
      </c>
    </row>
    <row r="998" spans="1:4" x14ac:dyDescent="0.25">
      <c r="A998" t="s">
        <v>274</v>
      </c>
      <c r="B998" s="5">
        <v>41387</v>
      </c>
      <c r="C998" t="str">
        <f t="shared" si="15"/>
        <v>VRVER165.07_41387</v>
      </c>
      <c r="D998">
        <f>COUNTIF(data.SampSummary!$C$2:$C$1407,C998)</f>
        <v>1</v>
      </c>
    </row>
    <row r="999" spans="1:4" x14ac:dyDescent="0.25">
      <c r="A999" t="s">
        <v>193</v>
      </c>
      <c r="B999" s="5">
        <v>41386</v>
      </c>
      <c r="C999" t="str">
        <f t="shared" si="15"/>
        <v>VRSYW001.72_41386</v>
      </c>
      <c r="D999">
        <f>COUNTIF(data.SampSummary!$C$2:$C$1407,C999)</f>
        <v>1</v>
      </c>
    </row>
    <row r="1000" spans="1:4" x14ac:dyDescent="0.25">
      <c r="A1000" t="s">
        <v>53</v>
      </c>
      <c r="B1000" s="5">
        <v>41534</v>
      </c>
      <c r="C1000" t="str">
        <f t="shared" si="15"/>
        <v>SRTON059.43_41534</v>
      </c>
      <c r="D1000">
        <f>COUNTIF(data.SampSummary!$C$2:$C$1407,C1000)</f>
        <v>0</v>
      </c>
    </row>
    <row r="1001" spans="1:4" x14ac:dyDescent="0.25">
      <c r="A1001" t="s">
        <v>36</v>
      </c>
      <c r="B1001" s="5">
        <v>42541</v>
      </c>
      <c r="C1001" t="str">
        <f t="shared" si="15"/>
        <v>SRFIS010.92_42541</v>
      </c>
      <c r="D1001">
        <f>COUNTIF(data.SampSummary!$C$2:$C$1407,C1001)</f>
        <v>2</v>
      </c>
    </row>
    <row r="1002" spans="1:4" x14ac:dyDescent="0.25">
      <c r="A1002" t="s">
        <v>164</v>
      </c>
      <c r="B1002" s="5">
        <v>42537</v>
      </c>
      <c r="C1002" t="str">
        <f t="shared" si="15"/>
        <v>SRWRK002.83_42537</v>
      </c>
      <c r="D1002">
        <f>COUNTIF(data.SampSummary!$C$2:$C$1407,C1002)</f>
        <v>1</v>
      </c>
    </row>
    <row r="1003" spans="1:4" x14ac:dyDescent="0.25">
      <c r="A1003" t="s">
        <v>194</v>
      </c>
      <c r="B1003" s="5">
        <v>41388</v>
      </c>
      <c r="C1003" t="str">
        <f t="shared" si="15"/>
        <v>CGVGR044.58_41388</v>
      </c>
      <c r="D1003">
        <f>COUNTIF(data.SampSummary!$C$2:$C$1407,C1003)</f>
        <v>1</v>
      </c>
    </row>
    <row r="1004" spans="1:4" x14ac:dyDescent="0.25">
      <c r="A1004" t="s">
        <v>343</v>
      </c>
      <c r="B1004" s="5">
        <v>42094</v>
      </c>
      <c r="C1004" t="str">
        <f t="shared" si="15"/>
        <v>SPARA019.41_42094</v>
      </c>
      <c r="D1004">
        <f>COUNTIF(data.SampSummary!$C$2:$C$1407,C1004)</f>
        <v>0</v>
      </c>
    </row>
    <row r="1005" spans="1:4" x14ac:dyDescent="0.25">
      <c r="A1005" t="s">
        <v>253</v>
      </c>
      <c r="B1005" s="5">
        <v>41387</v>
      </c>
      <c r="C1005" t="str">
        <f t="shared" si="15"/>
        <v>VRWBV006.54_41387</v>
      </c>
      <c r="D1005">
        <f>COUNTIF(data.SampSummary!$C$2:$C$1407,C1005)</f>
        <v>1</v>
      </c>
    </row>
    <row r="1006" spans="1:4" x14ac:dyDescent="0.25">
      <c r="A1006" t="s">
        <v>250</v>
      </c>
      <c r="B1006" s="5">
        <v>42507</v>
      </c>
      <c r="C1006" t="str">
        <f t="shared" si="15"/>
        <v>SRDEV000.38_42507</v>
      </c>
      <c r="D1006">
        <f>COUNTIF(data.SampSummary!$C$2:$C$1407,C1006)</f>
        <v>1</v>
      </c>
    </row>
    <row r="1007" spans="1:4" x14ac:dyDescent="0.25">
      <c r="A1007" t="s">
        <v>216</v>
      </c>
      <c r="B1007" s="5">
        <v>41393</v>
      </c>
      <c r="C1007" t="str">
        <f t="shared" si="15"/>
        <v>MGSSW000.38_41393</v>
      </c>
      <c r="D1007">
        <f>COUNTIF(data.SampSummary!$C$2:$C$1407,C1007)</f>
        <v>2</v>
      </c>
    </row>
    <row r="1008" spans="1:4" x14ac:dyDescent="0.25">
      <c r="A1008" t="s">
        <v>182</v>
      </c>
      <c r="B1008" s="5">
        <v>42493</v>
      </c>
      <c r="C1008" t="str">
        <f t="shared" si="15"/>
        <v>VRBON002.71_42493</v>
      </c>
      <c r="D1008">
        <f>COUNTIF(data.SampSummary!$C$2:$C$1407,C1008)</f>
        <v>1</v>
      </c>
    </row>
    <row r="1009" spans="1:4" x14ac:dyDescent="0.25">
      <c r="A1009" t="s">
        <v>2852</v>
      </c>
      <c r="B1009" s="5">
        <v>42234</v>
      </c>
      <c r="C1009" t="str">
        <f t="shared" si="15"/>
        <v>SRSNK001.33_42234</v>
      </c>
      <c r="D1009">
        <f>COUNTIF(data.SampSummary!$C$2:$C$1407,C1009)</f>
        <v>0</v>
      </c>
    </row>
    <row r="1010" spans="1:4" x14ac:dyDescent="0.25">
      <c r="A1010" t="s">
        <v>215</v>
      </c>
      <c r="B1010" s="5">
        <v>41428</v>
      </c>
      <c r="C1010" t="str">
        <f t="shared" si="15"/>
        <v>UGBON002.00_41428</v>
      </c>
      <c r="D1010">
        <f>COUNTIF(data.SampSummary!$C$2:$C$1407,C1010)</f>
        <v>1</v>
      </c>
    </row>
    <row r="1011" spans="1:4" x14ac:dyDescent="0.25">
      <c r="A1011" t="s">
        <v>333</v>
      </c>
      <c r="B1011" s="5">
        <v>41429</v>
      </c>
      <c r="C1011" t="str">
        <f t="shared" si="15"/>
        <v>UGEAG011.09_41429</v>
      </c>
      <c r="D1011">
        <f>COUNTIF(data.SampSummary!$C$2:$C$1407,C1011)</f>
        <v>1</v>
      </c>
    </row>
    <row r="1012" spans="1:4" x14ac:dyDescent="0.25">
      <c r="A1012" t="s">
        <v>39</v>
      </c>
      <c r="B1012" s="5">
        <v>42058</v>
      </c>
      <c r="C1012" t="str">
        <f t="shared" si="15"/>
        <v>UGFRY009.52_42058</v>
      </c>
      <c r="D1012">
        <f>COUNTIF(data.SampSummary!$C$2:$C$1407,C1012)</f>
        <v>0</v>
      </c>
    </row>
    <row r="1013" spans="1:4" x14ac:dyDescent="0.25">
      <c r="A1013" t="s">
        <v>38</v>
      </c>
      <c r="B1013" s="5">
        <v>41575</v>
      </c>
      <c r="C1013" t="str">
        <f t="shared" si="15"/>
        <v>UGBLR046.35_41575</v>
      </c>
      <c r="D1013">
        <f>COUNTIF(data.SampSummary!$C$2:$C$1407,C1013)</f>
        <v>0</v>
      </c>
    </row>
    <row r="1014" spans="1:4" x14ac:dyDescent="0.25">
      <c r="A1014" t="s">
        <v>2860</v>
      </c>
      <c r="B1014" s="5">
        <v>41481</v>
      </c>
      <c r="C1014" t="str">
        <f t="shared" si="15"/>
        <v>VREVR016.28_41481</v>
      </c>
      <c r="D1014">
        <f>COUNTIF(data.SampSummary!$C$2:$C$1407,C1014)</f>
        <v>0</v>
      </c>
    </row>
    <row r="1015" spans="1:4" x14ac:dyDescent="0.25">
      <c r="A1015" t="s">
        <v>2858</v>
      </c>
      <c r="B1015" s="5">
        <v>41481</v>
      </c>
      <c r="C1015" t="str">
        <f t="shared" si="15"/>
        <v>VREVR023.39_41481</v>
      </c>
      <c r="D1015">
        <f>COUNTIF(data.SampSummary!$C$2:$C$1407,C1015)</f>
        <v>0</v>
      </c>
    </row>
    <row r="1016" spans="1:4" x14ac:dyDescent="0.25">
      <c r="A1016" t="s">
        <v>66</v>
      </c>
      <c r="B1016" s="5">
        <v>41415</v>
      </c>
      <c r="C1016" t="str">
        <f t="shared" si="15"/>
        <v>SRBLR102.24_41415</v>
      </c>
      <c r="D1016">
        <f>COUNTIF(data.SampSummary!$C$2:$C$1407,C1016)</f>
        <v>0</v>
      </c>
    </row>
    <row r="1017" spans="1:4" x14ac:dyDescent="0.25">
      <c r="A1017" t="s">
        <v>365</v>
      </c>
      <c r="B1017" s="5">
        <v>42466</v>
      </c>
      <c r="C1017" t="str">
        <f t="shared" si="15"/>
        <v>SCSCR103.45_42466</v>
      </c>
      <c r="D1017">
        <f>COUNTIF(data.SampSummary!$C$2:$C$1407,C1017)</f>
        <v>1</v>
      </c>
    </row>
    <row r="1018" spans="1:4" x14ac:dyDescent="0.25">
      <c r="A1018" t="s">
        <v>35</v>
      </c>
      <c r="B1018" s="5">
        <v>41415</v>
      </c>
      <c r="C1018" t="str">
        <f t="shared" si="15"/>
        <v>UGCMB004.23_41415</v>
      </c>
      <c r="D1018">
        <f>COUNTIF(data.SampSummary!$C$2:$C$1407,C1018)</f>
        <v>0</v>
      </c>
    </row>
    <row r="1019" spans="1:4" x14ac:dyDescent="0.25">
      <c r="A1019" t="s">
        <v>247</v>
      </c>
      <c r="B1019" s="5">
        <v>41410</v>
      </c>
      <c r="C1019" t="str">
        <f t="shared" si="15"/>
        <v>BWTRT002.43_41410</v>
      </c>
      <c r="D1019">
        <f>COUNTIF(data.SampSummary!$C$2:$C$1407,C1019)</f>
        <v>1</v>
      </c>
    </row>
    <row r="1020" spans="1:4" x14ac:dyDescent="0.25">
      <c r="A1020" t="s">
        <v>211</v>
      </c>
      <c r="B1020" s="5">
        <v>42464</v>
      </c>
      <c r="C1020" t="str">
        <f t="shared" si="15"/>
        <v>MGAFR110.01_42464</v>
      </c>
      <c r="D1020">
        <f>COUNTIF(data.SampSummary!$C$2:$C$1407,C1020)</f>
        <v>1</v>
      </c>
    </row>
    <row r="1021" spans="1:4" x14ac:dyDescent="0.25">
      <c r="A1021" t="s">
        <v>346</v>
      </c>
      <c r="B1021" s="5">
        <v>41401</v>
      </c>
      <c r="C1021" t="str">
        <f t="shared" si="15"/>
        <v>UGGLR446.02_41401</v>
      </c>
      <c r="D1021">
        <f>COUNTIF(data.SampSummary!$C$2:$C$1407,C1021)</f>
        <v>1</v>
      </c>
    </row>
    <row r="1022" spans="1:4" x14ac:dyDescent="0.25">
      <c r="A1022" t="s">
        <v>2889</v>
      </c>
      <c r="B1022" s="5">
        <v>42459</v>
      </c>
      <c r="C1022" t="str">
        <f t="shared" si="15"/>
        <v>LCLCR343.85_42459</v>
      </c>
      <c r="D1022">
        <f>COUNTIF(data.SampSummary!$C$2:$C$1407,C1022)</f>
        <v>0</v>
      </c>
    </row>
    <row r="1023" spans="1:4" x14ac:dyDescent="0.25">
      <c r="A1023" t="s">
        <v>187</v>
      </c>
      <c r="B1023" s="5">
        <v>41394</v>
      </c>
      <c r="C1023" t="str">
        <f t="shared" si="15"/>
        <v>VRWBV002.97_41394</v>
      </c>
      <c r="D1023">
        <f>COUNTIF(data.SampSummary!$C$2:$C$1407,C1023)</f>
        <v>1</v>
      </c>
    </row>
    <row r="1024" spans="1:4" x14ac:dyDescent="0.25">
      <c r="A1024" t="s">
        <v>2852</v>
      </c>
      <c r="B1024" s="5">
        <v>42458</v>
      </c>
      <c r="C1024" t="str">
        <f t="shared" si="15"/>
        <v>SRSNK001.33_42458</v>
      </c>
      <c r="D1024">
        <f>COUNTIF(data.SampSummary!$C$2:$C$1407,C1024)</f>
        <v>0</v>
      </c>
    </row>
    <row r="1025" spans="1:4" x14ac:dyDescent="0.25">
      <c r="A1025" t="s">
        <v>2890</v>
      </c>
      <c r="B1025" s="5">
        <v>42165</v>
      </c>
      <c r="C1025" t="str">
        <f t="shared" si="15"/>
        <v>LCSLR000.25_42165</v>
      </c>
      <c r="D1025">
        <f>COUNTIF(data.SampSummary!$C$2:$C$1407,C1025)</f>
        <v>0</v>
      </c>
    </row>
    <row r="1026" spans="1:4" x14ac:dyDescent="0.25">
      <c r="A1026" t="s">
        <v>104</v>
      </c>
      <c r="B1026" s="5">
        <v>41435</v>
      </c>
      <c r="C1026" t="str">
        <f t="shared" si="15"/>
        <v>LCWLR000.92_41435</v>
      </c>
      <c r="D1026">
        <f>COUNTIF(data.SampSummary!$C$2:$C$1407,C1026)</f>
        <v>1</v>
      </c>
    </row>
    <row r="1027" spans="1:4" x14ac:dyDescent="0.25">
      <c r="A1027" t="s">
        <v>2887</v>
      </c>
      <c r="B1027" s="5">
        <v>42164</v>
      </c>
      <c r="C1027" t="str">
        <f t="shared" ref="C1027:C1090" si="16">A1027&amp;"_"&amp;B1027</f>
        <v>LCLCR325.37_42164</v>
      </c>
      <c r="D1027">
        <f>COUNTIF(data.SampSummary!$C$2:$C$1407,C1027)</f>
        <v>0</v>
      </c>
    </row>
    <row r="1028" spans="1:4" x14ac:dyDescent="0.25">
      <c r="A1028" t="s">
        <v>128</v>
      </c>
      <c r="B1028" s="5">
        <v>42164</v>
      </c>
      <c r="C1028" t="str">
        <f t="shared" si="16"/>
        <v>LCLCR340.02_42164</v>
      </c>
      <c r="D1028">
        <f>COUNTIF(data.SampSummary!$C$2:$C$1407,C1028)</f>
        <v>0</v>
      </c>
    </row>
    <row r="1029" spans="1:4" x14ac:dyDescent="0.25">
      <c r="A1029" t="s">
        <v>68</v>
      </c>
      <c r="B1029" s="5">
        <v>41435</v>
      </c>
      <c r="C1029" t="str">
        <f t="shared" si="16"/>
        <v>LCSLR001.42_41435</v>
      </c>
      <c r="D1029">
        <f>COUNTIF(data.SampSummary!$C$2:$C$1407,C1029)</f>
        <v>1</v>
      </c>
    </row>
    <row r="1030" spans="1:4" x14ac:dyDescent="0.25">
      <c r="A1030" t="s">
        <v>66</v>
      </c>
      <c r="B1030" s="5">
        <v>41444</v>
      </c>
      <c r="C1030" t="str">
        <f t="shared" si="16"/>
        <v>SRBLR102.24_41444</v>
      </c>
      <c r="D1030">
        <f>COUNTIF(data.SampSummary!$C$2:$C$1407,C1030)</f>
        <v>1</v>
      </c>
    </row>
    <row r="1031" spans="1:4" x14ac:dyDescent="0.25">
      <c r="A1031" t="s">
        <v>56</v>
      </c>
      <c r="B1031" s="5">
        <v>41715</v>
      </c>
      <c r="C1031" t="str">
        <f t="shared" si="16"/>
        <v>LCHAL008.83_41715</v>
      </c>
      <c r="D1031">
        <f>COUNTIF(data.SampSummary!$C$2:$C$1407,C1031)</f>
        <v>0</v>
      </c>
    </row>
    <row r="1032" spans="1:4" x14ac:dyDescent="0.25">
      <c r="A1032" t="s">
        <v>57</v>
      </c>
      <c r="B1032" s="5">
        <v>41444</v>
      </c>
      <c r="C1032" t="str">
        <f t="shared" si="16"/>
        <v>SREFB008.27_41444</v>
      </c>
      <c r="D1032">
        <f>COUNTIF(data.SampSummary!$C$2:$C$1407,C1032)</f>
        <v>1</v>
      </c>
    </row>
    <row r="1033" spans="1:4" x14ac:dyDescent="0.25">
      <c r="A1033" t="s">
        <v>35</v>
      </c>
      <c r="B1033" s="5">
        <v>41443</v>
      </c>
      <c r="C1033" t="str">
        <f t="shared" si="16"/>
        <v>UGCMB004.23_41443</v>
      </c>
      <c r="D1033">
        <f>COUNTIF(data.SampSummary!$C$2:$C$1407,C1033)</f>
        <v>2</v>
      </c>
    </row>
    <row r="1034" spans="1:4" x14ac:dyDescent="0.25">
      <c r="A1034" t="s">
        <v>2891</v>
      </c>
      <c r="B1034" s="5">
        <v>42144</v>
      </c>
      <c r="C1034" t="str">
        <f t="shared" si="16"/>
        <v>UGSFR018.37_42144</v>
      </c>
      <c r="D1034">
        <f>COUNTIF(data.SampSummary!$C$2:$C$1407,C1034)</f>
        <v>0</v>
      </c>
    </row>
    <row r="1035" spans="1:4" x14ac:dyDescent="0.25">
      <c r="A1035" t="s">
        <v>275</v>
      </c>
      <c r="B1035" s="5">
        <v>42431</v>
      </c>
      <c r="C1035" t="str">
        <f t="shared" si="16"/>
        <v>MGLAS004.52_42431</v>
      </c>
      <c r="D1035">
        <f>COUNTIF(data.SampSummary!$C$2:$C$1407,C1035)</f>
        <v>0</v>
      </c>
    </row>
    <row r="1036" spans="1:4" x14ac:dyDescent="0.25">
      <c r="A1036" t="s">
        <v>1634</v>
      </c>
      <c r="B1036" s="5">
        <v>41535</v>
      </c>
      <c r="C1036" t="str">
        <f t="shared" si="16"/>
        <v>UGEAG049.82_41535</v>
      </c>
      <c r="D1036">
        <f>COUNTIF(data.SampSummary!$C$2:$C$1407,C1036)</f>
        <v>0</v>
      </c>
    </row>
    <row r="1037" spans="1:4" x14ac:dyDescent="0.25">
      <c r="A1037" t="s">
        <v>53</v>
      </c>
      <c r="B1037" s="5">
        <v>41793</v>
      </c>
      <c r="C1037" t="str">
        <f t="shared" si="16"/>
        <v>SRTON059.43_41793</v>
      </c>
      <c r="D1037">
        <f>COUNTIF(data.SampSummary!$C$2:$C$1407,C1037)</f>
        <v>1</v>
      </c>
    </row>
    <row r="1038" spans="1:4" x14ac:dyDescent="0.25">
      <c r="A1038" t="s">
        <v>2892</v>
      </c>
      <c r="B1038" s="5">
        <v>42423</v>
      </c>
      <c r="C1038" t="str">
        <f t="shared" si="16"/>
        <v>MGHSR113.09_42423</v>
      </c>
      <c r="D1038">
        <f>COUNTIF(data.SampSummary!$C$2:$C$1407,C1038)</f>
        <v>0</v>
      </c>
    </row>
    <row r="1039" spans="1:4" x14ac:dyDescent="0.25">
      <c r="A1039" t="s">
        <v>129</v>
      </c>
      <c r="B1039" s="5">
        <v>41779</v>
      </c>
      <c r="C1039" t="str">
        <f t="shared" si="16"/>
        <v>LCECL009.39_41779</v>
      </c>
      <c r="D1039">
        <f>COUNTIF(data.SampSummary!$C$2:$C$1407,C1039)</f>
        <v>1</v>
      </c>
    </row>
    <row r="1040" spans="1:4" x14ac:dyDescent="0.25">
      <c r="A1040" t="s">
        <v>2893</v>
      </c>
      <c r="B1040" s="5">
        <v>41744</v>
      </c>
      <c r="C1040" t="str">
        <f t="shared" si="16"/>
        <v>SRWLD000.86_41744</v>
      </c>
      <c r="D1040">
        <f>COUNTIF(data.SampSummary!$C$2:$C$1407,C1040)</f>
        <v>0</v>
      </c>
    </row>
    <row r="1041" spans="1:4" x14ac:dyDescent="0.25">
      <c r="A1041" t="s">
        <v>216</v>
      </c>
      <c r="B1041" s="5">
        <v>42116</v>
      </c>
      <c r="C1041" t="str">
        <f t="shared" si="16"/>
        <v>MGSSW000.38_42116</v>
      </c>
      <c r="D1041">
        <f>COUNTIF(data.SampSummary!$C$2:$C$1407,C1041)</f>
        <v>1</v>
      </c>
    </row>
    <row r="1042" spans="1:4" x14ac:dyDescent="0.25">
      <c r="A1042" t="s">
        <v>147</v>
      </c>
      <c r="B1042" s="5">
        <v>41778</v>
      </c>
      <c r="C1042" t="str">
        <f t="shared" si="16"/>
        <v>SRUNF002.31_41778</v>
      </c>
      <c r="D1042">
        <f>COUNTIF(data.SampSummary!$C$2:$C$1407,C1042)</f>
        <v>1</v>
      </c>
    </row>
    <row r="1043" spans="1:4" x14ac:dyDescent="0.25">
      <c r="A1043" t="s">
        <v>69</v>
      </c>
      <c r="B1043" s="5">
        <v>41774</v>
      </c>
      <c r="C1043" t="str">
        <f t="shared" si="16"/>
        <v>SRWRK007.97_41774</v>
      </c>
      <c r="D1043">
        <f>COUNTIF(data.SampSummary!$C$2:$C$1407,C1043)</f>
        <v>1</v>
      </c>
    </row>
    <row r="1044" spans="1:4" x14ac:dyDescent="0.25">
      <c r="A1044" t="s">
        <v>2839</v>
      </c>
      <c r="B1044" s="5">
        <v>41773</v>
      </c>
      <c r="C1044" t="str">
        <f t="shared" si="16"/>
        <v>CLGLR011.17_41773</v>
      </c>
      <c r="D1044">
        <f>COUNTIF(data.SampSummary!$C$2:$C$1407,C1044)</f>
        <v>0</v>
      </c>
    </row>
    <row r="1045" spans="1:4" x14ac:dyDescent="0.25">
      <c r="A1045" t="s">
        <v>343</v>
      </c>
      <c r="B1045" s="5">
        <v>41912</v>
      </c>
      <c r="C1045" t="str">
        <f t="shared" si="16"/>
        <v>SPARA019.41_41912</v>
      </c>
      <c r="D1045">
        <f>COUNTIF(data.SampSummary!$C$2:$C$1407,C1045)</f>
        <v>0</v>
      </c>
    </row>
    <row r="1046" spans="1:4" x14ac:dyDescent="0.25">
      <c r="A1046" t="s">
        <v>365</v>
      </c>
      <c r="B1046" s="5">
        <v>42101</v>
      </c>
      <c r="C1046" t="str">
        <f t="shared" si="16"/>
        <v>SCSCR103.45_42101</v>
      </c>
      <c r="D1046">
        <f>COUNTIF(data.SampSummary!$C$2:$C$1407,C1046)</f>
        <v>1</v>
      </c>
    </row>
    <row r="1047" spans="1:4" x14ac:dyDescent="0.25">
      <c r="A1047" t="s">
        <v>112</v>
      </c>
      <c r="B1047" s="5">
        <v>41771</v>
      </c>
      <c r="C1047" t="str">
        <f t="shared" si="16"/>
        <v>LCSHL031.05_41771</v>
      </c>
      <c r="D1047">
        <f>COUNTIF(data.SampSummary!$C$2:$C$1407,C1047)</f>
        <v>1</v>
      </c>
    </row>
    <row r="1048" spans="1:4" x14ac:dyDescent="0.25">
      <c r="A1048" t="s">
        <v>234</v>
      </c>
      <c r="B1048" s="5">
        <v>42100</v>
      </c>
      <c r="C1048" t="str">
        <f t="shared" si="16"/>
        <v>SPSPR014.18_42100</v>
      </c>
      <c r="D1048">
        <f>COUNTIF(data.SampSummary!$C$2:$C$1407,C1048)</f>
        <v>1</v>
      </c>
    </row>
    <row r="1049" spans="1:4" x14ac:dyDescent="0.25">
      <c r="A1049" t="s">
        <v>200</v>
      </c>
      <c r="B1049" s="5">
        <v>42100</v>
      </c>
      <c r="C1049" t="str">
        <f t="shared" si="16"/>
        <v>SPSPR015.42_42100</v>
      </c>
      <c r="D1049">
        <f>COUNTIF(data.SampSummary!$C$2:$C$1407,C1049)</f>
        <v>1</v>
      </c>
    </row>
    <row r="1050" spans="1:4" x14ac:dyDescent="0.25">
      <c r="A1050" t="s">
        <v>118</v>
      </c>
      <c r="B1050" s="5">
        <v>41591</v>
      </c>
      <c r="C1050" t="str">
        <f t="shared" si="16"/>
        <v>LCSIL027.05_41591</v>
      </c>
      <c r="D1050">
        <f>COUNTIF(data.SampSummary!$C$2:$C$1407,C1050)</f>
        <v>0</v>
      </c>
    </row>
    <row r="1051" spans="1:4" x14ac:dyDescent="0.25">
      <c r="A1051" t="s">
        <v>112</v>
      </c>
      <c r="B1051" s="5">
        <v>41591</v>
      </c>
      <c r="C1051" t="str">
        <f t="shared" si="16"/>
        <v>LCSHL031.05_41591</v>
      </c>
      <c r="D1051">
        <f>COUNTIF(data.SampSummary!$C$2:$C$1407,C1051)</f>
        <v>0</v>
      </c>
    </row>
    <row r="1052" spans="1:4" x14ac:dyDescent="0.25">
      <c r="A1052" t="s">
        <v>106</v>
      </c>
      <c r="B1052" s="5">
        <v>41759</v>
      </c>
      <c r="C1052" t="str">
        <f t="shared" si="16"/>
        <v>LCWLR007.37_41759</v>
      </c>
      <c r="D1052">
        <f>COUNTIF(data.SampSummary!$C$2:$C$1407,C1052)</f>
        <v>1</v>
      </c>
    </row>
    <row r="1053" spans="1:4" x14ac:dyDescent="0.25">
      <c r="A1053" t="s">
        <v>130</v>
      </c>
      <c r="B1053" s="5">
        <v>41591</v>
      </c>
      <c r="C1053" t="str">
        <f t="shared" si="16"/>
        <v>LCCHC073.26_41591</v>
      </c>
      <c r="D1053">
        <f>COUNTIF(data.SampSummary!$C$2:$C$1407,C1053)</f>
        <v>0</v>
      </c>
    </row>
    <row r="1054" spans="1:4" x14ac:dyDescent="0.25">
      <c r="A1054" t="s">
        <v>2879</v>
      </c>
      <c r="B1054" s="5">
        <v>42249</v>
      </c>
      <c r="C1054" t="str">
        <f t="shared" si="16"/>
        <v>SRD2E000.12_42249</v>
      </c>
      <c r="D1054">
        <f>COUNTIF(data.SampSummary!$C$2:$C$1407,C1054)</f>
        <v>0</v>
      </c>
    </row>
    <row r="1055" spans="1:4" x14ac:dyDescent="0.25">
      <c r="A1055" t="s">
        <v>83</v>
      </c>
      <c r="B1055" s="5">
        <v>41758</v>
      </c>
      <c r="C1055" t="str">
        <f t="shared" si="16"/>
        <v>LCELR008.70_41758</v>
      </c>
      <c r="D1055">
        <f>COUNTIF(data.SampSummary!$C$2:$C$1407,C1055)</f>
        <v>1</v>
      </c>
    </row>
    <row r="1056" spans="1:4" x14ac:dyDescent="0.25">
      <c r="A1056" t="s">
        <v>2042</v>
      </c>
      <c r="B1056" s="5">
        <v>42087</v>
      </c>
      <c r="C1056" t="str">
        <f t="shared" si="16"/>
        <v>UGEEG001.57_42087</v>
      </c>
      <c r="D1056">
        <f>COUNTIF(data.SampSummary!$C$2:$C$1407,C1056)</f>
        <v>0</v>
      </c>
    </row>
    <row r="1057" spans="1:4" x14ac:dyDescent="0.25">
      <c r="A1057" t="s">
        <v>173</v>
      </c>
      <c r="B1057" s="5">
        <v>41757</v>
      </c>
      <c r="C1057" t="str">
        <f t="shared" si="16"/>
        <v>LCROS000.25_41757</v>
      </c>
      <c r="D1057">
        <f>COUNTIF(data.SampSummary!$C$2:$C$1407,C1057)</f>
        <v>1</v>
      </c>
    </row>
    <row r="1058" spans="1:4" x14ac:dyDescent="0.25">
      <c r="A1058" t="s">
        <v>134</v>
      </c>
      <c r="B1058" s="5">
        <v>41689</v>
      </c>
      <c r="C1058" t="str">
        <f t="shared" si="16"/>
        <v>LCLCR323.60_41689</v>
      </c>
      <c r="D1058">
        <f>COUNTIF(data.SampSummary!$C$2:$C$1407,C1058)</f>
        <v>0</v>
      </c>
    </row>
    <row r="1059" spans="1:4" x14ac:dyDescent="0.25">
      <c r="A1059" t="s">
        <v>284</v>
      </c>
      <c r="B1059" s="5">
        <v>42353</v>
      </c>
      <c r="C1059" t="str">
        <f t="shared" si="16"/>
        <v>BWFRA001.04_42353</v>
      </c>
      <c r="D1059">
        <f>COUNTIF(data.SampSummary!$C$2:$C$1407,C1059)</f>
        <v>0</v>
      </c>
    </row>
    <row r="1060" spans="1:4" x14ac:dyDescent="0.25">
      <c r="A1060" t="s">
        <v>275</v>
      </c>
      <c r="B1060" s="5">
        <v>42081</v>
      </c>
      <c r="C1060" t="str">
        <f t="shared" si="16"/>
        <v>MGLAS004.52_42081</v>
      </c>
      <c r="D1060">
        <f>COUNTIF(data.SampSummary!$C$2:$C$1407,C1060)</f>
        <v>0</v>
      </c>
    </row>
    <row r="1061" spans="1:4" x14ac:dyDescent="0.25">
      <c r="A1061" t="s">
        <v>43</v>
      </c>
      <c r="B1061" s="5">
        <v>41745</v>
      </c>
      <c r="C1061" t="str">
        <f t="shared" si="16"/>
        <v>SRCYN045.73_41745</v>
      </c>
      <c r="D1061">
        <f>COUNTIF(data.SampSummary!$C$2:$C$1407,C1061)</f>
        <v>1</v>
      </c>
    </row>
    <row r="1062" spans="1:4" x14ac:dyDescent="0.25">
      <c r="A1062" t="s">
        <v>2894</v>
      </c>
      <c r="B1062" s="5">
        <v>42025</v>
      </c>
      <c r="C1062" t="str">
        <f t="shared" si="16"/>
        <v>LCLCR335.06_42025</v>
      </c>
      <c r="D1062">
        <f>COUNTIF(data.SampSummary!$C$2:$C$1407,C1062)</f>
        <v>0</v>
      </c>
    </row>
    <row r="1063" spans="1:4" x14ac:dyDescent="0.25">
      <c r="A1063" t="s">
        <v>74</v>
      </c>
      <c r="B1063" s="5">
        <v>41744</v>
      </c>
      <c r="C1063" t="str">
        <f t="shared" si="16"/>
        <v>SRSTI000.38_41744</v>
      </c>
      <c r="D1063">
        <f>COUNTIF(data.SampSummary!$C$2:$C$1407,C1063)</f>
        <v>0</v>
      </c>
    </row>
    <row r="1064" spans="1:4" x14ac:dyDescent="0.25">
      <c r="A1064" t="s">
        <v>2108</v>
      </c>
      <c r="B1064" s="5">
        <v>42053</v>
      </c>
      <c r="C1064" t="str">
        <f t="shared" si="16"/>
        <v>UGSFR151.22_42053</v>
      </c>
      <c r="D1064">
        <f>COUNTIF(data.SampSummary!$C$2:$C$1407,C1064)</f>
        <v>0</v>
      </c>
    </row>
    <row r="1065" spans="1:4" x14ac:dyDescent="0.25">
      <c r="A1065" t="s">
        <v>200</v>
      </c>
      <c r="B1065" s="5">
        <v>41744</v>
      </c>
      <c r="C1065" t="str">
        <f t="shared" si="16"/>
        <v>SPSPR015.42_41744</v>
      </c>
      <c r="D1065">
        <f>COUNTIF(data.SampSummary!$C$2:$C$1407,C1065)</f>
        <v>1</v>
      </c>
    </row>
    <row r="1066" spans="1:4" x14ac:dyDescent="0.25">
      <c r="A1066" t="s">
        <v>57</v>
      </c>
      <c r="B1066" s="5">
        <v>41743</v>
      </c>
      <c r="C1066" t="str">
        <f t="shared" si="16"/>
        <v>SREFB008.27_41743</v>
      </c>
      <c r="D1066">
        <f>COUNTIF(data.SampSummary!$C$2:$C$1407,C1066)</f>
        <v>0</v>
      </c>
    </row>
    <row r="1067" spans="1:4" x14ac:dyDescent="0.25">
      <c r="A1067" t="s">
        <v>54</v>
      </c>
      <c r="B1067" s="5">
        <v>42052</v>
      </c>
      <c r="C1067" t="str">
        <f t="shared" si="16"/>
        <v>UGCOL003.48_42052</v>
      </c>
      <c r="D1067">
        <f>COUNTIF(data.SampSummary!$C$2:$C$1407,C1067)</f>
        <v>0</v>
      </c>
    </row>
    <row r="1068" spans="1:4" x14ac:dyDescent="0.25">
      <c r="A1068" t="s">
        <v>130</v>
      </c>
      <c r="B1068" s="5">
        <v>41541</v>
      </c>
      <c r="C1068" t="str">
        <f t="shared" si="16"/>
        <v>LCCHC073.26_41541</v>
      </c>
      <c r="D1068">
        <f>COUNTIF(data.SampSummary!$C$2:$C$1407,C1068)</f>
        <v>0</v>
      </c>
    </row>
    <row r="1069" spans="1:4" x14ac:dyDescent="0.25">
      <c r="A1069" t="s">
        <v>140</v>
      </c>
      <c r="B1069" s="5">
        <v>41725</v>
      </c>
      <c r="C1069" t="str">
        <f t="shared" si="16"/>
        <v>UGEAG056.85_41725</v>
      </c>
      <c r="D1069">
        <f>COUNTIF(data.SampSummary!$C$2:$C$1407,C1069)</f>
        <v>0</v>
      </c>
    </row>
    <row r="1070" spans="1:4" x14ac:dyDescent="0.25">
      <c r="A1070" t="s">
        <v>2839</v>
      </c>
      <c r="B1070" s="5">
        <v>41724</v>
      </c>
      <c r="C1070" t="str">
        <f t="shared" si="16"/>
        <v>CLGLR011.17_41724</v>
      </c>
      <c r="D1070">
        <f>COUNTIF(data.SampSummary!$C$2:$C$1407,C1070)</f>
        <v>0</v>
      </c>
    </row>
    <row r="1071" spans="1:4" x14ac:dyDescent="0.25">
      <c r="A1071" t="s">
        <v>129</v>
      </c>
      <c r="B1071" s="5">
        <v>41724</v>
      </c>
      <c r="C1071" t="str">
        <f t="shared" si="16"/>
        <v>LCECL009.39_41724</v>
      </c>
      <c r="D1071">
        <f>COUNTIF(data.SampSummary!$C$2:$C$1407,C1071)</f>
        <v>0</v>
      </c>
    </row>
    <row r="1072" spans="1:4" x14ac:dyDescent="0.25">
      <c r="A1072" t="s">
        <v>2882</v>
      </c>
      <c r="B1072" s="5">
        <v>42459</v>
      </c>
      <c r="C1072" t="str">
        <f t="shared" si="16"/>
        <v>LCLCR349.82_42459</v>
      </c>
      <c r="D1072">
        <f>COUNTIF(data.SampSummary!$C$2:$C$1407,C1072)</f>
        <v>0</v>
      </c>
    </row>
    <row r="1073" spans="1:4" x14ac:dyDescent="0.25">
      <c r="A1073" t="s">
        <v>102</v>
      </c>
      <c r="B1073" s="5">
        <v>41957</v>
      </c>
      <c r="C1073" t="str">
        <f t="shared" si="16"/>
        <v>UGKPK011.18_41957</v>
      </c>
      <c r="D1073">
        <f>COUNTIF(data.SampSummary!$C$2:$C$1407,C1073)</f>
        <v>0</v>
      </c>
    </row>
    <row r="1074" spans="1:4" x14ac:dyDescent="0.25">
      <c r="A1074" t="s">
        <v>114</v>
      </c>
      <c r="B1074" s="5">
        <v>41722</v>
      </c>
      <c r="C1074" t="str">
        <f t="shared" si="16"/>
        <v>LCBIL000.15_41722</v>
      </c>
      <c r="D1074">
        <f>COUNTIF(data.SampSummary!$C$2:$C$1407,C1074)</f>
        <v>0</v>
      </c>
    </row>
    <row r="1075" spans="1:4" x14ac:dyDescent="0.25">
      <c r="A1075" t="s">
        <v>112</v>
      </c>
      <c r="B1075" s="5">
        <v>41722</v>
      </c>
      <c r="C1075" t="str">
        <f t="shared" si="16"/>
        <v>LCSHL031.05_41722</v>
      </c>
      <c r="D1075">
        <f>COUNTIF(data.SampSummary!$C$2:$C$1407,C1075)</f>
        <v>0</v>
      </c>
    </row>
    <row r="1076" spans="1:4" x14ac:dyDescent="0.25">
      <c r="A1076" t="s">
        <v>2881</v>
      </c>
      <c r="B1076" s="5">
        <v>42458</v>
      </c>
      <c r="C1076" t="str">
        <f t="shared" si="16"/>
        <v>LCLCR326.41_42458</v>
      </c>
      <c r="D1076">
        <f>COUNTIF(data.SampSummary!$C$2:$C$1407,C1076)</f>
        <v>0</v>
      </c>
    </row>
    <row r="1077" spans="1:4" x14ac:dyDescent="0.25">
      <c r="A1077" t="s">
        <v>28</v>
      </c>
      <c r="B1077" s="5">
        <v>41716</v>
      </c>
      <c r="C1077" t="str">
        <f t="shared" si="16"/>
        <v>UGBLR030.24_41716</v>
      </c>
      <c r="D1077">
        <f>COUNTIF(data.SampSummary!$C$2:$C$1407,C1077)</f>
        <v>0</v>
      </c>
    </row>
    <row r="1078" spans="1:4" x14ac:dyDescent="0.25">
      <c r="A1078" t="s">
        <v>2895</v>
      </c>
      <c r="B1078" s="5">
        <v>42025</v>
      </c>
      <c r="C1078" t="str">
        <f t="shared" si="16"/>
        <v>LCLCR336.89_42025</v>
      </c>
      <c r="D1078">
        <f>COUNTIF(data.SampSummary!$C$2:$C$1407,C1078)</f>
        <v>0</v>
      </c>
    </row>
    <row r="1079" spans="1:4" x14ac:dyDescent="0.25">
      <c r="A1079" t="s">
        <v>2896</v>
      </c>
      <c r="B1079" s="5">
        <v>42024</v>
      </c>
      <c r="C1079" t="str">
        <f t="shared" si="16"/>
        <v>LCNUT015.01_42024</v>
      </c>
      <c r="D1079">
        <f>COUNTIF(data.SampSummary!$C$2:$C$1407,C1079)</f>
        <v>0</v>
      </c>
    </row>
    <row r="1080" spans="1:4" x14ac:dyDescent="0.25">
      <c r="A1080" t="s">
        <v>128</v>
      </c>
      <c r="B1080" s="5">
        <v>42024</v>
      </c>
      <c r="C1080" t="str">
        <f t="shared" si="16"/>
        <v>LCLCR340.02_42024</v>
      </c>
      <c r="D1080">
        <f>COUNTIF(data.SampSummary!$C$2:$C$1407,C1080)</f>
        <v>0</v>
      </c>
    </row>
    <row r="1081" spans="1:4" x14ac:dyDescent="0.25">
      <c r="A1081" t="s">
        <v>16</v>
      </c>
      <c r="B1081" s="5">
        <v>41715</v>
      </c>
      <c r="C1081" t="str">
        <f t="shared" si="16"/>
        <v>LCWLR001.23_41715</v>
      </c>
      <c r="D1081">
        <f>COUNTIF(data.SampSummary!$C$2:$C$1407,C1081)</f>
        <v>0</v>
      </c>
    </row>
    <row r="1082" spans="1:4" x14ac:dyDescent="0.25">
      <c r="A1082" t="s">
        <v>68</v>
      </c>
      <c r="B1082" s="5">
        <v>41715</v>
      </c>
      <c r="C1082" t="str">
        <f t="shared" si="16"/>
        <v>LCSLR001.42_41715</v>
      </c>
      <c r="D1082">
        <f>COUNTIF(data.SampSummary!$C$2:$C$1407,C1082)</f>
        <v>0</v>
      </c>
    </row>
    <row r="1083" spans="1:4" x14ac:dyDescent="0.25">
      <c r="A1083" t="s">
        <v>163</v>
      </c>
      <c r="B1083" s="5">
        <v>42452</v>
      </c>
      <c r="C1083" t="str">
        <f t="shared" si="16"/>
        <v>LCECL021.13_42452</v>
      </c>
      <c r="D1083">
        <f>COUNTIF(data.SampSummary!$C$2:$C$1407,C1083)</f>
        <v>0</v>
      </c>
    </row>
    <row r="1084" spans="1:4" x14ac:dyDescent="0.25">
      <c r="A1084" t="s">
        <v>49</v>
      </c>
      <c r="B1084" s="5">
        <v>42537</v>
      </c>
      <c r="C1084" t="str">
        <f t="shared" si="16"/>
        <v>VRWCL036.37_42537</v>
      </c>
      <c r="D1084">
        <f>COUNTIF(data.SampSummary!$C$2:$C$1407,C1084)</f>
        <v>1</v>
      </c>
    </row>
    <row r="1085" spans="1:4" x14ac:dyDescent="0.25">
      <c r="A1085" t="s">
        <v>145</v>
      </c>
      <c r="B1085" s="5">
        <v>42157</v>
      </c>
      <c r="C1085" t="str">
        <f t="shared" si="16"/>
        <v>UGSTO003.44_42157</v>
      </c>
      <c r="D1085">
        <f>COUNTIF(data.SampSummary!$C$2:$C$1407,C1085)</f>
        <v>1</v>
      </c>
    </row>
    <row r="1086" spans="1:4" x14ac:dyDescent="0.25">
      <c r="A1086" t="s">
        <v>170</v>
      </c>
      <c r="B1086" s="5">
        <v>41696</v>
      </c>
      <c r="C1086" t="str">
        <f t="shared" si="16"/>
        <v>SRTON058.63_41696</v>
      </c>
      <c r="D1086">
        <f>COUNTIF(data.SampSummary!$C$2:$C$1407,C1086)</f>
        <v>0</v>
      </c>
    </row>
    <row r="1087" spans="1:4" x14ac:dyDescent="0.25">
      <c r="A1087" t="s">
        <v>53</v>
      </c>
      <c r="B1087" s="5">
        <v>41696</v>
      </c>
      <c r="C1087" t="str">
        <f t="shared" si="16"/>
        <v>SRTON059.43_41696</v>
      </c>
      <c r="D1087">
        <f>COUNTIF(data.SampSummary!$C$2:$C$1407,C1087)</f>
        <v>0</v>
      </c>
    </row>
    <row r="1088" spans="1:4" x14ac:dyDescent="0.25">
      <c r="A1088" t="s">
        <v>60</v>
      </c>
      <c r="B1088" s="5">
        <v>41696</v>
      </c>
      <c r="C1088" t="str">
        <f t="shared" si="16"/>
        <v>VREVR051.15_41696</v>
      </c>
      <c r="D1088">
        <f>COUNTIF(data.SampSummary!$C$2:$C$1407,C1088)</f>
        <v>0</v>
      </c>
    </row>
    <row r="1089" spans="1:4" x14ac:dyDescent="0.25">
      <c r="A1089" t="s">
        <v>164</v>
      </c>
      <c r="B1089" s="5">
        <v>42437</v>
      </c>
      <c r="C1089" t="str">
        <f t="shared" si="16"/>
        <v>SRWRK002.83_42437</v>
      </c>
      <c r="D1089">
        <f>COUNTIF(data.SampSummary!$C$2:$C$1407,C1089)</f>
        <v>0</v>
      </c>
    </row>
    <row r="1090" spans="1:4" x14ac:dyDescent="0.25">
      <c r="A1090" t="s">
        <v>140</v>
      </c>
      <c r="B1090" s="5">
        <v>41535</v>
      </c>
      <c r="C1090" t="str">
        <f t="shared" si="16"/>
        <v>UGEAG056.85_41535</v>
      </c>
      <c r="D1090">
        <f>COUNTIF(data.SampSummary!$C$2:$C$1407,C1090)</f>
        <v>0</v>
      </c>
    </row>
    <row r="1091" spans="1:4" x14ac:dyDescent="0.25">
      <c r="A1091" t="s">
        <v>329</v>
      </c>
      <c r="B1091" s="5">
        <v>41695</v>
      </c>
      <c r="C1091" t="str">
        <f t="shared" ref="C1091:C1154" si="17">A1091&amp;"_"&amp;B1091</f>
        <v>VRWCL010.66_41695</v>
      </c>
      <c r="D1091">
        <f>COUNTIF(data.SampSummary!$C$2:$C$1407,C1091)</f>
        <v>0</v>
      </c>
    </row>
    <row r="1092" spans="1:4" x14ac:dyDescent="0.25">
      <c r="A1092" t="s">
        <v>142</v>
      </c>
      <c r="B1092" s="5">
        <v>41689</v>
      </c>
      <c r="C1092" t="str">
        <f t="shared" si="17"/>
        <v>LCLCR336.72_41689</v>
      </c>
      <c r="D1092">
        <f>COUNTIF(data.SampSummary!$C$2:$C$1407,C1092)</f>
        <v>0</v>
      </c>
    </row>
    <row r="1093" spans="1:4" x14ac:dyDescent="0.25">
      <c r="A1093" t="s">
        <v>2897</v>
      </c>
      <c r="B1093" s="5">
        <v>41653</v>
      </c>
      <c r="C1093" t="str">
        <f t="shared" si="17"/>
        <v>CLGLR013.33_41653</v>
      </c>
      <c r="D1093">
        <f>COUNTIF(data.SampSummary!$C$2:$C$1407,C1093)</f>
        <v>0</v>
      </c>
    </row>
    <row r="1094" spans="1:4" x14ac:dyDescent="0.25">
      <c r="A1094" t="s">
        <v>353</v>
      </c>
      <c r="B1094" s="5">
        <v>41956</v>
      </c>
      <c r="C1094" t="str">
        <f t="shared" si="17"/>
        <v>UGEAG013.81_41956</v>
      </c>
      <c r="D1094">
        <f>COUNTIF(data.SampSummary!$C$2:$C$1407,C1094)</f>
        <v>0</v>
      </c>
    </row>
    <row r="1095" spans="1:4" x14ac:dyDescent="0.25">
      <c r="A1095" t="s">
        <v>2881</v>
      </c>
      <c r="B1095" s="5">
        <v>42263</v>
      </c>
      <c r="C1095" t="str">
        <f t="shared" si="17"/>
        <v>LCLCR326.41_42263</v>
      </c>
      <c r="D1095">
        <f>COUNTIF(data.SampSummary!$C$2:$C$1407,C1095)</f>
        <v>0</v>
      </c>
    </row>
    <row r="1096" spans="1:4" x14ac:dyDescent="0.25">
      <c r="A1096" t="s">
        <v>2108</v>
      </c>
      <c r="B1096" s="5">
        <v>41948</v>
      </c>
      <c r="C1096" t="str">
        <f t="shared" si="17"/>
        <v>UGSFR151.22_41948</v>
      </c>
      <c r="D1096">
        <f>COUNTIF(data.SampSummary!$C$2:$C$1407,C1096)</f>
        <v>0</v>
      </c>
    </row>
    <row r="1097" spans="1:4" x14ac:dyDescent="0.25">
      <c r="A1097" t="s">
        <v>43</v>
      </c>
      <c r="B1097" s="5">
        <v>41534</v>
      </c>
      <c r="C1097" t="str">
        <f t="shared" si="17"/>
        <v>SRCYN045.73_41534</v>
      </c>
      <c r="D1097">
        <f>COUNTIF(data.SampSummary!$C$2:$C$1407,C1097)</f>
        <v>0</v>
      </c>
    </row>
    <row r="1098" spans="1:4" x14ac:dyDescent="0.25">
      <c r="A1098" t="s">
        <v>201</v>
      </c>
      <c r="B1098" s="5">
        <v>41934</v>
      </c>
      <c r="C1098" t="str">
        <f t="shared" si="17"/>
        <v>SPSPR006.75_41934</v>
      </c>
      <c r="D1098">
        <f>COUNTIF(data.SampSummary!$C$2:$C$1407,C1098)</f>
        <v>0</v>
      </c>
    </row>
    <row r="1099" spans="1:4" x14ac:dyDescent="0.25">
      <c r="A1099" t="s">
        <v>151</v>
      </c>
      <c r="B1099" s="5">
        <v>41570</v>
      </c>
      <c r="C1099" t="str">
        <f t="shared" si="17"/>
        <v>SRHAG013.09_41570</v>
      </c>
      <c r="D1099">
        <f>COUNTIF(data.SampSummary!$C$2:$C$1407,C1099)</f>
        <v>0</v>
      </c>
    </row>
    <row r="1100" spans="1:4" x14ac:dyDescent="0.25">
      <c r="A1100" t="s">
        <v>1634</v>
      </c>
      <c r="B1100" s="5">
        <v>41598</v>
      </c>
      <c r="C1100" t="str">
        <f t="shared" si="17"/>
        <v>UGEAG049.82_41598</v>
      </c>
      <c r="D1100">
        <f>COUNTIF(data.SampSummary!$C$2:$C$1407,C1100)</f>
        <v>0</v>
      </c>
    </row>
    <row r="1101" spans="1:4" x14ac:dyDescent="0.25">
      <c r="A1101" t="s">
        <v>140</v>
      </c>
      <c r="B1101" s="5">
        <v>41598</v>
      </c>
      <c r="C1101" t="str">
        <f t="shared" si="17"/>
        <v>UGEAG056.85_41598</v>
      </c>
      <c r="D1101">
        <f>COUNTIF(data.SampSummary!$C$2:$C$1407,C1101)</f>
        <v>0</v>
      </c>
    </row>
    <row r="1102" spans="1:4" x14ac:dyDescent="0.25">
      <c r="A1102" t="s">
        <v>2864</v>
      </c>
      <c r="B1102" s="5">
        <v>41596</v>
      </c>
      <c r="C1102" t="str">
        <f t="shared" si="17"/>
        <v>CLGLR007.11_41596</v>
      </c>
      <c r="D1102">
        <f>COUNTIF(data.SampSummary!$C$2:$C$1407,C1102)</f>
        <v>0</v>
      </c>
    </row>
    <row r="1103" spans="1:4" x14ac:dyDescent="0.25">
      <c r="A1103" t="s">
        <v>114</v>
      </c>
      <c r="B1103" s="5">
        <v>41591</v>
      </c>
      <c r="C1103" t="str">
        <f t="shared" si="17"/>
        <v>LCBIL000.15_41591</v>
      </c>
      <c r="D1103">
        <f>COUNTIF(data.SampSummary!$C$2:$C$1407,C1103)</f>
        <v>0</v>
      </c>
    </row>
    <row r="1104" spans="1:4" x14ac:dyDescent="0.25">
      <c r="A1104" t="s">
        <v>147</v>
      </c>
      <c r="B1104" s="5">
        <v>41568</v>
      </c>
      <c r="C1104" t="str">
        <f t="shared" si="17"/>
        <v>SRUNF002.31_41568</v>
      </c>
      <c r="D1104">
        <f>COUNTIF(data.SampSummary!$C$2:$C$1407,C1104)</f>
        <v>0</v>
      </c>
    </row>
    <row r="1105" spans="1:4" x14ac:dyDescent="0.25">
      <c r="A1105" t="s">
        <v>353</v>
      </c>
      <c r="B1105" s="5">
        <v>42087</v>
      </c>
      <c r="C1105" t="str">
        <f t="shared" si="17"/>
        <v>UGEAG013.81_42087</v>
      </c>
      <c r="D1105">
        <f>COUNTIF(data.SampSummary!$C$2:$C$1407,C1105)</f>
        <v>0</v>
      </c>
    </row>
    <row r="1106" spans="1:4" x14ac:dyDescent="0.25">
      <c r="A1106" t="s">
        <v>100</v>
      </c>
      <c r="B1106" s="5">
        <v>42235</v>
      </c>
      <c r="C1106" t="str">
        <f t="shared" si="17"/>
        <v>SRBWL005.79_42235</v>
      </c>
      <c r="D1106">
        <f>COUNTIF(data.SampSummary!$C$2:$C$1407,C1106)</f>
        <v>0</v>
      </c>
    </row>
    <row r="1107" spans="1:4" x14ac:dyDescent="0.25">
      <c r="A1107" t="s">
        <v>326</v>
      </c>
      <c r="B1107" s="5">
        <v>42086</v>
      </c>
      <c r="C1107" t="str">
        <f t="shared" si="17"/>
        <v>UGSFR006.42_42086</v>
      </c>
      <c r="D1107">
        <f>COUNTIF(data.SampSummary!$C$2:$C$1407,C1107)</f>
        <v>0</v>
      </c>
    </row>
    <row r="1108" spans="1:4" x14ac:dyDescent="0.25">
      <c r="A1108" t="s">
        <v>87</v>
      </c>
      <c r="B1108" s="5">
        <v>41576</v>
      </c>
      <c r="C1108" t="str">
        <f t="shared" si="17"/>
        <v>LCLVL001.32_41576</v>
      </c>
      <c r="D1108">
        <f>COUNTIF(data.SampSummary!$C$2:$C$1407,C1108)</f>
        <v>0</v>
      </c>
    </row>
    <row r="1109" spans="1:4" x14ac:dyDescent="0.25">
      <c r="A1109" t="s">
        <v>93</v>
      </c>
      <c r="B1109" s="5">
        <v>42234</v>
      </c>
      <c r="C1109" t="str">
        <f t="shared" si="17"/>
        <v>SRCDY002.95_42234</v>
      </c>
      <c r="D1109">
        <f>COUNTIF(data.SampSummary!$C$2:$C$1407,C1109)</f>
        <v>0</v>
      </c>
    </row>
    <row r="1110" spans="1:4" x14ac:dyDescent="0.25">
      <c r="A1110" t="s">
        <v>217</v>
      </c>
      <c r="B1110" s="5">
        <v>42030</v>
      </c>
      <c r="C1110" t="str">
        <f t="shared" si="17"/>
        <v>SPARA010.19_42030</v>
      </c>
      <c r="D1110">
        <f>COUNTIF(data.SampSummary!$C$2:$C$1407,C1110)</f>
        <v>0</v>
      </c>
    </row>
    <row r="1111" spans="1:4" x14ac:dyDescent="0.25">
      <c r="A1111" t="s">
        <v>16</v>
      </c>
      <c r="B1111" s="5">
        <v>41575</v>
      </c>
      <c r="C1111" t="str">
        <f t="shared" si="17"/>
        <v>LCWLR001.23_41575</v>
      </c>
      <c r="D1111">
        <f>COUNTIF(data.SampSummary!$C$2:$C$1407,C1111)</f>
        <v>0</v>
      </c>
    </row>
    <row r="1112" spans="1:4" x14ac:dyDescent="0.25">
      <c r="A1112" t="s">
        <v>28</v>
      </c>
      <c r="B1112" s="5">
        <v>41575</v>
      </c>
      <c r="C1112" t="str">
        <f t="shared" si="17"/>
        <v>UGBLR030.24_41575</v>
      </c>
      <c r="D1112">
        <f>COUNTIF(data.SampSummary!$C$2:$C$1407,C1112)</f>
        <v>0</v>
      </c>
    </row>
    <row r="1113" spans="1:4" x14ac:dyDescent="0.25">
      <c r="A1113" t="s">
        <v>2884</v>
      </c>
      <c r="B1113" s="5">
        <v>42325</v>
      </c>
      <c r="C1113" t="str">
        <f t="shared" si="17"/>
        <v>SPSPR144.76_42325</v>
      </c>
      <c r="D1113">
        <f>COUNTIF(data.SampSummary!$C$2:$C$1407,C1113)</f>
        <v>0</v>
      </c>
    </row>
    <row r="1114" spans="1:4" x14ac:dyDescent="0.25">
      <c r="A1114" t="s">
        <v>54</v>
      </c>
      <c r="B1114" s="5">
        <v>41886</v>
      </c>
      <c r="C1114" t="str">
        <f t="shared" si="17"/>
        <v>UGCOL003.48_41886</v>
      </c>
      <c r="D1114">
        <f>COUNTIF(data.SampSummary!$C$2:$C$1407,C1114)</f>
        <v>0</v>
      </c>
    </row>
    <row r="1115" spans="1:4" x14ac:dyDescent="0.25">
      <c r="A1115" t="s">
        <v>43</v>
      </c>
      <c r="B1115" s="5">
        <v>41569</v>
      </c>
      <c r="C1115" t="str">
        <f t="shared" si="17"/>
        <v>SRCYN045.73_41569</v>
      </c>
      <c r="D1115">
        <f>COUNTIF(data.SampSummary!$C$2:$C$1407,C1115)</f>
        <v>0</v>
      </c>
    </row>
    <row r="1116" spans="1:4" x14ac:dyDescent="0.25">
      <c r="A1116" t="s">
        <v>53</v>
      </c>
      <c r="B1116" s="5">
        <v>41569</v>
      </c>
      <c r="C1116" t="str">
        <f t="shared" si="17"/>
        <v>SRTON059.43_41569</v>
      </c>
      <c r="D1116">
        <f>COUNTIF(data.SampSummary!$C$2:$C$1407,C1116)</f>
        <v>0</v>
      </c>
    </row>
    <row r="1117" spans="1:4" x14ac:dyDescent="0.25">
      <c r="A1117" t="s">
        <v>2893</v>
      </c>
      <c r="B1117" s="5">
        <v>41569</v>
      </c>
      <c r="C1117" t="str">
        <f t="shared" si="17"/>
        <v>SRWLD000.86_41569</v>
      </c>
      <c r="D1117">
        <f>COUNTIF(data.SampSummary!$C$2:$C$1407,C1117)</f>
        <v>0</v>
      </c>
    </row>
    <row r="1118" spans="1:4" x14ac:dyDescent="0.25">
      <c r="A1118" t="s">
        <v>57</v>
      </c>
      <c r="B1118" s="5">
        <v>41569</v>
      </c>
      <c r="C1118" t="str">
        <f t="shared" si="17"/>
        <v>SREFB008.27_41569</v>
      </c>
      <c r="D1118">
        <f>COUNTIF(data.SampSummary!$C$2:$C$1407,C1118)</f>
        <v>0</v>
      </c>
    </row>
    <row r="1119" spans="1:4" x14ac:dyDescent="0.25">
      <c r="A1119" t="s">
        <v>74</v>
      </c>
      <c r="B1119" s="5">
        <v>41569</v>
      </c>
      <c r="C1119" t="str">
        <f t="shared" si="17"/>
        <v>SRSTI000.38_41569</v>
      </c>
      <c r="D1119">
        <f>COUNTIF(data.SampSummary!$C$2:$C$1407,C1119)</f>
        <v>0</v>
      </c>
    </row>
    <row r="1120" spans="1:4" x14ac:dyDescent="0.25">
      <c r="A1120" t="s">
        <v>169</v>
      </c>
      <c r="B1120" s="5">
        <v>42296</v>
      </c>
      <c r="C1120" t="str">
        <f t="shared" si="17"/>
        <v>SRUEF000.87_42296</v>
      </c>
      <c r="D1120">
        <f>COUNTIF(data.SampSummary!$C$2:$C$1407,C1120)</f>
        <v>0</v>
      </c>
    </row>
    <row r="1121" spans="1:4" x14ac:dyDescent="0.25">
      <c r="A1121" t="s">
        <v>169</v>
      </c>
      <c r="B1121" s="5">
        <v>42459</v>
      </c>
      <c r="C1121" t="str">
        <f t="shared" si="17"/>
        <v>SRUEF000.87_42459</v>
      </c>
      <c r="D1121">
        <f>COUNTIF(data.SampSummary!$C$2:$C$1407,C1121)</f>
        <v>0</v>
      </c>
    </row>
    <row r="1122" spans="1:4" x14ac:dyDescent="0.25">
      <c r="A1122" t="s">
        <v>334</v>
      </c>
      <c r="B1122" s="5">
        <v>42278</v>
      </c>
      <c r="C1122" t="str">
        <f t="shared" si="17"/>
        <v>SRSLR139.75_42278</v>
      </c>
      <c r="D1122">
        <f>COUNTIF(data.SampSummary!$C$2:$C$1407,C1122)</f>
        <v>0</v>
      </c>
    </row>
    <row r="1123" spans="1:4" x14ac:dyDescent="0.25">
      <c r="A1123" t="s">
        <v>50</v>
      </c>
      <c r="B1123" s="5">
        <v>42543</v>
      </c>
      <c r="C1123" t="str">
        <f t="shared" si="17"/>
        <v>SRDCN001.90_42543</v>
      </c>
      <c r="D1123">
        <f>COUNTIF(data.SampSummary!$C$2:$C$1407,C1123)</f>
        <v>1</v>
      </c>
    </row>
    <row r="1124" spans="1:4" x14ac:dyDescent="0.25">
      <c r="A1124" t="s">
        <v>34</v>
      </c>
      <c r="B1124" s="5">
        <v>41543</v>
      </c>
      <c r="C1124" t="str">
        <f t="shared" si="17"/>
        <v>LCELR005.67_41543</v>
      </c>
      <c r="D1124">
        <f>COUNTIF(data.SampSummary!$C$2:$C$1407,C1124)</f>
        <v>0</v>
      </c>
    </row>
    <row r="1125" spans="1:4" x14ac:dyDescent="0.25">
      <c r="A1125" t="s">
        <v>329</v>
      </c>
      <c r="B1125" s="5">
        <v>41543</v>
      </c>
      <c r="C1125" t="str">
        <f t="shared" si="17"/>
        <v>VRWCL010.66_41543</v>
      </c>
      <c r="D1125">
        <f>COUNTIF(data.SampSummary!$C$2:$C$1407,C1125)</f>
        <v>0</v>
      </c>
    </row>
    <row r="1126" spans="1:4" x14ac:dyDescent="0.25">
      <c r="A1126" t="s">
        <v>2870</v>
      </c>
      <c r="B1126" s="5">
        <v>41871</v>
      </c>
      <c r="C1126" t="str">
        <f t="shared" si="17"/>
        <v>SRPNT027.51_41871</v>
      </c>
      <c r="D1126">
        <f>COUNTIF(data.SampSummary!$C$2:$C$1407,C1126)</f>
        <v>0</v>
      </c>
    </row>
    <row r="1127" spans="1:4" x14ac:dyDescent="0.25">
      <c r="A1127" t="s">
        <v>2877</v>
      </c>
      <c r="B1127" s="5">
        <v>42303</v>
      </c>
      <c r="C1127" t="str">
        <f t="shared" si="17"/>
        <v>LCLCR347.91_42303</v>
      </c>
      <c r="D1127">
        <f>COUNTIF(data.SampSummary!$C$2:$C$1407,C1127)</f>
        <v>0</v>
      </c>
    </row>
    <row r="1128" spans="1:4" x14ac:dyDescent="0.25">
      <c r="A1128" t="s">
        <v>72</v>
      </c>
      <c r="B1128" s="5">
        <v>42542</v>
      </c>
      <c r="C1128" t="str">
        <f t="shared" si="17"/>
        <v>SRNBE000.86_42542</v>
      </c>
      <c r="D1128">
        <f>COUNTIF(data.SampSummary!$C$2:$C$1407,C1128)</f>
        <v>1</v>
      </c>
    </row>
    <row r="1129" spans="1:4" x14ac:dyDescent="0.25">
      <c r="A1129" t="s">
        <v>129</v>
      </c>
      <c r="B1129" s="5">
        <v>41540</v>
      </c>
      <c r="C1129" t="str">
        <f t="shared" si="17"/>
        <v>LCECL009.39_41540</v>
      </c>
      <c r="D1129">
        <f>COUNTIF(data.SampSummary!$C$2:$C$1407,C1129)</f>
        <v>0</v>
      </c>
    </row>
    <row r="1130" spans="1:4" x14ac:dyDescent="0.25">
      <c r="A1130" t="s">
        <v>2898</v>
      </c>
      <c r="B1130" s="5">
        <v>42144</v>
      </c>
      <c r="C1130" t="str">
        <f t="shared" si="17"/>
        <v>UGSFR012.54_42144</v>
      </c>
      <c r="D1130">
        <f>COUNTIF(data.SampSummary!$C$2:$C$1407,C1130)</f>
        <v>0</v>
      </c>
    </row>
    <row r="1131" spans="1:4" x14ac:dyDescent="0.25">
      <c r="A1131" t="s">
        <v>2899</v>
      </c>
      <c r="B1131" s="5">
        <v>42144</v>
      </c>
      <c r="C1131" t="str">
        <f t="shared" si="17"/>
        <v>UGSFR011.68_42144</v>
      </c>
      <c r="D1131">
        <f>COUNTIF(data.SampSummary!$C$2:$C$1407,C1131)</f>
        <v>0</v>
      </c>
    </row>
    <row r="1132" spans="1:4" x14ac:dyDescent="0.25">
      <c r="A1132" t="s">
        <v>52</v>
      </c>
      <c r="B1132" s="5">
        <v>41967</v>
      </c>
      <c r="C1132" t="str">
        <f t="shared" si="17"/>
        <v>UGCAV016.84_41967</v>
      </c>
      <c r="D1132">
        <f>COUNTIF(data.SampSummary!$C$2:$C$1407,C1132)</f>
        <v>0</v>
      </c>
    </row>
    <row r="1133" spans="1:4" x14ac:dyDescent="0.25">
      <c r="A1133" t="s">
        <v>142</v>
      </c>
      <c r="B1133" s="5">
        <v>41535</v>
      </c>
      <c r="C1133" t="str">
        <f t="shared" si="17"/>
        <v>LCLCR336.72_41535</v>
      </c>
      <c r="D1133">
        <f>COUNTIF(data.SampSummary!$C$2:$C$1407,C1133)</f>
        <v>0</v>
      </c>
    </row>
    <row r="1134" spans="1:4" x14ac:dyDescent="0.25">
      <c r="A1134" t="s">
        <v>179</v>
      </c>
      <c r="B1134" s="5">
        <v>42296</v>
      </c>
      <c r="C1134" t="str">
        <f t="shared" si="17"/>
        <v>SRNFB012.35_42296</v>
      </c>
      <c r="D1134">
        <f>COUNTIF(data.SampSummary!$C$2:$C$1407,C1134)</f>
        <v>0</v>
      </c>
    </row>
    <row r="1135" spans="1:4" x14ac:dyDescent="0.25">
      <c r="A1135" t="s">
        <v>2877</v>
      </c>
      <c r="B1135" s="5">
        <v>42039</v>
      </c>
      <c r="C1135" t="str">
        <f t="shared" si="17"/>
        <v>LCLCR347.91_42039</v>
      </c>
      <c r="D1135">
        <f>COUNTIF(data.SampSummary!$C$2:$C$1407,C1135)</f>
        <v>0</v>
      </c>
    </row>
    <row r="1136" spans="1:4" x14ac:dyDescent="0.25">
      <c r="A1136" t="s">
        <v>162</v>
      </c>
      <c r="B1136" s="5">
        <v>41905</v>
      </c>
      <c r="C1136" t="str">
        <f t="shared" si="17"/>
        <v>UGBLR028.77_41905</v>
      </c>
      <c r="D1136">
        <f>COUNTIF(data.SampSummary!$C$2:$C$1407,C1136)</f>
        <v>0</v>
      </c>
    </row>
    <row r="1137" spans="1:4" x14ac:dyDescent="0.25">
      <c r="A1137" t="s">
        <v>299</v>
      </c>
      <c r="B1137" s="5">
        <v>42493</v>
      </c>
      <c r="C1137" t="str">
        <f t="shared" si="17"/>
        <v>VREVR023.23_42493</v>
      </c>
      <c r="D1137">
        <f>COUNTIF(data.SampSummary!$C$2:$C$1407,C1137)</f>
        <v>1</v>
      </c>
    </row>
    <row r="1138" spans="1:4" x14ac:dyDescent="0.25">
      <c r="A1138" t="s">
        <v>17</v>
      </c>
      <c r="B1138" s="5">
        <v>42131</v>
      </c>
      <c r="C1138" t="str">
        <f t="shared" si="17"/>
        <v>SRTON062.28_42131</v>
      </c>
      <c r="D1138">
        <f>COUNTIF(data.SampSummary!$C$2:$C$1407,C1138)</f>
        <v>1</v>
      </c>
    </row>
    <row r="1139" spans="1:4" x14ac:dyDescent="0.25">
      <c r="A1139" t="s">
        <v>36</v>
      </c>
      <c r="B1139" s="5">
        <v>42234</v>
      </c>
      <c r="C1139" t="str">
        <f t="shared" si="17"/>
        <v>SRFIS010.92_42234</v>
      </c>
      <c r="D1139">
        <f>COUNTIF(data.SampSummary!$C$2:$C$1407,C1139)</f>
        <v>0</v>
      </c>
    </row>
    <row r="1140" spans="1:4" x14ac:dyDescent="0.25">
      <c r="A1140" t="s">
        <v>37</v>
      </c>
      <c r="B1140" s="5">
        <v>42332</v>
      </c>
      <c r="C1140" t="str">
        <f t="shared" si="17"/>
        <v>VRWOK000.82_42332</v>
      </c>
      <c r="D1140">
        <f>COUNTIF(data.SampSummary!$C$2:$C$1407,C1140)</f>
        <v>0</v>
      </c>
    </row>
    <row r="1141" spans="1:4" x14ac:dyDescent="0.25">
      <c r="A1141" t="s">
        <v>133</v>
      </c>
      <c r="B1141" s="5">
        <v>42542</v>
      </c>
      <c r="C1141" t="str">
        <f t="shared" si="17"/>
        <v>SRHAY003.25_42542</v>
      </c>
      <c r="D1141">
        <f>COUNTIF(data.SampSummary!$C$2:$C$1407,C1141)</f>
        <v>1</v>
      </c>
    </row>
    <row r="1142" spans="1:4" x14ac:dyDescent="0.25">
      <c r="A1142" t="s">
        <v>217</v>
      </c>
      <c r="B1142" s="5">
        <v>42115</v>
      </c>
      <c r="C1142" t="str">
        <f t="shared" si="17"/>
        <v>SPARA010.19_42115</v>
      </c>
      <c r="D1142">
        <f>COUNTIF(data.SampSummary!$C$2:$C$1407,C1142)</f>
        <v>2</v>
      </c>
    </row>
    <row r="1143" spans="1:4" x14ac:dyDescent="0.25">
      <c r="A1143" t="s">
        <v>74</v>
      </c>
      <c r="B1143" s="5">
        <v>41534</v>
      </c>
      <c r="C1143" t="str">
        <f t="shared" si="17"/>
        <v>SRSTI000.38_41534</v>
      </c>
      <c r="D1143">
        <f>COUNTIF(data.SampSummary!$C$2:$C$1407,C1143)</f>
        <v>0</v>
      </c>
    </row>
    <row r="1144" spans="1:4" x14ac:dyDescent="0.25">
      <c r="A1144" t="s">
        <v>2893</v>
      </c>
      <c r="B1144" s="5">
        <v>41534</v>
      </c>
      <c r="C1144" t="str">
        <f t="shared" si="17"/>
        <v>SRWLD000.86_41534</v>
      </c>
      <c r="D1144">
        <f>COUNTIF(data.SampSummary!$C$2:$C$1407,C1144)</f>
        <v>0</v>
      </c>
    </row>
    <row r="1145" spans="1:4" x14ac:dyDescent="0.25">
      <c r="A1145" t="s">
        <v>2857</v>
      </c>
      <c r="B1145" s="5">
        <v>41533</v>
      </c>
      <c r="C1145" t="str">
        <f t="shared" si="17"/>
        <v>MGHSR000.77_41533</v>
      </c>
      <c r="D1145">
        <f>COUNTIF(data.SampSummary!$C$2:$C$1407,C1145)</f>
        <v>0</v>
      </c>
    </row>
    <row r="1146" spans="1:4" x14ac:dyDescent="0.25">
      <c r="A1146" t="s">
        <v>369</v>
      </c>
      <c r="B1146" s="5">
        <v>42102</v>
      </c>
      <c r="C1146" t="str">
        <f t="shared" si="17"/>
        <v>MGHSR002.67_42102</v>
      </c>
      <c r="D1146">
        <f>COUNTIF(data.SampSummary!$C$2:$C$1407,C1146)</f>
        <v>1</v>
      </c>
    </row>
    <row r="1147" spans="1:4" x14ac:dyDescent="0.25">
      <c r="A1147" t="s">
        <v>87</v>
      </c>
      <c r="B1147" s="5">
        <v>42250</v>
      </c>
      <c r="C1147" t="str">
        <f t="shared" si="17"/>
        <v>LCLVL001.32_42250</v>
      </c>
      <c r="D1147">
        <f>COUNTIF(data.SampSummary!$C$2:$C$1407,C1147)</f>
        <v>0</v>
      </c>
    </row>
    <row r="1148" spans="1:4" x14ac:dyDescent="0.25">
      <c r="A1148" t="s">
        <v>118</v>
      </c>
      <c r="B1148" s="5">
        <v>41533</v>
      </c>
      <c r="C1148" t="str">
        <f t="shared" si="17"/>
        <v>LCSIL027.05_41533</v>
      </c>
      <c r="D1148">
        <f>COUNTIF(data.SampSummary!$C$2:$C$1407,C1148)</f>
        <v>0</v>
      </c>
    </row>
    <row r="1149" spans="1:4" x14ac:dyDescent="0.25">
      <c r="A1149" t="s">
        <v>2900</v>
      </c>
      <c r="B1149" s="5">
        <v>42325</v>
      </c>
      <c r="C1149" t="str">
        <f t="shared" si="17"/>
        <v>SPSPR134.35_42325</v>
      </c>
      <c r="D1149">
        <f>COUNTIF(data.SampSummary!$C$2:$C$1407,C1149)</f>
        <v>0</v>
      </c>
    </row>
    <row r="1150" spans="1:4" x14ac:dyDescent="0.25">
      <c r="A1150" t="s">
        <v>2873</v>
      </c>
      <c r="B1150" s="5">
        <v>42037</v>
      </c>
      <c r="C1150" t="str">
        <f t="shared" si="17"/>
        <v>SRGIB000.11_42037</v>
      </c>
      <c r="D1150">
        <f>COUNTIF(data.SampSummary!$C$2:$C$1407,C1150)</f>
        <v>0</v>
      </c>
    </row>
    <row r="1151" spans="1:4" x14ac:dyDescent="0.25">
      <c r="A1151" t="s">
        <v>157</v>
      </c>
      <c r="B1151" s="5">
        <v>42493</v>
      </c>
      <c r="C1151" t="str">
        <f t="shared" si="17"/>
        <v>VRWEB010.36_42493</v>
      </c>
      <c r="D1151">
        <f>COUNTIF(data.SampSummary!$C$2:$C$1407,C1151)</f>
        <v>2</v>
      </c>
    </row>
    <row r="1152" spans="1:4" x14ac:dyDescent="0.25">
      <c r="A1152" t="s">
        <v>145</v>
      </c>
      <c r="B1152" s="5">
        <v>42052</v>
      </c>
      <c r="C1152" t="str">
        <f t="shared" si="17"/>
        <v>UGSTO003.44_42052</v>
      </c>
      <c r="D1152">
        <f>COUNTIF(data.SampSummary!$C$2:$C$1407,C1152)</f>
        <v>0</v>
      </c>
    </row>
    <row r="1153" spans="1:4" x14ac:dyDescent="0.25">
      <c r="A1153" t="s">
        <v>157</v>
      </c>
      <c r="B1153" s="5">
        <v>42299</v>
      </c>
      <c r="C1153" t="str">
        <f t="shared" si="17"/>
        <v>VRWEB010.36_42299</v>
      </c>
      <c r="D1153">
        <f>COUNTIF(data.SampSummary!$C$2:$C$1407,C1153)</f>
        <v>0</v>
      </c>
    </row>
    <row r="1154" spans="1:4" x14ac:dyDescent="0.25">
      <c r="A1154" t="s">
        <v>2886</v>
      </c>
      <c r="B1154" s="5">
        <v>42164</v>
      </c>
      <c r="C1154" t="str">
        <f t="shared" si="17"/>
        <v>LCNUT013.33_42164</v>
      </c>
      <c r="D1154">
        <f>COUNTIF(data.SampSummary!$C$2:$C$1407,C1154)</f>
        <v>0</v>
      </c>
    </row>
    <row r="1155" spans="1:4" x14ac:dyDescent="0.25">
      <c r="A1155" t="s">
        <v>52</v>
      </c>
      <c r="B1155" s="5">
        <v>41892</v>
      </c>
      <c r="C1155" t="str">
        <f t="shared" ref="C1155:C1218" si="18">A1155&amp;"_"&amp;B1155</f>
        <v>UGCAV016.84_41892</v>
      </c>
      <c r="D1155">
        <f>COUNTIF(data.SampSummary!$C$2:$C$1407,C1155)</f>
        <v>0</v>
      </c>
    </row>
    <row r="1156" spans="1:4" x14ac:dyDescent="0.25">
      <c r="A1156" t="s">
        <v>162</v>
      </c>
      <c r="B1156" s="5">
        <v>42053</v>
      </c>
      <c r="C1156" t="str">
        <f t="shared" si="18"/>
        <v>UGBLR028.77_42053</v>
      </c>
      <c r="D1156">
        <f>COUNTIF(data.SampSummary!$C$2:$C$1407,C1156)</f>
        <v>0</v>
      </c>
    </row>
    <row r="1157" spans="1:4" x14ac:dyDescent="0.25">
      <c r="A1157" t="s">
        <v>54</v>
      </c>
      <c r="B1157" s="5">
        <v>42158</v>
      </c>
      <c r="C1157" t="str">
        <f t="shared" si="18"/>
        <v>UGCOL003.48_42158</v>
      </c>
      <c r="D1157">
        <f>COUNTIF(data.SampSummary!$C$2:$C$1407,C1157)</f>
        <v>1</v>
      </c>
    </row>
    <row r="1158" spans="1:4" x14ac:dyDescent="0.25">
      <c r="A1158" t="s">
        <v>2900</v>
      </c>
      <c r="B1158" s="5">
        <v>42466</v>
      </c>
      <c r="C1158" t="str">
        <f t="shared" si="18"/>
        <v>SPSPR134.35_42466</v>
      </c>
      <c r="D1158">
        <f>COUNTIF(data.SampSummary!$C$2:$C$1407,C1158)</f>
        <v>0</v>
      </c>
    </row>
    <row r="1159" spans="1:4" x14ac:dyDescent="0.25">
      <c r="A1159" t="s">
        <v>234</v>
      </c>
      <c r="B1159" s="5">
        <v>42465</v>
      </c>
      <c r="C1159" t="str">
        <f t="shared" si="18"/>
        <v>SPSPR014.18_42465</v>
      </c>
      <c r="D1159">
        <f>COUNTIF(data.SampSummary!$C$2:$C$1407,C1159)</f>
        <v>1</v>
      </c>
    </row>
    <row r="1160" spans="1:4" x14ac:dyDescent="0.25">
      <c r="A1160" t="s">
        <v>2865</v>
      </c>
      <c r="B1160" s="5">
        <v>42044</v>
      </c>
      <c r="C1160" t="str">
        <f t="shared" si="18"/>
        <v>UGNCV000.16_42044</v>
      </c>
      <c r="D1160">
        <f>COUNTIF(data.SampSummary!$C$2:$C$1407,C1160)</f>
        <v>0</v>
      </c>
    </row>
    <row r="1161" spans="1:4" x14ac:dyDescent="0.25">
      <c r="A1161" t="s">
        <v>182</v>
      </c>
      <c r="B1161" s="5">
        <v>42227</v>
      </c>
      <c r="C1161" t="str">
        <f t="shared" si="18"/>
        <v>VRBON002.71_42227</v>
      </c>
      <c r="D1161">
        <f>COUNTIF(data.SampSummary!$C$2:$C$1407,C1161)</f>
        <v>0</v>
      </c>
    </row>
    <row r="1162" spans="1:4" x14ac:dyDescent="0.25">
      <c r="A1162" t="s">
        <v>318</v>
      </c>
      <c r="B1162" s="5">
        <v>42499</v>
      </c>
      <c r="C1162" t="str">
        <f t="shared" si="18"/>
        <v>VROAK042.78_42499</v>
      </c>
      <c r="D1162">
        <f>COUNTIF(data.SampSummary!$C$2:$C$1407,C1162)</f>
        <v>1</v>
      </c>
    </row>
    <row r="1163" spans="1:4" x14ac:dyDescent="0.25">
      <c r="A1163" t="s">
        <v>135</v>
      </c>
      <c r="B1163" s="5">
        <v>42249</v>
      </c>
      <c r="C1163" t="str">
        <f t="shared" si="18"/>
        <v>SRHRS001.41_42249</v>
      </c>
      <c r="D1163">
        <f>COUNTIF(data.SampSummary!$C$2:$C$1407,C1163)</f>
        <v>0</v>
      </c>
    </row>
    <row r="1164" spans="1:4" x14ac:dyDescent="0.25">
      <c r="A1164" t="s">
        <v>2882</v>
      </c>
      <c r="B1164" s="5">
        <v>42039</v>
      </c>
      <c r="C1164" t="str">
        <f t="shared" si="18"/>
        <v>LCLCR349.82_42039</v>
      </c>
      <c r="D1164">
        <f>COUNTIF(data.SampSummary!$C$2:$C$1407,C1164)</f>
        <v>0</v>
      </c>
    </row>
    <row r="1165" spans="1:4" x14ac:dyDescent="0.25">
      <c r="A1165" t="s">
        <v>36</v>
      </c>
      <c r="B1165" s="5">
        <v>42457</v>
      </c>
      <c r="C1165" t="str">
        <f t="shared" si="18"/>
        <v>SRFIS010.92_42457</v>
      </c>
      <c r="D1165">
        <f>COUNTIF(data.SampSummary!$C$2:$C$1407,C1165)</f>
        <v>0</v>
      </c>
    </row>
    <row r="1166" spans="1:4" x14ac:dyDescent="0.25">
      <c r="A1166" t="s">
        <v>343</v>
      </c>
      <c r="B1166" s="5">
        <v>42166</v>
      </c>
      <c r="C1166" t="str">
        <f t="shared" si="18"/>
        <v>SPARA019.41_42166</v>
      </c>
      <c r="D1166">
        <f>COUNTIF(data.SampSummary!$C$2:$C$1407,C1166)</f>
        <v>1</v>
      </c>
    </row>
    <row r="1167" spans="1:4" x14ac:dyDescent="0.25">
      <c r="A1167" t="s">
        <v>2816</v>
      </c>
      <c r="B1167" s="5">
        <v>42458</v>
      </c>
      <c r="C1167" t="str">
        <f t="shared" si="18"/>
        <v>LCLCR324.92_42458</v>
      </c>
      <c r="D1167">
        <f>COUNTIF(data.SampSummary!$C$2:$C$1407,C1167)</f>
        <v>0</v>
      </c>
    </row>
    <row r="1168" spans="1:4" x14ac:dyDescent="0.25">
      <c r="A1168" t="s">
        <v>355</v>
      </c>
      <c r="B1168" s="5">
        <v>42410</v>
      </c>
      <c r="C1168" t="str">
        <f t="shared" si="18"/>
        <v>VRSPN002.92_42410</v>
      </c>
      <c r="D1168">
        <f>COUNTIF(data.SampSummary!$C$2:$C$1407,C1168)</f>
        <v>0</v>
      </c>
    </row>
    <row r="1169" spans="1:4" x14ac:dyDescent="0.25">
      <c r="A1169" t="s">
        <v>2901</v>
      </c>
      <c r="B1169" s="5">
        <v>42164</v>
      </c>
      <c r="C1169" t="str">
        <f t="shared" si="18"/>
        <v>LCLCR340.65_42164</v>
      </c>
      <c r="D1169">
        <f>COUNTIF(data.SampSummary!$C$2:$C$1407,C1169)</f>
        <v>0</v>
      </c>
    </row>
    <row r="1170" spans="1:4" x14ac:dyDescent="0.25">
      <c r="A1170" t="s">
        <v>2816</v>
      </c>
      <c r="B1170" s="5">
        <v>42164</v>
      </c>
      <c r="C1170" t="str">
        <f t="shared" si="18"/>
        <v>LCLCR324.92_42164</v>
      </c>
      <c r="D1170">
        <f>COUNTIF(data.SampSummary!$C$2:$C$1407,C1170)</f>
        <v>0</v>
      </c>
    </row>
    <row r="1171" spans="1:4" x14ac:dyDescent="0.25">
      <c r="A1171" t="s">
        <v>343</v>
      </c>
      <c r="B1171" s="5">
        <v>41989</v>
      </c>
      <c r="C1171" t="str">
        <f t="shared" si="18"/>
        <v>SPARA019.41_41989</v>
      </c>
      <c r="D1171">
        <f>COUNTIF(data.SampSummary!$C$2:$C$1407,C1171)</f>
        <v>0</v>
      </c>
    </row>
    <row r="1172" spans="1:4" x14ac:dyDescent="0.25">
      <c r="A1172" t="s">
        <v>45</v>
      </c>
      <c r="B1172" s="5">
        <v>42437</v>
      </c>
      <c r="C1172" t="str">
        <f t="shared" si="18"/>
        <v>SRREY001.14_42437</v>
      </c>
      <c r="D1172">
        <f>COUNTIF(data.SampSummary!$C$2:$C$1407,C1172)</f>
        <v>0</v>
      </c>
    </row>
    <row r="1173" spans="1:4" x14ac:dyDescent="0.25">
      <c r="A1173" t="s">
        <v>318</v>
      </c>
      <c r="B1173" s="5">
        <v>42229</v>
      </c>
      <c r="C1173" t="str">
        <f t="shared" si="18"/>
        <v>VROAK042.78_42229</v>
      </c>
      <c r="D1173">
        <f>COUNTIF(data.SampSummary!$C$2:$C$1407,C1173)</f>
        <v>0</v>
      </c>
    </row>
    <row r="1174" spans="1:4" x14ac:dyDescent="0.25">
      <c r="A1174" t="s">
        <v>2865</v>
      </c>
      <c r="B1174" s="5">
        <v>41967</v>
      </c>
      <c r="C1174" t="str">
        <f t="shared" si="18"/>
        <v>UGNCV000.16_41967</v>
      </c>
      <c r="D1174">
        <f>COUNTIF(data.SampSummary!$C$2:$C$1407,C1174)</f>
        <v>0</v>
      </c>
    </row>
    <row r="1175" spans="1:4" x14ac:dyDescent="0.25">
      <c r="A1175" t="s">
        <v>162</v>
      </c>
      <c r="B1175" s="5">
        <v>41961</v>
      </c>
      <c r="C1175" t="str">
        <f t="shared" si="18"/>
        <v>UGBLR028.77_41961</v>
      </c>
      <c r="D1175">
        <f>COUNTIF(data.SampSummary!$C$2:$C$1407,C1175)</f>
        <v>0</v>
      </c>
    </row>
    <row r="1176" spans="1:4" x14ac:dyDescent="0.25">
      <c r="A1176" t="s">
        <v>299</v>
      </c>
      <c r="B1176" s="5">
        <v>42240</v>
      </c>
      <c r="C1176" t="str">
        <f t="shared" si="18"/>
        <v>VREVR023.23_42240</v>
      </c>
      <c r="D1176">
        <f>COUNTIF(data.SampSummary!$C$2:$C$1407,C1176)</f>
        <v>0</v>
      </c>
    </row>
    <row r="1177" spans="1:4" x14ac:dyDescent="0.25">
      <c r="A1177" t="s">
        <v>326</v>
      </c>
      <c r="B1177" s="5">
        <v>42142</v>
      </c>
      <c r="C1177" t="str">
        <f t="shared" si="18"/>
        <v>UGSFR006.42_42142</v>
      </c>
      <c r="D1177">
        <f>COUNTIF(data.SampSummary!$C$2:$C$1407,C1177)</f>
        <v>1</v>
      </c>
    </row>
    <row r="1178" spans="1:4" x14ac:dyDescent="0.25">
      <c r="A1178" t="s">
        <v>73</v>
      </c>
      <c r="B1178" s="5">
        <v>42233</v>
      </c>
      <c r="C1178" t="str">
        <f t="shared" si="18"/>
        <v>LCELR000.13_42233</v>
      </c>
      <c r="D1178">
        <f>COUNTIF(data.SampSummary!$C$2:$C$1407,C1178)</f>
        <v>0</v>
      </c>
    </row>
    <row r="1179" spans="1:4" x14ac:dyDescent="0.25">
      <c r="A1179" t="s">
        <v>2870</v>
      </c>
      <c r="B1179" s="5">
        <v>42377</v>
      </c>
      <c r="C1179" t="str">
        <f t="shared" si="18"/>
        <v>SRPNT027.51_42377</v>
      </c>
      <c r="D1179">
        <f>COUNTIF(data.SampSummary!$C$2:$C$1407,C1179)</f>
        <v>0</v>
      </c>
    </row>
    <row r="1180" spans="1:4" x14ac:dyDescent="0.25">
      <c r="A1180" t="s">
        <v>2896</v>
      </c>
      <c r="B1180" s="5">
        <v>42264</v>
      </c>
      <c r="C1180" t="str">
        <f t="shared" si="18"/>
        <v>LCNUT015.01_42264</v>
      </c>
      <c r="D1180">
        <f>COUNTIF(data.SampSummary!$C$2:$C$1407,C1180)</f>
        <v>0</v>
      </c>
    </row>
    <row r="1181" spans="1:4" x14ac:dyDescent="0.25">
      <c r="A1181" t="s">
        <v>37</v>
      </c>
      <c r="B1181" s="5">
        <v>42229</v>
      </c>
      <c r="C1181" t="str">
        <f t="shared" si="18"/>
        <v>VRWOK000.82_42229</v>
      </c>
      <c r="D1181">
        <f>COUNTIF(data.SampSummary!$C$2:$C$1407,C1181)</f>
        <v>0</v>
      </c>
    </row>
    <row r="1182" spans="1:4" x14ac:dyDescent="0.25">
      <c r="A1182" t="s">
        <v>31</v>
      </c>
      <c r="B1182" s="5">
        <v>42234</v>
      </c>
      <c r="C1182" t="str">
        <f t="shared" si="18"/>
        <v>SRUDC000.02_42234</v>
      </c>
      <c r="D1182">
        <f>COUNTIF(data.SampSummary!$C$2:$C$1407,C1182)</f>
        <v>0</v>
      </c>
    </row>
    <row r="1183" spans="1:4" x14ac:dyDescent="0.25">
      <c r="A1183" t="s">
        <v>37</v>
      </c>
      <c r="B1183" s="5">
        <v>42410</v>
      </c>
      <c r="C1183" t="str">
        <f t="shared" si="18"/>
        <v>VRWOK000.82_42410</v>
      </c>
      <c r="D1183">
        <f>COUNTIF(data.SampSummary!$C$2:$C$1407,C1183)</f>
        <v>0</v>
      </c>
    </row>
    <row r="1184" spans="1:4" x14ac:dyDescent="0.25">
      <c r="A1184" t="s">
        <v>163</v>
      </c>
      <c r="B1184" s="5">
        <v>42227</v>
      </c>
      <c r="C1184" t="str">
        <f t="shared" si="18"/>
        <v>LCECL021.13_42227</v>
      </c>
      <c r="D1184">
        <f>COUNTIF(data.SampSummary!$C$2:$C$1407,C1184)</f>
        <v>0</v>
      </c>
    </row>
    <row r="1185" spans="1:4" x14ac:dyDescent="0.25">
      <c r="A1185" t="s">
        <v>49</v>
      </c>
      <c r="B1185" s="5">
        <v>42256</v>
      </c>
      <c r="C1185" t="str">
        <f t="shared" si="18"/>
        <v>VRWCL036.37_42256</v>
      </c>
      <c r="D1185">
        <f>COUNTIF(data.SampSummary!$C$2:$C$1407,C1185)</f>
        <v>0</v>
      </c>
    </row>
    <row r="1186" spans="1:4" x14ac:dyDescent="0.25">
      <c r="A1186" t="s">
        <v>342</v>
      </c>
      <c r="B1186" s="5">
        <v>42086</v>
      </c>
      <c r="C1186" t="str">
        <f t="shared" si="18"/>
        <v>UGBON000.17_42086</v>
      </c>
      <c r="D1186">
        <f>COUNTIF(data.SampSummary!$C$2:$C$1407,C1186)</f>
        <v>0</v>
      </c>
    </row>
    <row r="1187" spans="1:4" x14ac:dyDescent="0.25">
      <c r="A1187" t="s">
        <v>353</v>
      </c>
      <c r="B1187" s="5">
        <v>41884</v>
      </c>
      <c r="C1187" t="str">
        <f t="shared" si="18"/>
        <v>UGEAG013.81_41884</v>
      </c>
      <c r="D1187">
        <f>COUNTIF(data.SampSummary!$C$2:$C$1407,C1187)</f>
        <v>0</v>
      </c>
    </row>
    <row r="1188" spans="1:4" x14ac:dyDescent="0.25">
      <c r="A1188" t="s">
        <v>250</v>
      </c>
      <c r="B1188" s="5">
        <v>42256</v>
      </c>
      <c r="C1188" t="str">
        <f t="shared" si="18"/>
        <v>SRDEV000.38_42256</v>
      </c>
      <c r="D1188">
        <f>COUNTIF(data.SampSummary!$C$2:$C$1407,C1188)</f>
        <v>0</v>
      </c>
    </row>
    <row r="1189" spans="1:4" x14ac:dyDescent="0.25">
      <c r="A1189" t="s">
        <v>75</v>
      </c>
      <c r="B1189" s="5">
        <v>42425</v>
      </c>
      <c r="C1189" t="str">
        <f t="shared" si="18"/>
        <v>SRBEV007.28_42425</v>
      </c>
      <c r="D1189">
        <f>COUNTIF(data.SampSummary!$C$2:$C$1407,C1189)</f>
        <v>0</v>
      </c>
    </row>
    <row r="1190" spans="1:4" x14ac:dyDescent="0.25">
      <c r="A1190" t="s">
        <v>2902</v>
      </c>
      <c r="B1190" s="5">
        <v>42040</v>
      </c>
      <c r="C1190" t="str">
        <f t="shared" si="18"/>
        <v>LCSTS000.01_42040</v>
      </c>
      <c r="D1190">
        <f>COUNTIF(data.SampSummary!$C$2:$C$1407,C1190)</f>
        <v>0</v>
      </c>
    </row>
    <row r="1191" spans="1:4" x14ac:dyDescent="0.25">
      <c r="A1191" t="s">
        <v>179</v>
      </c>
      <c r="B1191" s="5">
        <v>42249</v>
      </c>
      <c r="C1191" t="str">
        <f t="shared" si="18"/>
        <v>SRNFB012.35_42249</v>
      </c>
      <c r="D1191">
        <f>COUNTIF(data.SampSummary!$C$2:$C$1407,C1191)</f>
        <v>0</v>
      </c>
    </row>
    <row r="1192" spans="1:4" x14ac:dyDescent="0.25">
      <c r="A1192" t="s">
        <v>52</v>
      </c>
      <c r="B1192" s="5">
        <v>42044</v>
      </c>
      <c r="C1192" t="str">
        <f t="shared" si="18"/>
        <v>UGCAV016.84_42044</v>
      </c>
      <c r="D1192">
        <f>COUNTIF(data.SampSummary!$C$2:$C$1407,C1192)</f>
        <v>0</v>
      </c>
    </row>
    <row r="1193" spans="1:4" x14ac:dyDescent="0.25">
      <c r="A1193" t="s">
        <v>2903</v>
      </c>
      <c r="B1193" s="5">
        <v>41892</v>
      </c>
      <c r="C1193" t="str">
        <f t="shared" si="18"/>
        <v>UGUCA000.02_41892</v>
      </c>
      <c r="D1193">
        <f>COUNTIF(data.SampSummary!$C$2:$C$1407,C1193)</f>
        <v>0</v>
      </c>
    </row>
    <row r="1194" spans="1:4" x14ac:dyDescent="0.25">
      <c r="A1194" t="s">
        <v>133</v>
      </c>
      <c r="B1194" s="5">
        <v>42250</v>
      </c>
      <c r="C1194" t="str">
        <f t="shared" si="18"/>
        <v>SRHAY003.25_42250</v>
      </c>
      <c r="D1194">
        <f>COUNTIF(data.SampSummary!$C$2:$C$1407,C1194)</f>
        <v>0</v>
      </c>
    </row>
    <row r="1195" spans="1:4" x14ac:dyDescent="0.25">
      <c r="A1195" t="s">
        <v>284</v>
      </c>
      <c r="B1195" s="5">
        <v>42249</v>
      </c>
      <c r="C1195" t="str">
        <f t="shared" si="18"/>
        <v>BWFRA001.04_42249</v>
      </c>
      <c r="D1195">
        <f>COUNTIF(data.SampSummary!$C$2:$C$1407,C1195)</f>
        <v>0</v>
      </c>
    </row>
    <row r="1196" spans="1:4" x14ac:dyDescent="0.25">
      <c r="A1196" t="s">
        <v>355</v>
      </c>
      <c r="B1196" s="5">
        <v>42332</v>
      </c>
      <c r="C1196" t="str">
        <f t="shared" si="18"/>
        <v>VRSPN002.92_42332</v>
      </c>
      <c r="D1196">
        <f>COUNTIF(data.SampSummary!$C$2:$C$1407,C1196)</f>
        <v>0</v>
      </c>
    </row>
    <row r="1197" spans="1:4" x14ac:dyDescent="0.25">
      <c r="A1197" t="s">
        <v>54</v>
      </c>
      <c r="B1197" s="5">
        <v>41960</v>
      </c>
      <c r="C1197" t="str">
        <f t="shared" si="18"/>
        <v>UGCOL003.48_41960</v>
      </c>
      <c r="D1197">
        <f>COUNTIF(data.SampSummary!$C$2:$C$1407,C1197)</f>
        <v>0</v>
      </c>
    </row>
    <row r="1198" spans="1:4" x14ac:dyDescent="0.25">
      <c r="A1198" t="s">
        <v>93</v>
      </c>
      <c r="B1198" s="5">
        <v>42298</v>
      </c>
      <c r="C1198" t="str">
        <f t="shared" si="18"/>
        <v>SRCDY002.95_42298</v>
      </c>
      <c r="D1198">
        <f>COUNTIF(data.SampSummary!$C$2:$C$1407,C1198)</f>
        <v>0</v>
      </c>
    </row>
    <row r="1199" spans="1:4" x14ac:dyDescent="0.25">
      <c r="A1199" t="s">
        <v>326</v>
      </c>
      <c r="B1199" s="5">
        <v>41955</v>
      </c>
      <c r="C1199" t="str">
        <f t="shared" si="18"/>
        <v>UGSFR006.42_41955</v>
      </c>
      <c r="D1199">
        <f>COUNTIF(data.SampSummary!$C$2:$C$1407,C1199)</f>
        <v>0</v>
      </c>
    </row>
    <row r="1200" spans="1:4" x14ac:dyDescent="0.25">
      <c r="A1200" t="s">
        <v>50</v>
      </c>
      <c r="B1200" s="5">
        <v>42234</v>
      </c>
      <c r="C1200" t="str">
        <f t="shared" si="18"/>
        <v>SRDCN001.90_42234</v>
      </c>
      <c r="D1200">
        <f>COUNTIF(data.SampSummary!$C$2:$C$1407,C1200)</f>
        <v>0</v>
      </c>
    </row>
    <row r="1201" spans="1:4" x14ac:dyDescent="0.25">
      <c r="A1201" t="s">
        <v>2900</v>
      </c>
      <c r="B1201" s="5">
        <v>42297</v>
      </c>
      <c r="C1201" t="str">
        <f t="shared" si="18"/>
        <v>SPSPR134.35_42297</v>
      </c>
      <c r="D1201">
        <f>COUNTIF(data.SampSummary!$C$2:$C$1407,C1201)</f>
        <v>0</v>
      </c>
    </row>
    <row r="1202" spans="1:4" x14ac:dyDescent="0.25">
      <c r="A1202" t="s">
        <v>228</v>
      </c>
      <c r="B1202" s="5">
        <v>42039</v>
      </c>
      <c r="C1202" t="str">
        <f t="shared" si="18"/>
        <v>MGHSR048.20_42039</v>
      </c>
      <c r="D1202">
        <f>COUNTIF(data.SampSummary!$C$2:$C$1407,C1202)</f>
        <v>0</v>
      </c>
    </row>
    <row r="1203" spans="1:4" x14ac:dyDescent="0.25">
      <c r="A1203" t="s">
        <v>2876</v>
      </c>
      <c r="B1203" s="5">
        <v>42296</v>
      </c>
      <c r="C1203" t="str">
        <f t="shared" si="18"/>
        <v>SPSPR120.47_42296</v>
      </c>
      <c r="D1203">
        <f>COUNTIF(data.SampSummary!$C$2:$C$1407,C1203)</f>
        <v>0</v>
      </c>
    </row>
    <row r="1204" spans="1:4" x14ac:dyDescent="0.25">
      <c r="A1204" t="s">
        <v>157</v>
      </c>
      <c r="B1204" s="5">
        <v>42256</v>
      </c>
      <c r="C1204" t="str">
        <f t="shared" si="18"/>
        <v>VRWEB010.36_42256</v>
      </c>
      <c r="D1204">
        <f>COUNTIF(data.SampSummary!$C$2:$C$1407,C1204)</f>
        <v>0</v>
      </c>
    </row>
    <row r="1205" spans="1:4" x14ac:dyDescent="0.25">
      <c r="A1205" t="s">
        <v>133</v>
      </c>
      <c r="B1205" s="5">
        <v>42458</v>
      </c>
      <c r="C1205" t="str">
        <f t="shared" si="18"/>
        <v>SRHAY003.25_42458</v>
      </c>
      <c r="D1205">
        <f>COUNTIF(data.SampSummary!$C$2:$C$1407,C1205)</f>
        <v>0</v>
      </c>
    </row>
    <row r="1206" spans="1:4" x14ac:dyDescent="0.25">
      <c r="A1206" t="s">
        <v>164</v>
      </c>
      <c r="B1206" s="5">
        <v>42325</v>
      </c>
      <c r="C1206" t="str">
        <f t="shared" si="18"/>
        <v>SRWRK002.83_42325</v>
      </c>
      <c r="D1206">
        <f>COUNTIF(data.SampSummary!$C$2:$C$1407,C1206)</f>
        <v>0</v>
      </c>
    </row>
    <row r="1207" spans="1:4" x14ac:dyDescent="0.25">
      <c r="A1207" t="s">
        <v>2878</v>
      </c>
      <c r="B1207" s="5">
        <v>42493</v>
      </c>
      <c r="C1207" t="str">
        <f t="shared" si="18"/>
        <v>VRFOS010.48_42493</v>
      </c>
      <c r="D1207">
        <f>COUNTIF(data.SampSummary!$C$2:$C$1407,C1207)</f>
        <v>0</v>
      </c>
    </row>
    <row r="1208" spans="1:4" x14ac:dyDescent="0.25">
      <c r="A1208" t="s">
        <v>150</v>
      </c>
      <c r="B1208" s="5">
        <v>42528</v>
      </c>
      <c r="C1208" t="str">
        <f t="shared" si="18"/>
        <v>MGHSR110.58_42528</v>
      </c>
      <c r="D1208">
        <f>COUNTIF(data.SampSummary!$C$2:$C$1407,C1208)</f>
        <v>0</v>
      </c>
    </row>
    <row r="1209" spans="1:4" x14ac:dyDescent="0.25">
      <c r="A1209" t="s">
        <v>2108</v>
      </c>
      <c r="B1209" s="5">
        <v>41886</v>
      </c>
      <c r="C1209" t="str">
        <f t="shared" si="18"/>
        <v>UGSFR151.22_41886</v>
      </c>
      <c r="D1209">
        <f>COUNTIF(data.SampSummary!$C$2:$C$1407,C1209)</f>
        <v>0</v>
      </c>
    </row>
    <row r="1210" spans="1:4" x14ac:dyDescent="0.25">
      <c r="A1210" t="s">
        <v>181</v>
      </c>
      <c r="B1210" s="5">
        <v>42296</v>
      </c>
      <c r="C1210" t="str">
        <f t="shared" si="18"/>
        <v>SRUUE000.03_42296</v>
      </c>
      <c r="D1210">
        <f>COUNTIF(data.SampSummary!$C$2:$C$1407,C1210)</f>
        <v>0</v>
      </c>
    </row>
    <row r="1211" spans="1:4" x14ac:dyDescent="0.25">
      <c r="A1211" t="s">
        <v>318</v>
      </c>
      <c r="B1211" s="5">
        <v>42410</v>
      </c>
      <c r="C1211" t="str">
        <f t="shared" si="18"/>
        <v>VROAK042.78_42410</v>
      </c>
      <c r="D1211">
        <f>COUNTIF(data.SampSummary!$C$2:$C$1407,C1211)</f>
        <v>0</v>
      </c>
    </row>
    <row r="1212" spans="1:4" x14ac:dyDescent="0.25">
      <c r="A1212" t="s">
        <v>72</v>
      </c>
      <c r="B1212" s="5">
        <v>42458</v>
      </c>
      <c r="C1212" t="str">
        <f t="shared" si="18"/>
        <v>SRNBE000.86_42458</v>
      </c>
      <c r="D1212">
        <f>COUNTIF(data.SampSummary!$C$2:$C$1407,C1212)</f>
        <v>0</v>
      </c>
    </row>
    <row r="1213" spans="1:4" x14ac:dyDescent="0.25">
      <c r="A1213" t="s">
        <v>2873</v>
      </c>
      <c r="B1213" s="5">
        <v>42377</v>
      </c>
      <c r="C1213" t="str">
        <f t="shared" si="18"/>
        <v>SRGIB000.11_42377</v>
      </c>
      <c r="D1213">
        <f>COUNTIF(data.SampSummary!$C$2:$C$1407,C1213)</f>
        <v>0</v>
      </c>
    </row>
    <row r="1214" spans="1:4" x14ac:dyDescent="0.25">
      <c r="A1214" t="s">
        <v>318</v>
      </c>
      <c r="B1214" s="5">
        <v>42332</v>
      </c>
      <c r="C1214" t="str">
        <f t="shared" si="18"/>
        <v>VROAK042.78_42332</v>
      </c>
      <c r="D1214">
        <f>COUNTIF(data.SampSummary!$C$2:$C$1407,C1214)</f>
        <v>0</v>
      </c>
    </row>
    <row r="1215" spans="1:4" x14ac:dyDescent="0.25">
      <c r="A1215" t="s">
        <v>180</v>
      </c>
      <c r="B1215" s="5">
        <v>39169</v>
      </c>
      <c r="C1215" t="str">
        <f t="shared" si="18"/>
        <v>LCMRS043.17_39169</v>
      </c>
      <c r="D1215">
        <f>COUNTIF(data.SampSummary!$C$2:$C$1407,C1215)</f>
        <v>0</v>
      </c>
    </row>
    <row r="1216" spans="1:4" x14ac:dyDescent="0.25">
      <c r="A1216" t="s">
        <v>357</v>
      </c>
      <c r="B1216" s="5">
        <v>38572</v>
      </c>
      <c r="C1216" t="str">
        <f t="shared" si="18"/>
        <v>UGSFR034.57_38572</v>
      </c>
      <c r="D1216">
        <f>COUNTIF(data.SampSummary!$C$2:$C$1407,C1216)</f>
        <v>0</v>
      </c>
    </row>
    <row r="1217" spans="1:4" x14ac:dyDescent="0.25">
      <c r="A1217" t="s">
        <v>2870</v>
      </c>
      <c r="B1217" s="5">
        <v>39301</v>
      </c>
      <c r="C1217" t="str">
        <f t="shared" si="18"/>
        <v>SRPNT027.51_39301</v>
      </c>
      <c r="D1217">
        <f>COUNTIF(data.SampSummary!$C$2:$C$1407,C1217)</f>
        <v>0</v>
      </c>
    </row>
    <row r="1218" spans="1:4" x14ac:dyDescent="0.25">
      <c r="A1218" t="s">
        <v>158</v>
      </c>
      <c r="B1218" s="5">
        <v>41043</v>
      </c>
      <c r="C1218" t="str">
        <f t="shared" si="18"/>
        <v>SPTUR028.53_41043</v>
      </c>
      <c r="D1218">
        <f>COUNTIF(data.SampSummary!$C$2:$C$1407,C1218)</f>
        <v>1</v>
      </c>
    </row>
    <row r="1219" spans="1:4" x14ac:dyDescent="0.25">
      <c r="A1219" t="s">
        <v>2840</v>
      </c>
      <c r="B1219" s="5">
        <v>39301</v>
      </c>
      <c r="C1219" t="str">
        <f t="shared" ref="C1219:C1282" si="19">A1219&amp;"_"&amp;B1219</f>
        <v>UGEAG011.51_39301</v>
      </c>
      <c r="D1219">
        <f>COUNTIF(data.SampSummary!$C$2:$C$1407,C1219)</f>
        <v>0</v>
      </c>
    </row>
    <row r="1220" spans="1:4" x14ac:dyDescent="0.25">
      <c r="A1220" t="s">
        <v>54</v>
      </c>
      <c r="B1220" s="5">
        <v>38580</v>
      </c>
      <c r="C1220" t="str">
        <f t="shared" si="19"/>
        <v>UGCOL003.48_38580</v>
      </c>
      <c r="D1220">
        <f>COUNTIF(data.SampSummary!$C$2:$C$1407,C1220)</f>
        <v>0</v>
      </c>
    </row>
    <row r="1221" spans="1:4" x14ac:dyDescent="0.25">
      <c r="A1221" t="s">
        <v>350</v>
      </c>
      <c r="B1221" s="5">
        <v>39300</v>
      </c>
      <c r="C1221" t="str">
        <f t="shared" si="19"/>
        <v>UGGLR448.61_39300</v>
      </c>
      <c r="D1221">
        <f>COUNTIF(data.SampSummary!$C$2:$C$1407,C1221)</f>
        <v>0</v>
      </c>
    </row>
    <row r="1222" spans="1:4" x14ac:dyDescent="0.25">
      <c r="A1222" t="s">
        <v>1726</v>
      </c>
      <c r="B1222" s="5">
        <v>38587</v>
      </c>
      <c r="C1222" t="str">
        <f t="shared" si="19"/>
        <v>SCSAB005.40_38587</v>
      </c>
      <c r="D1222">
        <f>COUNTIF(data.SampSummary!$C$2:$C$1407,C1222)</f>
        <v>0</v>
      </c>
    </row>
    <row r="1223" spans="1:4" x14ac:dyDescent="0.25">
      <c r="A1223" t="s">
        <v>342</v>
      </c>
      <c r="B1223" s="5">
        <v>38623</v>
      </c>
      <c r="C1223" t="str">
        <f t="shared" si="19"/>
        <v>UGBON000.17_38623</v>
      </c>
      <c r="D1223">
        <f>COUNTIF(data.SampSummary!$C$2:$C$1407,C1223)</f>
        <v>0</v>
      </c>
    </row>
    <row r="1224" spans="1:4" x14ac:dyDescent="0.25">
      <c r="A1224" t="s">
        <v>2829</v>
      </c>
      <c r="B1224" s="5">
        <v>38624</v>
      </c>
      <c r="C1224" t="str">
        <f t="shared" si="19"/>
        <v>UGA1H011.08_38624</v>
      </c>
      <c r="D1224">
        <f>COUNTIF(data.SampSummary!$C$2:$C$1407,C1224)</f>
        <v>0</v>
      </c>
    </row>
    <row r="1225" spans="1:4" x14ac:dyDescent="0.25">
      <c r="A1225" t="s">
        <v>2823</v>
      </c>
      <c r="B1225" s="5">
        <v>38672</v>
      </c>
      <c r="C1225" t="str">
        <f t="shared" si="19"/>
        <v>SCNGW004.87_38672</v>
      </c>
      <c r="D1225">
        <f>COUNTIF(data.SampSummary!$C$2:$C$1407,C1225)</f>
        <v>0</v>
      </c>
    </row>
    <row r="1226" spans="1:4" x14ac:dyDescent="0.25">
      <c r="A1226" t="s">
        <v>2857</v>
      </c>
      <c r="B1226" s="5">
        <v>39947</v>
      </c>
      <c r="C1226" t="str">
        <f t="shared" si="19"/>
        <v>MGHSR000.77_39947</v>
      </c>
      <c r="D1226">
        <f>COUNTIF(data.SampSummary!$C$2:$C$1407,C1226)</f>
        <v>0</v>
      </c>
    </row>
    <row r="1227" spans="1:4" x14ac:dyDescent="0.25">
      <c r="A1227" t="s">
        <v>2904</v>
      </c>
      <c r="B1227" s="5">
        <v>38748</v>
      </c>
      <c r="C1227" t="str">
        <f t="shared" si="19"/>
        <v>SPSPR127.50_38748</v>
      </c>
      <c r="D1227">
        <f>COUNTIF(data.SampSummary!$C$2:$C$1407,C1227)</f>
        <v>0</v>
      </c>
    </row>
    <row r="1228" spans="1:4" x14ac:dyDescent="0.25">
      <c r="A1228" t="s">
        <v>2900</v>
      </c>
      <c r="B1228" s="5">
        <v>38748</v>
      </c>
      <c r="C1228" t="str">
        <f t="shared" si="19"/>
        <v>SPSPR134.35_38748</v>
      </c>
      <c r="D1228">
        <f>COUNTIF(data.SampSummary!$C$2:$C$1407,C1228)</f>
        <v>0</v>
      </c>
    </row>
    <row r="1229" spans="1:4" x14ac:dyDescent="0.25">
      <c r="A1229" t="s">
        <v>2884</v>
      </c>
      <c r="B1229" s="5">
        <v>38748</v>
      </c>
      <c r="C1229" t="str">
        <f t="shared" si="19"/>
        <v>SPSPR144.76_38748</v>
      </c>
      <c r="D1229">
        <f>COUNTIF(data.SampSummary!$C$2:$C$1407,C1229)</f>
        <v>0</v>
      </c>
    </row>
    <row r="1230" spans="1:4" x14ac:dyDescent="0.25">
      <c r="A1230" t="s">
        <v>192</v>
      </c>
      <c r="B1230" s="5">
        <v>38748</v>
      </c>
      <c r="C1230" t="str">
        <f t="shared" si="19"/>
        <v>SPSPR150.09_38748</v>
      </c>
      <c r="D1230">
        <f>COUNTIF(data.SampSummary!$C$2:$C$1407,C1230)</f>
        <v>0</v>
      </c>
    </row>
    <row r="1231" spans="1:4" x14ac:dyDescent="0.25">
      <c r="A1231" t="s">
        <v>2861</v>
      </c>
      <c r="B1231" s="5">
        <v>38749</v>
      </c>
      <c r="C1231" t="str">
        <f t="shared" si="19"/>
        <v>SPSPR101.25_38749</v>
      </c>
      <c r="D1231">
        <f>COUNTIF(data.SampSummary!$C$2:$C$1407,C1231)</f>
        <v>0</v>
      </c>
    </row>
    <row r="1232" spans="1:4" x14ac:dyDescent="0.25">
      <c r="A1232" t="s">
        <v>2905</v>
      </c>
      <c r="B1232" s="5">
        <v>38749</v>
      </c>
      <c r="C1232" t="str">
        <f t="shared" si="19"/>
        <v>SPSPR105.49_38749</v>
      </c>
      <c r="D1232">
        <f>COUNTIF(data.SampSummary!$C$2:$C$1407,C1232)</f>
        <v>0</v>
      </c>
    </row>
    <row r="1233" spans="1:4" x14ac:dyDescent="0.25">
      <c r="A1233" t="s">
        <v>2876</v>
      </c>
      <c r="B1233" s="5">
        <v>38749</v>
      </c>
      <c r="C1233" t="str">
        <f t="shared" si="19"/>
        <v>SPSPR120.47_38749</v>
      </c>
      <c r="D1233">
        <f>COUNTIF(data.SampSummary!$C$2:$C$1407,C1233)</f>
        <v>0</v>
      </c>
    </row>
    <row r="1234" spans="1:4" x14ac:dyDescent="0.25">
      <c r="A1234" t="s">
        <v>2906</v>
      </c>
      <c r="B1234" s="5">
        <v>38774</v>
      </c>
      <c r="C1234" t="str">
        <f t="shared" si="19"/>
        <v>LCLCR222.38_38774</v>
      </c>
      <c r="D1234">
        <f>COUNTIF(data.SampSummary!$C$2:$C$1407,C1234)</f>
        <v>0</v>
      </c>
    </row>
    <row r="1235" spans="1:4" x14ac:dyDescent="0.25">
      <c r="A1235" t="s">
        <v>166</v>
      </c>
      <c r="B1235" s="5">
        <v>39884</v>
      </c>
      <c r="C1235" t="str">
        <f t="shared" si="19"/>
        <v>SPMLC013.56_39884</v>
      </c>
      <c r="D1235">
        <f>COUNTIF(data.SampSummary!$C$2:$C$1407,C1235)</f>
        <v>0</v>
      </c>
    </row>
    <row r="1236" spans="1:4" x14ac:dyDescent="0.25">
      <c r="A1236" t="s">
        <v>2775</v>
      </c>
      <c r="B1236" s="5">
        <v>38818</v>
      </c>
      <c r="C1236" t="str">
        <f t="shared" si="19"/>
        <v>SCSON018.31_38818</v>
      </c>
      <c r="D1236">
        <f>COUNTIF(data.SampSummary!$C$2:$C$1407,C1236)</f>
        <v>0</v>
      </c>
    </row>
    <row r="1237" spans="1:4" x14ac:dyDescent="0.25">
      <c r="A1237" t="s">
        <v>263</v>
      </c>
      <c r="B1237" s="5">
        <v>38832</v>
      </c>
      <c r="C1237" t="str">
        <f t="shared" si="19"/>
        <v>UGBON003.68_38832</v>
      </c>
      <c r="D1237">
        <f>COUNTIF(data.SampSummary!$C$2:$C$1407,C1237)</f>
        <v>1</v>
      </c>
    </row>
    <row r="1238" spans="1:4" x14ac:dyDescent="0.25">
      <c r="A1238" t="s">
        <v>320</v>
      </c>
      <c r="B1238" s="5">
        <v>38832</v>
      </c>
      <c r="C1238" t="str">
        <f t="shared" si="19"/>
        <v>UGGLR452.43_38832</v>
      </c>
      <c r="D1238">
        <f>COUNTIF(data.SampSummary!$C$2:$C$1407,C1238)</f>
        <v>0</v>
      </c>
    </row>
    <row r="1239" spans="1:4" x14ac:dyDescent="0.25">
      <c r="A1239" t="s">
        <v>39</v>
      </c>
      <c r="B1239" s="5">
        <v>38833</v>
      </c>
      <c r="C1239" t="str">
        <f t="shared" si="19"/>
        <v>UGFRY009.52_38833</v>
      </c>
      <c r="D1239">
        <f>COUNTIF(data.SampSummary!$C$2:$C$1407,C1239)</f>
        <v>1</v>
      </c>
    </row>
    <row r="1240" spans="1:4" x14ac:dyDescent="0.25">
      <c r="A1240" t="s">
        <v>1577</v>
      </c>
      <c r="B1240" s="5">
        <v>38845</v>
      </c>
      <c r="C1240" t="str">
        <f t="shared" si="19"/>
        <v>UGSCV002.56_38845</v>
      </c>
      <c r="D1240">
        <f>COUNTIF(data.SampSummary!$C$2:$C$1407,C1240)</f>
        <v>1</v>
      </c>
    </row>
    <row r="1241" spans="1:4" x14ac:dyDescent="0.25">
      <c r="A1241" t="s">
        <v>79</v>
      </c>
      <c r="B1241" s="5">
        <v>38846</v>
      </c>
      <c r="C1241" t="str">
        <f t="shared" si="19"/>
        <v>UGETK011.80_38846</v>
      </c>
      <c r="D1241">
        <f>COUNTIF(data.SampSummary!$C$2:$C$1407,C1241)</f>
        <v>0</v>
      </c>
    </row>
    <row r="1242" spans="1:4" x14ac:dyDescent="0.25">
      <c r="A1242" t="s">
        <v>2820</v>
      </c>
      <c r="B1242" s="5">
        <v>38846</v>
      </c>
      <c r="C1242" t="str">
        <f t="shared" si="19"/>
        <v>UGNCV000.04_38846</v>
      </c>
      <c r="D1242">
        <f>COUNTIF(data.SampSummary!$C$2:$C$1407,C1242)</f>
        <v>0</v>
      </c>
    </row>
    <row r="1243" spans="1:4" x14ac:dyDescent="0.25">
      <c r="A1243" t="s">
        <v>216</v>
      </c>
      <c r="B1243" s="5">
        <v>41193</v>
      </c>
      <c r="C1243" t="str">
        <f t="shared" si="19"/>
        <v>MGSSW000.38_41193</v>
      </c>
      <c r="D1243">
        <f>COUNTIF(data.SampSummary!$C$2:$C$1407,C1243)</f>
        <v>0</v>
      </c>
    </row>
    <row r="1244" spans="1:4" x14ac:dyDescent="0.25">
      <c r="A1244" t="s">
        <v>2861</v>
      </c>
      <c r="B1244" s="5">
        <v>38925</v>
      </c>
      <c r="C1244" t="str">
        <f t="shared" si="19"/>
        <v>SPSPR101.25_38925</v>
      </c>
      <c r="D1244">
        <f>COUNTIF(data.SampSummary!$C$2:$C$1407,C1244)</f>
        <v>0</v>
      </c>
    </row>
    <row r="1245" spans="1:4" x14ac:dyDescent="0.25">
      <c r="A1245" t="s">
        <v>2904</v>
      </c>
      <c r="B1245" s="5">
        <v>38925</v>
      </c>
      <c r="C1245" t="str">
        <f t="shared" si="19"/>
        <v>SPSPR127.50_38925</v>
      </c>
      <c r="D1245">
        <f>COUNTIF(data.SampSummary!$C$2:$C$1407,C1245)</f>
        <v>0</v>
      </c>
    </row>
    <row r="1246" spans="1:4" x14ac:dyDescent="0.25">
      <c r="A1246" t="s">
        <v>192</v>
      </c>
      <c r="B1246" s="5">
        <v>38925</v>
      </c>
      <c r="C1246" t="str">
        <f t="shared" si="19"/>
        <v>SPSPR150.09_38925</v>
      </c>
      <c r="D1246">
        <f>COUNTIF(data.SampSummary!$C$2:$C$1407,C1246)</f>
        <v>0</v>
      </c>
    </row>
    <row r="1247" spans="1:4" x14ac:dyDescent="0.25">
      <c r="A1247" t="s">
        <v>2861</v>
      </c>
      <c r="B1247" s="5">
        <v>38936</v>
      </c>
      <c r="C1247" t="str">
        <f t="shared" si="19"/>
        <v>SPSPR101.25_38936</v>
      </c>
      <c r="D1247">
        <f>COUNTIF(data.SampSummary!$C$2:$C$1407,C1247)</f>
        <v>0</v>
      </c>
    </row>
    <row r="1248" spans="1:4" x14ac:dyDescent="0.25">
      <c r="A1248" t="s">
        <v>2904</v>
      </c>
      <c r="B1248" s="5">
        <v>38936</v>
      </c>
      <c r="C1248" t="str">
        <f t="shared" si="19"/>
        <v>SPSPR127.50_38936</v>
      </c>
      <c r="D1248">
        <f>COUNTIF(data.SampSummary!$C$2:$C$1407,C1248)</f>
        <v>0</v>
      </c>
    </row>
    <row r="1249" spans="1:4" x14ac:dyDescent="0.25">
      <c r="A1249" t="s">
        <v>2884</v>
      </c>
      <c r="B1249" s="5">
        <v>38936</v>
      </c>
      <c r="C1249" t="str">
        <f t="shared" si="19"/>
        <v>SPSPR144.76_38936</v>
      </c>
      <c r="D1249">
        <f>COUNTIF(data.SampSummary!$C$2:$C$1407,C1249)</f>
        <v>0</v>
      </c>
    </row>
    <row r="1250" spans="1:4" x14ac:dyDescent="0.25">
      <c r="A1250" t="s">
        <v>192</v>
      </c>
      <c r="B1250" s="5">
        <v>38936</v>
      </c>
      <c r="C1250" t="str">
        <f t="shared" si="19"/>
        <v>SPSPR150.09_38936</v>
      </c>
      <c r="D1250">
        <f>COUNTIF(data.SampSummary!$C$2:$C$1407,C1250)</f>
        <v>0</v>
      </c>
    </row>
    <row r="1251" spans="1:4" x14ac:dyDescent="0.25">
      <c r="A1251" t="s">
        <v>2907</v>
      </c>
      <c r="B1251" s="5">
        <v>38946</v>
      </c>
      <c r="C1251" t="str">
        <f t="shared" si="19"/>
        <v>SPRMC010.62_38946</v>
      </c>
      <c r="D1251">
        <f>COUNTIF(data.SampSummary!$C$2:$C$1407,C1251)</f>
        <v>0</v>
      </c>
    </row>
    <row r="1252" spans="1:4" x14ac:dyDescent="0.25">
      <c r="A1252" t="s">
        <v>2876</v>
      </c>
      <c r="B1252" s="5">
        <v>38946</v>
      </c>
      <c r="C1252" t="str">
        <f t="shared" si="19"/>
        <v>SPSPR120.47_38946</v>
      </c>
      <c r="D1252">
        <f>COUNTIF(data.SampSummary!$C$2:$C$1407,C1252)</f>
        <v>0</v>
      </c>
    </row>
    <row r="1253" spans="1:4" x14ac:dyDescent="0.25">
      <c r="A1253" t="s">
        <v>2905</v>
      </c>
      <c r="B1253" s="5">
        <v>38946</v>
      </c>
      <c r="C1253" t="str">
        <f t="shared" si="19"/>
        <v>SPSPR105.49_38946</v>
      </c>
      <c r="D1253">
        <f>COUNTIF(data.SampSummary!$C$2:$C$1407,C1253)</f>
        <v>0</v>
      </c>
    </row>
    <row r="1254" spans="1:4" x14ac:dyDescent="0.25">
      <c r="A1254" t="s">
        <v>2905</v>
      </c>
      <c r="B1254" s="5">
        <v>38959</v>
      </c>
      <c r="C1254" t="str">
        <f t="shared" si="19"/>
        <v>SPSPR105.49_38959</v>
      </c>
      <c r="D1254">
        <f>COUNTIF(data.SampSummary!$C$2:$C$1407,C1254)</f>
        <v>0</v>
      </c>
    </row>
    <row r="1255" spans="1:4" x14ac:dyDescent="0.25">
      <c r="A1255" t="s">
        <v>2907</v>
      </c>
      <c r="B1255" s="5">
        <v>38960</v>
      </c>
      <c r="C1255" t="str">
        <f t="shared" si="19"/>
        <v>SPRMC010.62_38960</v>
      </c>
      <c r="D1255">
        <f>COUNTIF(data.SampSummary!$C$2:$C$1407,C1255)</f>
        <v>0</v>
      </c>
    </row>
    <row r="1256" spans="1:4" x14ac:dyDescent="0.25">
      <c r="A1256" t="s">
        <v>2908</v>
      </c>
      <c r="B1256" s="5">
        <v>39034</v>
      </c>
      <c r="C1256" t="str">
        <f t="shared" si="19"/>
        <v>LCECL040.69_39034</v>
      </c>
      <c r="D1256">
        <f>COUNTIF(data.SampSummary!$C$2:$C$1407,C1256)</f>
        <v>0</v>
      </c>
    </row>
    <row r="1257" spans="1:4" x14ac:dyDescent="0.25">
      <c r="A1257" t="s">
        <v>2837</v>
      </c>
      <c r="B1257" s="5">
        <v>39034</v>
      </c>
      <c r="C1257" t="str">
        <f t="shared" si="19"/>
        <v>LCNUT012.99_39034</v>
      </c>
      <c r="D1257">
        <f>COUNTIF(data.SampSummary!$C$2:$C$1407,C1257)</f>
        <v>0</v>
      </c>
    </row>
    <row r="1258" spans="1:4" x14ac:dyDescent="0.25">
      <c r="A1258" t="s">
        <v>188</v>
      </c>
      <c r="B1258" s="5">
        <v>39784</v>
      </c>
      <c r="C1258" t="str">
        <f t="shared" si="19"/>
        <v>SCSYR004.21_39784</v>
      </c>
      <c r="D1258">
        <f>COUNTIF(data.SampSummary!$C$2:$C$1407,C1258)</f>
        <v>0</v>
      </c>
    </row>
    <row r="1259" spans="1:4" x14ac:dyDescent="0.25">
      <c r="A1259" t="s">
        <v>55</v>
      </c>
      <c r="B1259" s="5">
        <v>39771</v>
      </c>
      <c r="C1259" t="str">
        <f t="shared" si="19"/>
        <v>UGTRY001.56_39771</v>
      </c>
      <c r="D1259">
        <f>COUNTIF(data.SampSummary!$C$2:$C$1407,C1259)</f>
        <v>0</v>
      </c>
    </row>
    <row r="1260" spans="1:4" x14ac:dyDescent="0.25">
      <c r="A1260" t="s">
        <v>87</v>
      </c>
      <c r="B1260" s="5">
        <v>39035</v>
      </c>
      <c r="C1260" t="str">
        <f t="shared" si="19"/>
        <v>LCLVL001.32_39035</v>
      </c>
      <c r="D1260">
        <f>COUNTIF(data.SampSummary!$C$2:$C$1407,C1260)</f>
        <v>0</v>
      </c>
    </row>
    <row r="1261" spans="1:4" x14ac:dyDescent="0.25">
      <c r="A1261" t="s">
        <v>107</v>
      </c>
      <c r="B1261" s="5">
        <v>39035</v>
      </c>
      <c r="C1261" t="str">
        <f t="shared" si="19"/>
        <v>LCELR007.19_39035</v>
      </c>
      <c r="D1261">
        <f>COUNTIF(data.SampSummary!$C$2:$C$1407,C1261)</f>
        <v>0</v>
      </c>
    </row>
    <row r="1262" spans="1:4" x14ac:dyDescent="0.25">
      <c r="A1262" t="s">
        <v>180</v>
      </c>
      <c r="B1262" s="5">
        <v>39035</v>
      </c>
      <c r="C1262" t="str">
        <f t="shared" si="19"/>
        <v>LCMRS043.17_39035</v>
      </c>
      <c r="D1262">
        <f>COUNTIF(data.SampSummary!$C$2:$C$1407,C1262)</f>
        <v>0</v>
      </c>
    </row>
    <row r="1263" spans="1:4" x14ac:dyDescent="0.25">
      <c r="A1263" t="s">
        <v>25</v>
      </c>
      <c r="B1263" s="5">
        <v>39035</v>
      </c>
      <c r="C1263" t="str">
        <f t="shared" si="19"/>
        <v>LCMLK001.18_39035</v>
      </c>
      <c r="D1263">
        <f>COUNTIF(data.SampSummary!$C$2:$C$1407,C1263)</f>
        <v>0</v>
      </c>
    </row>
    <row r="1264" spans="1:4" x14ac:dyDescent="0.25">
      <c r="A1264" t="s">
        <v>42</v>
      </c>
      <c r="B1264" s="5">
        <v>39770</v>
      </c>
      <c r="C1264" t="str">
        <f t="shared" si="19"/>
        <v>UGLAN000.60_39770</v>
      </c>
      <c r="D1264">
        <f>COUNTIF(data.SampSummary!$C$2:$C$1407,C1264)</f>
        <v>0</v>
      </c>
    </row>
    <row r="1265" spans="1:4" x14ac:dyDescent="0.25">
      <c r="A1265" t="s">
        <v>2838</v>
      </c>
      <c r="B1265" s="5">
        <v>39036</v>
      </c>
      <c r="C1265" t="str">
        <f t="shared" si="19"/>
        <v>LCSIL024.83_39036</v>
      </c>
      <c r="D1265">
        <f>COUNTIF(data.SampSummary!$C$2:$C$1407,C1265)</f>
        <v>0</v>
      </c>
    </row>
    <row r="1266" spans="1:4" x14ac:dyDescent="0.25">
      <c r="A1266" t="s">
        <v>153</v>
      </c>
      <c r="B1266" s="5">
        <v>39036</v>
      </c>
      <c r="C1266" t="str">
        <f t="shared" si="19"/>
        <v>LCRIG004.87_39036</v>
      </c>
      <c r="D1266">
        <f>COUNTIF(data.SampSummary!$C$2:$C$1407,C1266)</f>
        <v>0</v>
      </c>
    </row>
    <row r="1267" spans="1:4" x14ac:dyDescent="0.25">
      <c r="A1267" t="s">
        <v>96</v>
      </c>
      <c r="B1267" s="5">
        <v>39036</v>
      </c>
      <c r="C1267" t="str">
        <f t="shared" si="19"/>
        <v>LCBEN002.57_39036</v>
      </c>
      <c r="D1267">
        <f>COUNTIF(data.SampSummary!$C$2:$C$1407,C1267)</f>
        <v>0</v>
      </c>
    </row>
    <row r="1268" spans="1:4" x14ac:dyDescent="0.25">
      <c r="A1268" t="s">
        <v>232</v>
      </c>
      <c r="B1268" s="5">
        <v>39042</v>
      </c>
      <c r="C1268" t="str">
        <f t="shared" si="19"/>
        <v>SCSON016.78_39042</v>
      </c>
      <c r="D1268">
        <f>COUNTIF(data.SampSummary!$C$2:$C$1407,C1268)</f>
        <v>0</v>
      </c>
    </row>
    <row r="1269" spans="1:4" x14ac:dyDescent="0.25">
      <c r="A1269" t="s">
        <v>1630</v>
      </c>
      <c r="B1269" s="5">
        <v>39762</v>
      </c>
      <c r="C1269" t="str">
        <f t="shared" si="19"/>
        <v>SPWRC000.09_39762</v>
      </c>
      <c r="D1269">
        <f>COUNTIF(data.SampSummary!$C$2:$C$1407,C1269)</f>
        <v>1</v>
      </c>
    </row>
    <row r="1270" spans="1:4" x14ac:dyDescent="0.25">
      <c r="A1270" t="s">
        <v>62</v>
      </c>
      <c r="B1270" s="5">
        <v>39050</v>
      </c>
      <c r="C1270" t="str">
        <f t="shared" si="19"/>
        <v>LCBRB006.74_39050</v>
      </c>
      <c r="D1270">
        <f>COUNTIF(data.SampSummary!$C$2:$C$1407,C1270)</f>
        <v>0</v>
      </c>
    </row>
    <row r="1271" spans="1:4" x14ac:dyDescent="0.25">
      <c r="A1271" t="s">
        <v>2904</v>
      </c>
      <c r="B1271" s="5">
        <v>39057</v>
      </c>
      <c r="C1271" t="str">
        <f t="shared" si="19"/>
        <v>SPSPR127.50_39057</v>
      </c>
      <c r="D1271">
        <f>COUNTIF(data.SampSummary!$C$2:$C$1407,C1271)</f>
        <v>0</v>
      </c>
    </row>
    <row r="1272" spans="1:4" x14ac:dyDescent="0.25">
      <c r="A1272" t="s">
        <v>192</v>
      </c>
      <c r="B1272" s="5">
        <v>39057</v>
      </c>
      <c r="C1272" t="str">
        <f t="shared" si="19"/>
        <v>SPSPR150.09_39057</v>
      </c>
      <c r="D1272">
        <f>COUNTIF(data.SampSummary!$C$2:$C$1407,C1272)</f>
        <v>0</v>
      </c>
    </row>
    <row r="1273" spans="1:4" x14ac:dyDescent="0.25">
      <c r="A1273" t="s">
        <v>2861</v>
      </c>
      <c r="B1273" s="5">
        <v>39058</v>
      </c>
      <c r="C1273" t="str">
        <f t="shared" si="19"/>
        <v>SPSPR101.25_39058</v>
      </c>
      <c r="D1273">
        <f>COUNTIF(data.SampSummary!$C$2:$C$1407,C1273)</f>
        <v>0</v>
      </c>
    </row>
    <row r="1274" spans="1:4" x14ac:dyDescent="0.25">
      <c r="A1274" t="s">
        <v>2811</v>
      </c>
      <c r="B1274" s="5">
        <v>39139</v>
      </c>
      <c r="C1274" t="str">
        <f t="shared" si="19"/>
        <v>LCLCR216.67_39139</v>
      </c>
      <c r="D1274">
        <f>COUNTIF(data.SampSummary!$C$2:$C$1407,C1274)</f>
        <v>0</v>
      </c>
    </row>
    <row r="1275" spans="1:4" x14ac:dyDescent="0.25">
      <c r="A1275" t="s">
        <v>2830</v>
      </c>
      <c r="B1275" s="5">
        <v>39140</v>
      </c>
      <c r="C1275" t="str">
        <f t="shared" si="19"/>
        <v>LCLCR200.23_39140</v>
      </c>
      <c r="D1275">
        <f>COUNTIF(data.SampSummary!$C$2:$C$1407,C1275)</f>
        <v>0</v>
      </c>
    </row>
    <row r="1276" spans="1:4" x14ac:dyDescent="0.25">
      <c r="A1276" t="s">
        <v>2841</v>
      </c>
      <c r="B1276" s="5">
        <v>39140</v>
      </c>
      <c r="C1276" t="str">
        <f t="shared" si="19"/>
        <v>LCLCR206.75_39140</v>
      </c>
      <c r="D1276">
        <f>COUNTIF(data.SampSummary!$C$2:$C$1407,C1276)</f>
        <v>0</v>
      </c>
    </row>
    <row r="1277" spans="1:4" x14ac:dyDescent="0.25">
      <c r="A1277" t="s">
        <v>188</v>
      </c>
      <c r="B1277" s="5">
        <v>39680</v>
      </c>
      <c r="C1277" t="str">
        <f t="shared" si="19"/>
        <v>SCSYR004.21_39680</v>
      </c>
      <c r="D1277">
        <f>COUNTIF(data.SampSummary!$C$2:$C$1407,C1277)</f>
        <v>0</v>
      </c>
    </row>
    <row r="1278" spans="1:4" x14ac:dyDescent="0.25">
      <c r="A1278" t="s">
        <v>153</v>
      </c>
      <c r="B1278" s="5">
        <v>39169</v>
      </c>
      <c r="C1278" t="str">
        <f t="shared" si="19"/>
        <v>LCRIG004.87_39169</v>
      </c>
      <c r="D1278">
        <f>COUNTIF(data.SampSummary!$C$2:$C$1407,C1278)</f>
        <v>0</v>
      </c>
    </row>
    <row r="1279" spans="1:4" x14ac:dyDescent="0.25">
      <c r="A1279" t="s">
        <v>87</v>
      </c>
      <c r="B1279" s="5">
        <v>39191</v>
      </c>
      <c r="C1279" t="str">
        <f t="shared" si="19"/>
        <v>LCLVL001.32_39191</v>
      </c>
      <c r="D1279">
        <f>COUNTIF(data.SampSummary!$C$2:$C$1407,C1279)</f>
        <v>0</v>
      </c>
    </row>
    <row r="1280" spans="1:4" x14ac:dyDescent="0.25">
      <c r="A1280" t="s">
        <v>142</v>
      </c>
      <c r="B1280" s="5">
        <v>40359</v>
      </c>
      <c r="C1280" t="str">
        <f t="shared" si="19"/>
        <v>LCLCR336.72_40359</v>
      </c>
      <c r="D1280">
        <f>COUNTIF(data.SampSummary!$C$2:$C$1407,C1280)</f>
        <v>1</v>
      </c>
    </row>
    <row r="1281" spans="1:4" x14ac:dyDescent="0.25">
      <c r="A1281" t="s">
        <v>2908</v>
      </c>
      <c r="B1281" s="5">
        <v>39203</v>
      </c>
      <c r="C1281" t="str">
        <f t="shared" si="19"/>
        <v>LCECL040.69_39203</v>
      </c>
      <c r="D1281">
        <f>COUNTIF(data.SampSummary!$C$2:$C$1407,C1281)</f>
        <v>0</v>
      </c>
    </row>
    <row r="1282" spans="1:4" x14ac:dyDescent="0.25">
      <c r="A1282" t="s">
        <v>138</v>
      </c>
      <c r="B1282" s="5">
        <v>39204</v>
      </c>
      <c r="C1282" t="str">
        <f t="shared" si="19"/>
        <v>LCECL018.17_39204</v>
      </c>
      <c r="D1282">
        <f>COUNTIF(data.SampSummary!$C$2:$C$1407,C1282)</f>
        <v>1</v>
      </c>
    </row>
    <row r="1283" spans="1:4" x14ac:dyDescent="0.25">
      <c r="A1283" t="s">
        <v>94</v>
      </c>
      <c r="B1283" s="5">
        <v>40353</v>
      </c>
      <c r="C1283" t="str">
        <f t="shared" ref="C1283:C1346" si="20">A1283&amp;"_"&amp;B1283</f>
        <v>LCMAM002.05_40353</v>
      </c>
      <c r="D1283">
        <f>COUNTIF(data.SampSummary!$C$2:$C$1407,C1283)</f>
        <v>1</v>
      </c>
    </row>
    <row r="1284" spans="1:4" x14ac:dyDescent="0.25">
      <c r="A1284" t="s">
        <v>96</v>
      </c>
      <c r="B1284" s="5">
        <v>39211</v>
      </c>
      <c r="C1284" t="str">
        <f t="shared" si="20"/>
        <v>LCBEN002.57_39211</v>
      </c>
      <c r="D1284">
        <f>COUNTIF(data.SampSummary!$C$2:$C$1407,C1284)</f>
        <v>1</v>
      </c>
    </row>
    <row r="1285" spans="1:4" x14ac:dyDescent="0.25">
      <c r="A1285" t="s">
        <v>153</v>
      </c>
      <c r="B1285" s="5">
        <v>39212</v>
      </c>
      <c r="C1285" t="str">
        <f t="shared" si="20"/>
        <v>LCRIG004.87_39212</v>
      </c>
      <c r="D1285">
        <f>COUNTIF(data.SampSummary!$C$2:$C$1407,C1285)</f>
        <v>1</v>
      </c>
    </row>
    <row r="1286" spans="1:4" x14ac:dyDescent="0.25">
      <c r="A1286" t="s">
        <v>2908</v>
      </c>
      <c r="B1286" s="5">
        <v>39219</v>
      </c>
      <c r="C1286" t="str">
        <f t="shared" si="20"/>
        <v>LCECL040.69_39219</v>
      </c>
      <c r="D1286">
        <f>COUNTIF(data.SampSummary!$C$2:$C$1407,C1286)</f>
        <v>0</v>
      </c>
    </row>
    <row r="1287" spans="1:4" x14ac:dyDescent="0.25">
      <c r="A1287" t="s">
        <v>2836</v>
      </c>
      <c r="B1287" s="5">
        <v>39232</v>
      </c>
      <c r="C1287" t="str">
        <f t="shared" si="20"/>
        <v>CLGLR010.53_39232</v>
      </c>
      <c r="D1287">
        <f>COUNTIF(data.SampSummary!$C$2:$C$1407,C1287)</f>
        <v>0</v>
      </c>
    </row>
    <row r="1288" spans="1:4" x14ac:dyDescent="0.25">
      <c r="A1288" t="s">
        <v>56</v>
      </c>
      <c r="B1288" s="5">
        <v>39237</v>
      </c>
      <c r="C1288" t="str">
        <f t="shared" si="20"/>
        <v>LCHAL008.83_39237</v>
      </c>
      <c r="D1288">
        <f>COUNTIF(data.SampSummary!$C$2:$C$1407,C1288)</f>
        <v>0</v>
      </c>
    </row>
    <row r="1289" spans="1:4" x14ac:dyDescent="0.25">
      <c r="A1289" t="s">
        <v>118</v>
      </c>
      <c r="B1289" s="5">
        <v>40302</v>
      </c>
      <c r="C1289" t="str">
        <f t="shared" si="20"/>
        <v>LCSIL027.05_40302</v>
      </c>
      <c r="D1289">
        <f>COUNTIF(data.SampSummary!$C$2:$C$1407,C1289)</f>
        <v>0</v>
      </c>
    </row>
    <row r="1290" spans="1:4" x14ac:dyDescent="0.25">
      <c r="A1290" t="s">
        <v>56</v>
      </c>
      <c r="B1290" s="5">
        <v>39238</v>
      </c>
      <c r="C1290" t="str">
        <f t="shared" si="20"/>
        <v>LCHAL008.83_39238</v>
      </c>
      <c r="D1290">
        <f>COUNTIF(data.SampSummary!$C$2:$C$1407,C1290)</f>
        <v>2</v>
      </c>
    </row>
    <row r="1291" spans="1:4" x14ac:dyDescent="0.25">
      <c r="A1291" t="s">
        <v>385</v>
      </c>
      <c r="B1291" s="5">
        <v>40295</v>
      </c>
      <c r="C1291" t="str">
        <f t="shared" si="20"/>
        <v>CGBDW000.99_40295</v>
      </c>
      <c r="D1291">
        <f>COUNTIF(data.SampSummary!$C$2:$C$1407,C1291)</f>
        <v>1</v>
      </c>
    </row>
    <row r="1292" spans="1:4" x14ac:dyDescent="0.25">
      <c r="A1292" t="s">
        <v>2813</v>
      </c>
      <c r="B1292" s="5">
        <v>39260</v>
      </c>
      <c r="C1292" t="str">
        <f t="shared" si="20"/>
        <v>LCWAN002.19_39260</v>
      </c>
      <c r="D1292">
        <f>COUNTIF(data.SampSummary!$C$2:$C$1407,C1292)</f>
        <v>0</v>
      </c>
    </row>
    <row r="1293" spans="1:4" x14ac:dyDescent="0.25">
      <c r="A1293" t="s">
        <v>63</v>
      </c>
      <c r="B1293" s="5">
        <v>39260</v>
      </c>
      <c r="C1293" t="str">
        <f t="shared" si="20"/>
        <v>LCRUD007.23_39260</v>
      </c>
      <c r="D1293">
        <f>COUNTIF(data.SampSummary!$C$2:$C$1407,C1293)</f>
        <v>1</v>
      </c>
    </row>
    <row r="1294" spans="1:4" x14ac:dyDescent="0.25">
      <c r="A1294" t="s">
        <v>139</v>
      </c>
      <c r="B1294" s="5">
        <v>40246</v>
      </c>
      <c r="C1294" t="str">
        <f t="shared" si="20"/>
        <v>LCBIL000.01_40246</v>
      </c>
      <c r="D1294">
        <f>COUNTIF(data.SampSummary!$C$2:$C$1407,C1294)</f>
        <v>0</v>
      </c>
    </row>
    <row r="1295" spans="1:4" x14ac:dyDescent="0.25">
      <c r="A1295" t="s">
        <v>2824</v>
      </c>
      <c r="B1295" s="5">
        <v>39261</v>
      </c>
      <c r="C1295" t="str">
        <f t="shared" si="20"/>
        <v>SCSCR099.40_39261</v>
      </c>
      <c r="D1295">
        <f>COUNTIF(data.SampSummary!$C$2:$C$1407,C1295)</f>
        <v>0</v>
      </c>
    </row>
    <row r="1296" spans="1:4" x14ac:dyDescent="0.25">
      <c r="A1296" t="s">
        <v>2849</v>
      </c>
      <c r="B1296" s="5">
        <v>39261</v>
      </c>
      <c r="C1296" t="str">
        <f t="shared" si="20"/>
        <v>SCSCR096.72_39261</v>
      </c>
      <c r="D1296">
        <f>COUNTIF(data.SampSummary!$C$2:$C$1407,C1296)</f>
        <v>0</v>
      </c>
    </row>
    <row r="1297" spans="1:4" x14ac:dyDescent="0.25">
      <c r="A1297" t="s">
        <v>2773</v>
      </c>
      <c r="B1297" s="5">
        <v>39261</v>
      </c>
      <c r="C1297" t="str">
        <f t="shared" si="20"/>
        <v>SCSCR111.66_39261</v>
      </c>
      <c r="D1297">
        <f>COUNTIF(data.SampSummary!$C$2:$C$1407,C1297)</f>
        <v>0</v>
      </c>
    </row>
    <row r="1298" spans="1:4" x14ac:dyDescent="0.25">
      <c r="A1298" t="s">
        <v>350</v>
      </c>
      <c r="B1298" s="5">
        <v>39262</v>
      </c>
      <c r="C1298" t="str">
        <f t="shared" si="20"/>
        <v>UGGLR448.61_39262</v>
      </c>
      <c r="D1298">
        <f>COUNTIF(data.SampSummary!$C$2:$C$1407,C1298)</f>
        <v>0</v>
      </c>
    </row>
    <row r="1299" spans="1:4" x14ac:dyDescent="0.25">
      <c r="A1299" t="s">
        <v>85</v>
      </c>
      <c r="B1299" s="5">
        <v>39623</v>
      </c>
      <c r="C1299" t="str">
        <f t="shared" si="20"/>
        <v>SRFIS004.49_39623</v>
      </c>
      <c r="D1299">
        <f>COUNTIF(data.SampSummary!$C$2:$C$1407,C1299)</f>
        <v>1</v>
      </c>
    </row>
    <row r="1300" spans="1:4" x14ac:dyDescent="0.25">
      <c r="A1300" t="s">
        <v>2909</v>
      </c>
      <c r="B1300" s="5">
        <v>40201</v>
      </c>
      <c r="C1300" t="str">
        <f t="shared" si="20"/>
        <v>BWCBW009.00_40201</v>
      </c>
      <c r="D1300">
        <f>COUNTIF(data.SampSummary!$C$2:$C$1407,C1300)</f>
        <v>0</v>
      </c>
    </row>
    <row r="1301" spans="1:4" x14ac:dyDescent="0.25">
      <c r="A1301" t="s">
        <v>74</v>
      </c>
      <c r="B1301" s="5">
        <v>39617</v>
      </c>
      <c r="C1301" t="str">
        <f t="shared" si="20"/>
        <v>SRSTI000.38_39617</v>
      </c>
      <c r="D1301">
        <f>COUNTIF(data.SampSummary!$C$2:$C$1407,C1301)</f>
        <v>1</v>
      </c>
    </row>
    <row r="1302" spans="1:4" x14ac:dyDescent="0.25">
      <c r="A1302" t="s">
        <v>374</v>
      </c>
      <c r="B1302" s="5">
        <v>39617</v>
      </c>
      <c r="C1302" t="str">
        <f t="shared" si="20"/>
        <v>SRCOO001.92_39617</v>
      </c>
      <c r="D1302">
        <f>COUNTIF(data.SampSummary!$C$2:$C$1407,C1302)</f>
        <v>0</v>
      </c>
    </row>
    <row r="1303" spans="1:4" x14ac:dyDescent="0.25">
      <c r="A1303" t="s">
        <v>2095</v>
      </c>
      <c r="B1303" s="5">
        <v>39617</v>
      </c>
      <c r="C1303" t="str">
        <f t="shared" si="20"/>
        <v>SRBEV001.40_39617</v>
      </c>
      <c r="D1303">
        <f>COUNTIF(data.SampSummary!$C$2:$C$1407,C1303)</f>
        <v>1</v>
      </c>
    </row>
    <row r="1304" spans="1:4" x14ac:dyDescent="0.25">
      <c r="A1304" t="s">
        <v>222</v>
      </c>
      <c r="B1304" s="5">
        <v>39617</v>
      </c>
      <c r="C1304" t="str">
        <f t="shared" si="20"/>
        <v>SRCHE013.65_39617</v>
      </c>
      <c r="D1304">
        <f>COUNTIF(data.SampSummary!$C$2:$C$1407,C1304)</f>
        <v>0</v>
      </c>
    </row>
    <row r="1305" spans="1:4" x14ac:dyDescent="0.25">
      <c r="A1305" t="s">
        <v>75</v>
      </c>
      <c r="B1305" s="5">
        <v>39617</v>
      </c>
      <c r="C1305" t="str">
        <f t="shared" si="20"/>
        <v>SRBEV007.28_39617</v>
      </c>
      <c r="D1305">
        <f>COUNTIF(data.SampSummary!$C$2:$C$1407,C1305)</f>
        <v>1</v>
      </c>
    </row>
    <row r="1306" spans="1:4" x14ac:dyDescent="0.25">
      <c r="A1306" t="s">
        <v>220</v>
      </c>
      <c r="B1306" s="5">
        <v>39616</v>
      </c>
      <c r="C1306" t="str">
        <f t="shared" si="20"/>
        <v>SRWPN004.47_39616</v>
      </c>
      <c r="D1306">
        <f>COUNTIF(data.SampSummary!$C$2:$C$1407,C1306)</f>
        <v>0</v>
      </c>
    </row>
    <row r="1307" spans="1:4" x14ac:dyDescent="0.25">
      <c r="A1307" t="s">
        <v>375</v>
      </c>
      <c r="B1307" s="5">
        <v>39616</v>
      </c>
      <c r="C1307" t="str">
        <f t="shared" si="20"/>
        <v>SRPNL005.12_39616</v>
      </c>
      <c r="D1307">
        <f>COUNTIF(data.SampSummary!$C$2:$C$1407,C1307)</f>
        <v>0</v>
      </c>
    </row>
    <row r="1308" spans="1:4" x14ac:dyDescent="0.25">
      <c r="A1308" t="s">
        <v>78</v>
      </c>
      <c r="B1308" s="5">
        <v>39616</v>
      </c>
      <c r="C1308" t="str">
        <f t="shared" si="20"/>
        <v>SRHAY000.04_39616</v>
      </c>
      <c r="D1308">
        <f>COUNTIF(data.SampSummary!$C$2:$C$1407,C1308)</f>
        <v>1</v>
      </c>
    </row>
    <row r="1309" spans="1:4" x14ac:dyDescent="0.25">
      <c r="A1309" t="s">
        <v>347</v>
      </c>
      <c r="B1309" s="5">
        <v>39616</v>
      </c>
      <c r="C1309" t="str">
        <f t="shared" si="20"/>
        <v>SRCGN009.78_39616</v>
      </c>
      <c r="D1309">
        <f>COUNTIF(data.SampSummary!$C$2:$C$1407,C1309)</f>
        <v>0</v>
      </c>
    </row>
    <row r="1310" spans="1:4" x14ac:dyDescent="0.25">
      <c r="A1310" t="s">
        <v>281</v>
      </c>
      <c r="B1310" s="5">
        <v>40104</v>
      </c>
      <c r="C1310" t="str">
        <f t="shared" si="20"/>
        <v>CGCRY000.05_40104</v>
      </c>
      <c r="D1310">
        <f>COUNTIF(data.SampSummary!$C$2:$C$1407,C1310)</f>
        <v>1</v>
      </c>
    </row>
    <row r="1311" spans="1:4" x14ac:dyDescent="0.25">
      <c r="A1311" t="s">
        <v>193</v>
      </c>
      <c r="B1311" s="5">
        <v>39610</v>
      </c>
      <c r="C1311" t="str">
        <f t="shared" si="20"/>
        <v>VRSYW001.72_39610</v>
      </c>
      <c r="D1311">
        <f>COUNTIF(data.SampSummary!$C$2:$C$1407,C1311)</f>
        <v>1</v>
      </c>
    </row>
    <row r="1312" spans="1:4" x14ac:dyDescent="0.25">
      <c r="A1312" t="s">
        <v>37</v>
      </c>
      <c r="B1312" s="5">
        <v>39609</v>
      </c>
      <c r="C1312" t="str">
        <f t="shared" si="20"/>
        <v>VRWOK000.82_39609</v>
      </c>
      <c r="D1312">
        <f>COUNTIF(data.SampSummary!$C$2:$C$1407,C1312)</f>
        <v>1</v>
      </c>
    </row>
    <row r="1313" spans="1:4" x14ac:dyDescent="0.25">
      <c r="A1313" t="s">
        <v>172</v>
      </c>
      <c r="B1313" s="5">
        <v>39608</v>
      </c>
      <c r="C1313" t="str">
        <f t="shared" si="20"/>
        <v>VROAK048.92_39608</v>
      </c>
      <c r="D1313">
        <f>COUNTIF(data.SampSummary!$C$2:$C$1407,C1313)</f>
        <v>1</v>
      </c>
    </row>
    <row r="1314" spans="1:4" x14ac:dyDescent="0.25">
      <c r="A1314" t="s">
        <v>236</v>
      </c>
      <c r="B1314" s="5">
        <v>40102</v>
      </c>
      <c r="C1314" t="str">
        <f t="shared" si="20"/>
        <v>CGBRA000.44_40102</v>
      </c>
      <c r="D1314">
        <f>COUNTIF(data.SampSummary!$C$2:$C$1407,C1314)</f>
        <v>1</v>
      </c>
    </row>
    <row r="1315" spans="1:4" x14ac:dyDescent="0.25">
      <c r="A1315" t="s">
        <v>2852</v>
      </c>
      <c r="B1315" s="5">
        <v>39588</v>
      </c>
      <c r="C1315" t="str">
        <f t="shared" si="20"/>
        <v>SRSNK001.33_39588</v>
      </c>
      <c r="D1315">
        <f>COUNTIF(data.SampSummary!$C$2:$C$1407,C1315)</f>
        <v>0</v>
      </c>
    </row>
    <row r="1316" spans="1:4" x14ac:dyDescent="0.25">
      <c r="A1316" t="s">
        <v>2841</v>
      </c>
      <c r="B1316" s="5">
        <v>40063</v>
      </c>
      <c r="C1316" t="str">
        <f t="shared" si="20"/>
        <v>LCLCR206.75_40063</v>
      </c>
      <c r="D1316">
        <f>COUNTIF(data.SampSummary!$C$2:$C$1407,C1316)</f>
        <v>0</v>
      </c>
    </row>
    <row r="1317" spans="1:4" x14ac:dyDescent="0.25">
      <c r="A1317" t="s">
        <v>347</v>
      </c>
      <c r="B1317" s="5">
        <v>39570</v>
      </c>
      <c r="C1317" t="str">
        <f t="shared" si="20"/>
        <v>SRCGN009.78_39570</v>
      </c>
      <c r="D1317">
        <f>COUNTIF(data.SampSummary!$C$2:$C$1407,C1317)</f>
        <v>1</v>
      </c>
    </row>
    <row r="1318" spans="1:4" x14ac:dyDescent="0.25">
      <c r="A1318" t="s">
        <v>222</v>
      </c>
      <c r="B1318" s="5">
        <v>39569</v>
      </c>
      <c r="C1318" t="str">
        <f t="shared" si="20"/>
        <v>SRCHE013.65_39569</v>
      </c>
      <c r="D1318">
        <f>COUNTIF(data.SampSummary!$C$2:$C$1407,C1318)</f>
        <v>1</v>
      </c>
    </row>
    <row r="1319" spans="1:4" x14ac:dyDescent="0.25">
      <c r="A1319" t="s">
        <v>2841</v>
      </c>
      <c r="B1319" s="5">
        <v>40014</v>
      </c>
      <c r="C1319" t="str">
        <f t="shared" si="20"/>
        <v>LCLCR206.75_40014</v>
      </c>
      <c r="D1319">
        <f>COUNTIF(data.SampSummary!$C$2:$C$1407,C1319)</f>
        <v>0</v>
      </c>
    </row>
    <row r="1320" spans="1:4" x14ac:dyDescent="0.25">
      <c r="A1320" t="s">
        <v>261</v>
      </c>
      <c r="B1320" s="5">
        <v>39568</v>
      </c>
      <c r="C1320" t="str">
        <f t="shared" si="20"/>
        <v>VRWBV012.56_39568</v>
      </c>
      <c r="D1320">
        <f>COUNTIF(data.SampSummary!$C$2:$C$1407,C1320)</f>
        <v>1</v>
      </c>
    </row>
    <row r="1321" spans="1:4" x14ac:dyDescent="0.25">
      <c r="A1321" t="s">
        <v>78</v>
      </c>
      <c r="B1321" s="5">
        <v>39561</v>
      </c>
      <c r="C1321" t="str">
        <f t="shared" si="20"/>
        <v>SRHAY000.04_39561</v>
      </c>
      <c r="D1321">
        <f>COUNTIF(data.SampSummary!$C$2:$C$1407,C1321)</f>
        <v>0</v>
      </c>
    </row>
    <row r="1322" spans="1:4" x14ac:dyDescent="0.25">
      <c r="A1322" t="s">
        <v>165</v>
      </c>
      <c r="B1322" s="5">
        <v>39560</v>
      </c>
      <c r="C1322" t="str">
        <f t="shared" si="20"/>
        <v>SRBON001.69_39560</v>
      </c>
      <c r="D1322">
        <f>COUNTIF(data.SampSummary!$C$2:$C$1407,C1322)</f>
        <v>0</v>
      </c>
    </row>
    <row r="1323" spans="1:4" x14ac:dyDescent="0.25">
      <c r="A1323" t="s">
        <v>222</v>
      </c>
      <c r="B1323" s="5">
        <v>40686</v>
      </c>
      <c r="C1323" t="str">
        <f t="shared" si="20"/>
        <v>SRCHE013.65_40686</v>
      </c>
      <c r="D1323">
        <f>COUNTIF(data.SampSummary!$C$2:$C$1407,C1323)</f>
        <v>1</v>
      </c>
    </row>
    <row r="1324" spans="1:4" x14ac:dyDescent="0.25">
      <c r="A1324" t="s">
        <v>338</v>
      </c>
      <c r="B1324" s="5">
        <v>39533</v>
      </c>
      <c r="C1324" t="str">
        <f t="shared" si="20"/>
        <v>VRSPN000.78_39533</v>
      </c>
      <c r="D1324">
        <f>COUNTIF(data.SampSummary!$C$2:$C$1407,C1324)</f>
        <v>0</v>
      </c>
    </row>
    <row r="1325" spans="1:4" x14ac:dyDescent="0.25">
      <c r="A1325" t="s">
        <v>222</v>
      </c>
      <c r="B1325" s="5">
        <v>39528</v>
      </c>
      <c r="C1325" t="str">
        <f t="shared" si="20"/>
        <v>SRCHE013.65_39528</v>
      </c>
      <c r="D1325">
        <f>COUNTIF(data.SampSummary!$C$2:$C$1407,C1325)</f>
        <v>0</v>
      </c>
    </row>
    <row r="1326" spans="1:4" x14ac:dyDescent="0.25">
      <c r="A1326" t="s">
        <v>2870</v>
      </c>
      <c r="B1326" s="5">
        <v>39475</v>
      </c>
      <c r="C1326" t="str">
        <f t="shared" si="20"/>
        <v>SRPNT027.51_39475</v>
      </c>
      <c r="D1326">
        <f>COUNTIF(data.SampSummary!$C$2:$C$1407,C1326)</f>
        <v>0</v>
      </c>
    </row>
    <row r="1327" spans="1:4" x14ac:dyDescent="0.25">
      <c r="A1327" t="s">
        <v>2910</v>
      </c>
      <c r="B1327" s="5">
        <v>39475</v>
      </c>
      <c r="C1327" t="str">
        <f t="shared" si="20"/>
        <v>SRPNT028.85_39475</v>
      </c>
      <c r="D1327">
        <f>COUNTIF(data.SampSummary!$C$2:$C$1407,C1327)</f>
        <v>0</v>
      </c>
    </row>
    <row r="1328" spans="1:4" x14ac:dyDescent="0.25">
      <c r="A1328" t="s">
        <v>360</v>
      </c>
      <c r="B1328" s="5">
        <v>40598</v>
      </c>
      <c r="C1328" t="str">
        <f t="shared" si="20"/>
        <v>SCSCR039.63_40598</v>
      </c>
      <c r="D1328">
        <f>COUNTIF(data.SampSummary!$C$2:$C$1407,C1328)</f>
        <v>0</v>
      </c>
    </row>
    <row r="1329" spans="1:4" x14ac:dyDescent="0.25">
      <c r="A1329" t="s">
        <v>2870</v>
      </c>
      <c r="B1329" s="5">
        <v>39427</v>
      </c>
      <c r="C1329" t="str">
        <f t="shared" si="20"/>
        <v>SRPNT027.51_39427</v>
      </c>
      <c r="D1329">
        <f>COUNTIF(data.SampSummary!$C$2:$C$1407,C1329)</f>
        <v>0</v>
      </c>
    </row>
    <row r="1330" spans="1:4" x14ac:dyDescent="0.25">
      <c r="A1330" t="s">
        <v>2910</v>
      </c>
      <c r="B1330" s="5">
        <v>39427</v>
      </c>
      <c r="C1330" t="str">
        <f t="shared" si="20"/>
        <v>SRPNT028.85_39427</v>
      </c>
      <c r="D1330">
        <f>COUNTIF(data.SampSummary!$C$2:$C$1407,C1330)</f>
        <v>0</v>
      </c>
    </row>
    <row r="1331" spans="1:4" x14ac:dyDescent="0.25">
      <c r="A1331" t="s">
        <v>2873</v>
      </c>
      <c r="B1331" s="5">
        <v>39427</v>
      </c>
      <c r="C1331" t="str">
        <f t="shared" si="20"/>
        <v>SRGIB000.11_39427</v>
      </c>
      <c r="D1331">
        <f>COUNTIF(data.SampSummary!$C$2:$C$1407,C1331)</f>
        <v>0</v>
      </c>
    </row>
    <row r="1332" spans="1:4" x14ac:dyDescent="0.25">
      <c r="A1332" t="s">
        <v>2842</v>
      </c>
      <c r="B1332" s="5">
        <v>39426</v>
      </c>
      <c r="C1332" t="str">
        <f t="shared" si="20"/>
        <v>UGGLR485.91_39426</v>
      </c>
      <c r="D1332">
        <f>COUNTIF(data.SampSummary!$C$2:$C$1407,C1332)</f>
        <v>0</v>
      </c>
    </row>
    <row r="1333" spans="1:4" x14ac:dyDescent="0.25">
      <c r="A1333" t="s">
        <v>2844</v>
      </c>
      <c r="B1333" s="5">
        <v>39426</v>
      </c>
      <c r="C1333" t="str">
        <f t="shared" si="20"/>
        <v>UGGLR501.45_39426</v>
      </c>
      <c r="D1333">
        <f>COUNTIF(data.SampSummary!$C$2:$C$1407,C1333)</f>
        <v>0</v>
      </c>
    </row>
    <row r="1334" spans="1:4" x14ac:dyDescent="0.25">
      <c r="A1334" t="s">
        <v>2843</v>
      </c>
      <c r="B1334" s="5">
        <v>39426</v>
      </c>
      <c r="C1334" t="str">
        <f t="shared" si="20"/>
        <v>UGGLR515.55_39426</v>
      </c>
      <c r="D1334">
        <f>COUNTIF(data.SampSummary!$C$2:$C$1407,C1334)</f>
        <v>0</v>
      </c>
    </row>
    <row r="1335" spans="1:4" x14ac:dyDescent="0.25">
      <c r="A1335" t="s">
        <v>2115</v>
      </c>
      <c r="B1335" s="5">
        <v>39425</v>
      </c>
      <c r="C1335" t="str">
        <f t="shared" si="20"/>
        <v>UGGLR471.49_39425</v>
      </c>
      <c r="D1335">
        <f>COUNTIF(data.SampSummary!$C$2:$C$1407,C1335)</f>
        <v>0</v>
      </c>
    </row>
    <row r="1336" spans="1:4" x14ac:dyDescent="0.25">
      <c r="A1336" t="s">
        <v>334</v>
      </c>
      <c r="B1336" s="5">
        <v>40527</v>
      </c>
      <c r="C1336" t="str">
        <f t="shared" si="20"/>
        <v>SRSLR139.75_40527</v>
      </c>
      <c r="D1336">
        <f>COUNTIF(data.SampSummary!$C$2:$C$1407,C1336)</f>
        <v>0</v>
      </c>
    </row>
    <row r="1337" spans="1:4" x14ac:dyDescent="0.25">
      <c r="A1337" t="s">
        <v>326</v>
      </c>
      <c r="B1337" s="5">
        <v>39425</v>
      </c>
      <c r="C1337" t="str">
        <f t="shared" si="20"/>
        <v>UGSFR006.42_39425</v>
      </c>
      <c r="D1337">
        <f>COUNTIF(data.SampSummary!$C$2:$C$1407,C1337)</f>
        <v>0</v>
      </c>
    </row>
    <row r="1338" spans="1:4" x14ac:dyDescent="0.25">
      <c r="A1338" t="s">
        <v>350</v>
      </c>
      <c r="B1338" s="5">
        <v>39424</v>
      </c>
      <c r="C1338" t="str">
        <f t="shared" si="20"/>
        <v>UGGLR448.61_39424</v>
      </c>
      <c r="D1338">
        <f>COUNTIF(data.SampSummary!$C$2:$C$1407,C1338)</f>
        <v>0</v>
      </c>
    </row>
    <row r="1339" spans="1:4" x14ac:dyDescent="0.25">
      <c r="A1339" t="s">
        <v>324</v>
      </c>
      <c r="B1339" s="5">
        <v>39424</v>
      </c>
      <c r="C1339" t="str">
        <f t="shared" si="20"/>
        <v>UGGLR451.46_39424</v>
      </c>
      <c r="D1339">
        <f>COUNTIF(data.SampSummary!$C$2:$C$1407,C1339)</f>
        <v>0</v>
      </c>
    </row>
    <row r="1340" spans="1:4" x14ac:dyDescent="0.25">
      <c r="A1340" t="s">
        <v>320</v>
      </c>
      <c r="B1340" s="5">
        <v>39424</v>
      </c>
      <c r="C1340" t="str">
        <f t="shared" si="20"/>
        <v>UGGLR452.43_39424</v>
      </c>
      <c r="D1340">
        <f>COUNTIF(data.SampSummary!$C$2:$C$1407,C1340)</f>
        <v>0</v>
      </c>
    </row>
    <row r="1341" spans="1:4" x14ac:dyDescent="0.25">
      <c r="A1341" t="s">
        <v>2870</v>
      </c>
      <c r="B1341" s="5">
        <v>39417</v>
      </c>
      <c r="C1341" t="str">
        <f t="shared" si="20"/>
        <v>SRPNT027.51_39417</v>
      </c>
      <c r="D1341">
        <f>COUNTIF(data.SampSummary!$C$2:$C$1407,C1341)</f>
        <v>0</v>
      </c>
    </row>
    <row r="1342" spans="1:4" x14ac:dyDescent="0.25">
      <c r="A1342" t="s">
        <v>2910</v>
      </c>
      <c r="B1342" s="5">
        <v>39417</v>
      </c>
      <c r="C1342" t="str">
        <f t="shared" si="20"/>
        <v>SRPNT028.85_39417</v>
      </c>
      <c r="D1342">
        <f>COUNTIF(data.SampSummary!$C$2:$C$1407,C1342)</f>
        <v>0</v>
      </c>
    </row>
    <row r="1343" spans="1:4" x14ac:dyDescent="0.25">
      <c r="A1343" t="s">
        <v>2873</v>
      </c>
      <c r="B1343" s="5">
        <v>39417</v>
      </c>
      <c r="C1343" t="str">
        <f t="shared" si="20"/>
        <v>SRGIB000.11_39417</v>
      </c>
      <c r="D1343">
        <f>COUNTIF(data.SampSummary!$C$2:$C$1407,C1343)</f>
        <v>0</v>
      </c>
    </row>
    <row r="1344" spans="1:4" x14ac:dyDescent="0.25">
      <c r="A1344" t="s">
        <v>350</v>
      </c>
      <c r="B1344" s="5">
        <v>39402</v>
      </c>
      <c r="C1344" t="str">
        <f t="shared" si="20"/>
        <v>UGGLR448.61_39402</v>
      </c>
      <c r="D1344">
        <f>COUNTIF(data.SampSummary!$C$2:$C$1407,C1344)</f>
        <v>0</v>
      </c>
    </row>
    <row r="1345" spans="1:4" x14ac:dyDescent="0.25">
      <c r="A1345" t="s">
        <v>2844</v>
      </c>
      <c r="B1345" s="5">
        <v>39401</v>
      </c>
      <c r="C1345" t="str">
        <f t="shared" si="20"/>
        <v>UGGLR501.45_39401</v>
      </c>
      <c r="D1345">
        <f>COUNTIF(data.SampSummary!$C$2:$C$1407,C1345)</f>
        <v>0</v>
      </c>
    </row>
    <row r="1346" spans="1:4" x14ac:dyDescent="0.25">
      <c r="A1346" t="s">
        <v>2115</v>
      </c>
      <c r="B1346" s="5">
        <v>39400</v>
      </c>
      <c r="C1346" t="str">
        <f t="shared" si="20"/>
        <v>UGGLR471.49_39400</v>
      </c>
      <c r="D1346">
        <f>COUNTIF(data.SampSummary!$C$2:$C$1407,C1346)</f>
        <v>0</v>
      </c>
    </row>
    <row r="1347" spans="1:4" x14ac:dyDescent="0.25">
      <c r="A1347" t="s">
        <v>324</v>
      </c>
      <c r="B1347" s="5">
        <v>39399</v>
      </c>
      <c r="C1347" t="str">
        <f t="shared" ref="C1347:C1410" si="21">A1347&amp;"_"&amp;B1347</f>
        <v>UGGLR451.46_39399</v>
      </c>
      <c r="D1347">
        <f>COUNTIF(data.SampSummary!$C$2:$C$1407,C1347)</f>
        <v>0</v>
      </c>
    </row>
    <row r="1348" spans="1:4" x14ac:dyDescent="0.25">
      <c r="A1348" t="s">
        <v>285</v>
      </c>
      <c r="B1348" s="5">
        <v>39399</v>
      </c>
      <c r="C1348" t="str">
        <f t="shared" si="21"/>
        <v>VRPIE000.29_39399</v>
      </c>
      <c r="D1348">
        <f>COUNTIF(data.SampSummary!$C$2:$C$1407,C1348)</f>
        <v>0</v>
      </c>
    </row>
    <row r="1349" spans="1:4" x14ac:dyDescent="0.25">
      <c r="A1349" t="s">
        <v>121</v>
      </c>
      <c r="B1349" s="5">
        <v>39399</v>
      </c>
      <c r="C1349" t="str">
        <f t="shared" si="21"/>
        <v>VREVR045.50_39399</v>
      </c>
      <c r="D1349">
        <f>COUNTIF(data.SampSummary!$C$2:$C$1407,C1349)</f>
        <v>0</v>
      </c>
    </row>
    <row r="1350" spans="1:4" x14ac:dyDescent="0.25">
      <c r="A1350" t="s">
        <v>261</v>
      </c>
      <c r="B1350" s="5">
        <v>39393</v>
      </c>
      <c r="C1350" t="str">
        <f t="shared" si="21"/>
        <v>VRWBV012.56_39393</v>
      </c>
      <c r="D1350">
        <f>COUNTIF(data.SampSummary!$C$2:$C$1407,C1350)</f>
        <v>0</v>
      </c>
    </row>
    <row r="1351" spans="1:4" x14ac:dyDescent="0.25">
      <c r="A1351" t="s">
        <v>32</v>
      </c>
      <c r="B1351" s="5">
        <v>40463</v>
      </c>
      <c r="C1351" t="str">
        <f t="shared" si="21"/>
        <v>SRBGY002.86_40463</v>
      </c>
      <c r="D1351">
        <f>COUNTIF(data.SampSummary!$C$2:$C$1407,C1351)</f>
        <v>0</v>
      </c>
    </row>
    <row r="1352" spans="1:4" x14ac:dyDescent="0.25">
      <c r="A1352" t="s">
        <v>2847</v>
      </c>
      <c r="B1352" s="5">
        <v>39392</v>
      </c>
      <c r="C1352" t="str">
        <f t="shared" si="21"/>
        <v>VRVER107.53_39392</v>
      </c>
      <c r="D1352">
        <f>COUNTIF(data.SampSummary!$C$2:$C$1407,C1352)</f>
        <v>0</v>
      </c>
    </row>
    <row r="1353" spans="1:4" x14ac:dyDescent="0.25">
      <c r="A1353" t="s">
        <v>100</v>
      </c>
      <c r="B1353" s="5">
        <v>39386</v>
      </c>
      <c r="C1353" t="str">
        <f t="shared" si="21"/>
        <v>SRBWL005.79_39386</v>
      </c>
      <c r="D1353">
        <f>COUNTIF(data.SampSummary!$C$2:$C$1407,C1353)</f>
        <v>0</v>
      </c>
    </row>
    <row r="1354" spans="1:4" x14ac:dyDescent="0.25">
      <c r="A1354" t="s">
        <v>2813</v>
      </c>
      <c r="B1354" s="5">
        <v>39385</v>
      </c>
      <c r="C1354" t="str">
        <f t="shared" si="21"/>
        <v>LCWAN002.19_39385</v>
      </c>
      <c r="D1354">
        <f>COUNTIF(data.SampSummary!$C$2:$C$1407,C1354)</f>
        <v>0</v>
      </c>
    </row>
    <row r="1355" spans="1:4" x14ac:dyDescent="0.25">
      <c r="A1355" t="s">
        <v>350</v>
      </c>
      <c r="B1355" s="5">
        <v>39380</v>
      </c>
      <c r="C1355" t="str">
        <f t="shared" si="21"/>
        <v>UGGLR448.61_39380</v>
      </c>
      <c r="D1355">
        <f>COUNTIF(data.SampSummary!$C$2:$C$1407,C1355)</f>
        <v>0</v>
      </c>
    </row>
    <row r="1356" spans="1:4" x14ac:dyDescent="0.25">
      <c r="A1356" t="s">
        <v>74</v>
      </c>
      <c r="B1356" s="5">
        <v>39378</v>
      </c>
      <c r="C1356" t="str">
        <f t="shared" si="21"/>
        <v>SRSTI000.38_39378</v>
      </c>
      <c r="D1356">
        <f>COUNTIF(data.SampSummary!$C$2:$C$1407,C1356)</f>
        <v>0</v>
      </c>
    </row>
    <row r="1357" spans="1:4" x14ac:dyDescent="0.25">
      <c r="A1357" t="s">
        <v>78</v>
      </c>
      <c r="B1357" s="5">
        <v>39378</v>
      </c>
      <c r="C1357" t="str">
        <f t="shared" si="21"/>
        <v>SRHAY000.04_39378</v>
      </c>
      <c r="D1357">
        <f>COUNTIF(data.SampSummary!$C$2:$C$1407,C1357)</f>
        <v>0</v>
      </c>
    </row>
    <row r="1358" spans="1:4" x14ac:dyDescent="0.25">
      <c r="A1358" t="s">
        <v>2095</v>
      </c>
      <c r="B1358" s="5">
        <v>39378</v>
      </c>
      <c r="C1358" t="str">
        <f t="shared" si="21"/>
        <v>SRBEV001.40_39378</v>
      </c>
      <c r="D1358">
        <f>COUNTIF(data.SampSummary!$C$2:$C$1407,C1358)</f>
        <v>0</v>
      </c>
    </row>
    <row r="1359" spans="1:4" x14ac:dyDescent="0.25">
      <c r="A1359" t="s">
        <v>75</v>
      </c>
      <c r="B1359" s="5">
        <v>39377</v>
      </c>
      <c r="C1359" t="str">
        <f t="shared" si="21"/>
        <v>SRBEV007.28_39377</v>
      </c>
      <c r="D1359">
        <f>COUNTIF(data.SampSummary!$C$2:$C$1407,C1359)</f>
        <v>0</v>
      </c>
    </row>
    <row r="1360" spans="1:4" x14ac:dyDescent="0.25">
      <c r="A1360" t="s">
        <v>336</v>
      </c>
      <c r="B1360" s="5">
        <v>39367</v>
      </c>
      <c r="C1360" t="str">
        <f t="shared" si="21"/>
        <v>SRTON046.90_39367</v>
      </c>
      <c r="D1360">
        <f>COUNTIF(data.SampSummary!$C$2:$C$1407,C1360)</f>
        <v>0</v>
      </c>
    </row>
    <row r="1361" spans="1:4" x14ac:dyDescent="0.25">
      <c r="A1361" t="s">
        <v>338</v>
      </c>
      <c r="B1361" s="5">
        <v>39359</v>
      </c>
      <c r="C1361" t="str">
        <f t="shared" si="21"/>
        <v>VRSPN000.78_39359</v>
      </c>
      <c r="D1361">
        <f>COUNTIF(data.SampSummary!$C$2:$C$1407,C1361)</f>
        <v>0</v>
      </c>
    </row>
    <row r="1362" spans="1:4" x14ac:dyDescent="0.25">
      <c r="A1362" t="s">
        <v>168</v>
      </c>
      <c r="B1362" s="5">
        <v>40402</v>
      </c>
      <c r="C1362" t="str">
        <f t="shared" si="21"/>
        <v>VRELL009.02_40402</v>
      </c>
      <c r="D1362">
        <f>COUNTIF(data.SampSummary!$C$2:$C$1407,C1362)</f>
        <v>0</v>
      </c>
    </row>
    <row r="1363" spans="1:4" x14ac:dyDescent="0.25">
      <c r="A1363" t="s">
        <v>37</v>
      </c>
      <c r="B1363" s="5">
        <v>39357</v>
      </c>
      <c r="C1363" t="str">
        <f t="shared" si="21"/>
        <v>VRWOK000.82_39357</v>
      </c>
      <c r="D1363">
        <f>COUNTIF(data.SampSummary!$C$2:$C$1407,C1363)</f>
        <v>0</v>
      </c>
    </row>
    <row r="1364" spans="1:4" x14ac:dyDescent="0.25">
      <c r="A1364" t="s">
        <v>261</v>
      </c>
      <c r="B1364" s="5">
        <v>39323</v>
      </c>
      <c r="C1364" t="str">
        <f t="shared" si="21"/>
        <v>VRWBV012.56_39323</v>
      </c>
      <c r="D1364">
        <f>COUNTIF(data.SampSummary!$C$2:$C$1407,C1364)</f>
        <v>0</v>
      </c>
    </row>
    <row r="1365" spans="1:4" x14ac:dyDescent="0.25">
      <c r="A1365" t="s">
        <v>347</v>
      </c>
      <c r="B1365" s="5">
        <v>39323</v>
      </c>
      <c r="C1365" t="str">
        <f t="shared" si="21"/>
        <v>SRCGN009.78_39323</v>
      </c>
      <c r="D1365">
        <f>COUNTIF(data.SampSummary!$C$2:$C$1407,C1365)</f>
        <v>0</v>
      </c>
    </row>
    <row r="1366" spans="1:4" x14ac:dyDescent="0.25">
      <c r="A1366" t="s">
        <v>2813</v>
      </c>
      <c r="B1366" s="5">
        <v>39321</v>
      </c>
      <c r="C1366" t="str">
        <f t="shared" si="21"/>
        <v>LCWAN002.19_39321</v>
      </c>
      <c r="D1366">
        <f>COUNTIF(data.SampSummary!$C$2:$C$1407,C1366)</f>
        <v>0</v>
      </c>
    </row>
    <row r="1367" spans="1:4" x14ac:dyDescent="0.25">
      <c r="A1367" t="s">
        <v>285</v>
      </c>
      <c r="B1367" s="5">
        <v>39309</v>
      </c>
      <c r="C1367" t="str">
        <f t="shared" si="21"/>
        <v>VRPIE000.29_39309</v>
      </c>
      <c r="D1367">
        <f>COUNTIF(data.SampSummary!$C$2:$C$1407,C1367)</f>
        <v>0</v>
      </c>
    </row>
    <row r="1368" spans="1:4" x14ac:dyDescent="0.25">
      <c r="A1368" t="s">
        <v>338</v>
      </c>
      <c r="B1368" s="5">
        <v>39308</v>
      </c>
      <c r="C1368" t="str">
        <f t="shared" si="21"/>
        <v>VRSPN000.78_39308</v>
      </c>
      <c r="D1368">
        <f>COUNTIF(data.SampSummary!$C$2:$C$1407,C1368)</f>
        <v>0</v>
      </c>
    </row>
    <row r="1369" spans="1:4" x14ac:dyDescent="0.25">
      <c r="A1369" t="s">
        <v>2873</v>
      </c>
      <c r="B1369" s="5">
        <v>42034</v>
      </c>
      <c r="C1369" t="str">
        <f t="shared" si="21"/>
        <v>SRGIB000.11_42034</v>
      </c>
      <c r="D1369">
        <f>COUNTIF(data.SampSummary!$C$2:$C$1407,C1369)</f>
        <v>0</v>
      </c>
    </row>
    <row r="1370" spans="1:4" x14ac:dyDescent="0.25">
      <c r="A1370" t="s">
        <v>2842</v>
      </c>
      <c r="B1370" s="5">
        <v>39302</v>
      </c>
      <c r="C1370" t="str">
        <f t="shared" si="21"/>
        <v>UGGLR485.91_39302</v>
      </c>
      <c r="D1370">
        <f>COUNTIF(data.SampSummary!$C$2:$C$1407,C1370)</f>
        <v>0</v>
      </c>
    </row>
    <row r="1371" spans="1:4" x14ac:dyDescent="0.25">
      <c r="A1371" t="s">
        <v>2844</v>
      </c>
      <c r="B1371" s="5">
        <v>39302</v>
      </c>
      <c r="C1371" t="str">
        <f t="shared" si="21"/>
        <v>UGGLR501.45_39302</v>
      </c>
      <c r="D1371">
        <f>COUNTIF(data.SampSummary!$C$2:$C$1407,C1371)</f>
        <v>0</v>
      </c>
    </row>
    <row r="1372" spans="1:4" x14ac:dyDescent="0.25">
      <c r="A1372" t="s">
        <v>2843</v>
      </c>
      <c r="B1372" s="5">
        <v>39302</v>
      </c>
      <c r="C1372" t="str">
        <f t="shared" si="21"/>
        <v>UGGLR515.55_39302</v>
      </c>
      <c r="D1372">
        <f>COUNTIF(data.SampSummary!$C$2:$C$1407,C1372)</f>
        <v>0</v>
      </c>
    </row>
    <row r="1373" spans="1:4" x14ac:dyDescent="0.25">
      <c r="A1373" t="s">
        <v>2910</v>
      </c>
      <c r="B1373" s="5">
        <v>39301</v>
      </c>
      <c r="C1373" t="str">
        <f t="shared" si="21"/>
        <v>SRPNT028.85_39301</v>
      </c>
      <c r="D1373">
        <f>COUNTIF(data.SampSummary!$C$2:$C$1407,C1373)</f>
        <v>0</v>
      </c>
    </row>
    <row r="1374" spans="1:4" x14ac:dyDescent="0.25">
      <c r="A1374" t="s">
        <v>2873</v>
      </c>
      <c r="B1374" s="5">
        <v>39301</v>
      </c>
      <c r="C1374" t="str">
        <f t="shared" si="21"/>
        <v>SRGIB000.11_39301</v>
      </c>
      <c r="D1374">
        <f>COUNTIF(data.SampSummary!$C$2:$C$1407,C1374)</f>
        <v>0</v>
      </c>
    </row>
    <row r="1375" spans="1:4" x14ac:dyDescent="0.25">
      <c r="A1375" t="s">
        <v>2115</v>
      </c>
      <c r="B1375" s="5">
        <v>39301</v>
      </c>
      <c r="C1375" t="str">
        <f t="shared" si="21"/>
        <v>UGGLR471.49_39301</v>
      </c>
      <c r="D1375">
        <f>COUNTIF(data.SampSummary!$C$2:$C$1407,C1375)</f>
        <v>0</v>
      </c>
    </row>
    <row r="1376" spans="1:4" x14ac:dyDescent="0.25">
      <c r="A1376" t="s">
        <v>326</v>
      </c>
      <c r="B1376" s="5">
        <v>39301</v>
      </c>
      <c r="C1376" t="str">
        <f t="shared" si="21"/>
        <v>UGSFR006.42_39301</v>
      </c>
      <c r="D1376">
        <f>COUNTIF(data.SampSummary!$C$2:$C$1407,C1376)</f>
        <v>0</v>
      </c>
    </row>
    <row r="1377" spans="1:4" x14ac:dyDescent="0.25">
      <c r="A1377" t="s">
        <v>324</v>
      </c>
      <c r="B1377" s="5">
        <v>39300</v>
      </c>
      <c r="C1377" t="str">
        <f t="shared" si="21"/>
        <v>UGGLR451.46_39300</v>
      </c>
      <c r="D1377">
        <f>COUNTIF(data.SampSummary!$C$2:$C$1407,C1377)</f>
        <v>0</v>
      </c>
    </row>
    <row r="1378" spans="1:4" x14ac:dyDescent="0.25">
      <c r="A1378" t="s">
        <v>320</v>
      </c>
      <c r="B1378" s="5">
        <v>39300</v>
      </c>
      <c r="C1378" t="str">
        <f t="shared" si="21"/>
        <v>UGGLR452.43_39300</v>
      </c>
      <c r="D1378">
        <f>COUNTIF(data.SampSummary!$C$2:$C$1407,C1378)</f>
        <v>0</v>
      </c>
    </row>
    <row r="1379" spans="1:4" x14ac:dyDescent="0.25">
      <c r="A1379" t="s">
        <v>102</v>
      </c>
      <c r="B1379" s="5">
        <v>41025</v>
      </c>
      <c r="C1379" t="str">
        <f t="shared" si="21"/>
        <v>UGKPK011.18_41025</v>
      </c>
      <c r="D1379">
        <f>COUNTIF(data.SampSummary!$C$2:$C$1407,C1379)</f>
        <v>0</v>
      </c>
    </row>
    <row r="1380" spans="1:4" x14ac:dyDescent="0.25">
      <c r="A1380" t="s">
        <v>2813</v>
      </c>
      <c r="B1380" s="5">
        <v>39288</v>
      </c>
      <c r="C1380" t="str">
        <f t="shared" si="21"/>
        <v>LCWAN002.19_39288</v>
      </c>
      <c r="D1380">
        <f>COUNTIF(data.SampSummary!$C$2:$C$1407,C1380)</f>
        <v>0</v>
      </c>
    </row>
    <row r="1381" spans="1:4" x14ac:dyDescent="0.25">
      <c r="A1381" t="s">
        <v>200</v>
      </c>
      <c r="B1381" s="5">
        <v>41002</v>
      </c>
      <c r="C1381" t="str">
        <f t="shared" si="21"/>
        <v>SPSPR015.42_41002</v>
      </c>
      <c r="D1381">
        <f>COUNTIF(data.SampSummary!$C$2:$C$1407,C1381)</f>
        <v>1</v>
      </c>
    </row>
    <row r="1382" spans="1:4" x14ac:dyDescent="0.25">
      <c r="A1382" t="s">
        <v>2115</v>
      </c>
      <c r="B1382" s="5">
        <v>39274</v>
      </c>
      <c r="C1382" t="str">
        <f t="shared" si="21"/>
        <v>UGGLR471.49_39274</v>
      </c>
      <c r="D1382">
        <f>COUNTIF(data.SampSummary!$C$2:$C$1407,C1382)</f>
        <v>0</v>
      </c>
    </row>
    <row r="1383" spans="1:4" x14ac:dyDescent="0.25">
      <c r="A1383" t="s">
        <v>2911</v>
      </c>
      <c r="B1383" s="5">
        <v>39274</v>
      </c>
      <c r="C1383" t="str">
        <f t="shared" si="21"/>
        <v>UGGLR467.02_39274</v>
      </c>
      <c r="D1383">
        <f>COUNTIF(data.SampSummary!$C$2:$C$1407,C1383)</f>
        <v>0</v>
      </c>
    </row>
    <row r="1384" spans="1:4" x14ac:dyDescent="0.25">
      <c r="A1384" t="s">
        <v>2912</v>
      </c>
      <c r="B1384" s="5">
        <v>39274</v>
      </c>
      <c r="C1384" t="str">
        <f t="shared" si="21"/>
        <v>UGGLR466.91_39274</v>
      </c>
      <c r="D1384">
        <f>COUNTIF(data.SampSummary!$C$2:$C$1407,C1384)</f>
        <v>0</v>
      </c>
    </row>
    <row r="1385" spans="1:4" x14ac:dyDescent="0.25">
      <c r="A1385" t="s">
        <v>18</v>
      </c>
      <c r="B1385" s="5">
        <v>39989</v>
      </c>
      <c r="C1385" t="str">
        <f t="shared" si="21"/>
        <v>SPGRA007.71_39989</v>
      </c>
      <c r="D1385">
        <f>COUNTIF(data.SampSummary!$C$2:$C$1407,C1385)</f>
        <v>1</v>
      </c>
    </row>
    <row r="1386" spans="1:4" x14ac:dyDescent="0.25">
      <c r="A1386" t="s">
        <v>289</v>
      </c>
      <c r="B1386" s="5">
        <v>39988</v>
      </c>
      <c r="C1386" t="str">
        <f t="shared" si="21"/>
        <v>SPARA013.78_39988</v>
      </c>
      <c r="D1386">
        <f>COUNTIF(data.SampSummary!$C$2:$C$1407,C1386)</f>
        <v>1</v>
      </c>
    </row>
    <row r="1387" spans="1:4" x14ac:dyDescent="0.25">
      <c r="A1387" t="s">
        <v>2108</v>
      </c>
      <c r="B1387" s="5">
        <v>39982</v>
      </c>
      <c r="C1387" t="str">
        <f t="shared" si="21"/>
        <v>UGSFR151.22_39982</v>
      </c>
      <c r="D1387">
        <f>COUNTIF(data.SampSummary!$C$2:$C$1407,C1387)</f>
        <v>1</v>
      </c>
    </row>
    <row r="1388" spans="1:4" x14ac:dyDescent="0.25">
      <c r="A1388" t="s">
        <v>52</v>
      </c>
      <c r="B1388" s="5">
        <v>39982</v>
      </c>
      <c r="C1388" t="str">
        <f t="shared" si="21"/>
        <v>UGCAV016.84_39982</v>
      </c>
      <c r="D1388">
        <f>COUNTIF(data.SampSummary!$C$2:$C$1407,C1388)</f>
        <v>1</v>
      </c>
    </row>
    <row r="1389" spans="1:4" x14ac:dyDescent="0.25">
      <c r="A1389" t="s">
        <v>55</v>
      </c>
      <c r="B1389" s="5">
        <v>39981</v>
      </c>
      <c r="C1389" t="str">
        <f t="shared" si="21"/>
        <v>UGTRY001.56_39981</v>
      </c>
      <c r="D1389">
        <f>COUNTIF(data.SampSummary!$C$2:$C$1407,C1389)</f>
        <v>2</v>
      </c>
    </row>
    <row r="1390" spans="1:4" x14ac:dyDescent="0.25">
      <c r="A1390" t="s">
        <v>54</v>
      </c>
      <c r="B1390" s="5">
        <v>39980</v>
      </c>
      <c r="C1390" t="str">
        <f t="shared" si="21"/>
        <v>UGCOL003.48_39980</v>
      </c>
      <c r="D1390">
        <f>COUNTIF(data.SampSummary!$C$2:$C$1407,C1390)</f>
        <v>1</v>
      </c>
    </row>
    <row r="1391" spans="1:4" x14ac:dyDescent="0.25">
      <c r="A1391" t="s">
        <v>238</v>
      </c>
      <c r="B1391" s="5">
        <v>39980</v>
      </c>
      <c r="C1391" t="str">
        <f t="shared" si="21"/>
        <v>UGBLR008.19_39980</v>
      </c>
      <c r="D1391">
        <f>COUNTIF(data.SampSummary!$C$2:$C$1407,C1391)</f>
        <v>1</v>
      </c>
    </row>
    <row r="1392" spans="1:4" x14ac:dyDescent="0.25">
      <c r="A1392" t="s">
        <v>2841</v>
      </c>
      <c r="B1392" s="5">
        <v>39956</v>
      </c>
      <c r="C1392" t="str">
        <f t="shared" si="21"/>
        <v>LCLCR206.75_39956</v>
      </c>
      <c r="D1392">
        <f>COUNTIF(data.SampSummary!$C$2:$C$1407,C1392)</f>
        <v>0</v>
      </c>
    </row>
    <row r="1393" spans="1:4" x14ac:dyDescent="0.25">
      <c r="A1393" t="s">
        <v>200</v>
      </c>
      <c r="B1393" s="5">
        <v>40945</v>
      </c>
      <c r="C1393" t="str">
        <f t="shared" si="21"/>
        <v>SPSPR015.42_40945</v>
      </c>
      <c r="D1393">
        <f>COUNTIF(data.SampSummary!$C$2:$C$1407,C1393)</f>
        <v>0</v>
      </c>
    </row>
    <row r="1394" spans="1:4" x14ac:dyDescent="0.25">
      <c r="A1394" t="s">
        <v>2841</v>
      </c>
      <c r="B1394" s="5">
        <v>39955</v>
      </c>
      <c r="C1394" t="str">
        <f t="shared" si="21"/>
        <v>LCLCR206.75_39955</v>
      </c>
      <c r="D1394">
        <f>COUNTIF(data.SampSummary!$C$2:$C$1407,C1394)</f>
        <v>0</v>
      </c>
    </row>
    <row r="1395" spans="1:4" x14ac:dyDescent="0.25">
      <c r="A1395" t="s">
        <v>2913</v>
      </c>
      <c r="B1395" s="5">
        <v>39953</v>
      </c>
      <c r="C1395" t="str">
        <f t="shared" si="21"/>
        <v>BWCBW009.38_39953</v>
      </c>
      <c r="D1395">
        <f>COUNTIF(data.SampSummary!$C$2:$C$1407,C1395)</f>
        <v>0</v>
      </c>
    </row>
    <row r="1396" spans="1:4" x14ac:dyDescent="0.25">
      <c r="A1396" t="s">
        <v>199</v>
      </c>
      <c r="B1396" s="5">
        <v>39946</v>
      </c>
      <c r="C1396" t="str">
        <f t="shared" si="21"/>
        <v>UGBON006.41_39946</v>
      </c>
      <c r="D1396">
        <f>COUNTIF(data.SampSummary!$C$2:$C$1407,C1396)</f>
        <v>1</v>
      </c>
    </row>
    <row r="1397" spans="1:4" x14ac:dyDescent="0.25">
      <c r="A1397" t="s">
        <v>2914</v>
      </c>
      <c r="B1397" s="5">
        <v>39946</v>
      </c>
      <c r="C1397" t="str">
        <f t="shared" si="21"/>
        <v>MGGLR313.73_39946</v>
      </c>
      <c r="D1397">
        <f>COUNTIF(data.SampSummary!$C$2:$C$1407,C1397)</f>
        <v>0</v>
      </c>
    </row>
    <row r="1398" spans="1:4" x14ac:dyDescent="0.25">
      <c r="A1398" t="s">
        <v>166</v>
      </c>
      <c r="B1398" s="5">
        <v>39932</v>
      </c>
      <c r="C1398" t="str">
        <f t="shared" si="21"/>
        <v>SPMLC013.56_39932</v>
      </c>
      <c r="D1398">
        <f>COUNTIF(data.SampSummary!$C$2:$C$1407,C1398)</f>
        <v>1</v>
      </c>
    </row>
    <row r="1399" spans="1:4" x14ac:dyDescent="0.25">
      <c r="A1399" t="s">
        <v>149</v>
      </c>
      <c r="B1399" s="5">
        <v>39931</v>
      </c>
      <c r="C1399" t="str">
        <f t="shared" si="21"/>
        <v>SPRMC011.11_39931</v>
      </c>
      <c r="D1399">
        <f>COUNTIF(data.SampSummary!$C$2:$C$1407,C1399)</f>
        <v>1</v>
      </c>
    </row>
    <row r="1400" spans="1:4" x14ac:dyDescent="0.25">
      <c r="A1400" t="s">
        <v>188</v>
      </c>
      <c r="B1400" s="5">
        <v>39931</v>
      </c>
      <c r="C1400" t="str">
        <f t="shared" si="21"/>
        <v>SCSYR004.21_39931</v>
      </c>
      <c r="D1400">
        <f>COUNTIF(data.SampSummary!$C$2:$C$1407,C1400)</f>
        <v>1</v>
      </c>
    </row>
    <row r="1401" spans="1:4" x14ac:dyDescent="0.25">
      <c r="A1401" t="s">
        <v>39</v>
      </c>
      <c r="B1401" s="5">
        <v>39930</v>
      </c>
      <c r="C1401" t="str">
        <f t="shared" si="21"/>
        <v>UGFRY009.52_39930</v>
      </c>
      <c r="D1401">
        <f>COUNTIF(data.SampSummary!$C$2:$C$1407,C1401)</f>
        <v>1</v>
      </c>
    </row>
    <row r="1402" spans="1:4" x14ac:dyDescent="0.25">
      <c r="A1402" t="s">
        <v>238</v>
      </c>
      <c r="B1402" s="5">
        <v>40856</v>
      </c>
      <c r="C1402" t="str">
        <f t="shared" si="21"/>
        <v>UGBLR008.19_40856</v>
      </c>
      <c r="D1402">
        <f>COUNTIF(data.SampSummary!$C$2:$C$1407,C1402)</f>
        <v>0</v>
      </c>
    </row>
    <row r="1403" spans="1:4" x14ac:dyDescent="0.25">
      <c r="A1403" t="s">
        <v>1634</v>
      </c>
      <c r="B1403" s="5">
        <v>41827</v>
      </c>
      <c r="C1403" t="str">
        <f t="shared" si="21"/>
        <v>UGEAG049.82_41827</v>
      </c>
      <c r="D1403">
        <f>COUNTIF(data.SampSummary!$C$2:$C$1407,C1403)</f>
        <v>1</v>
      </c>
    </row>
    <row r="1404" spans="1:4" x14ac:dyDescent="0.25">
      <c r="A1404" t="s">
        <v>273</v>
      </c>
      <c r="B1404" s="5">
        <v>39910</v>
      </c>
      <c r="C1404" t="str">
        <f t="shared" si="21"/>
        <v>MGHSR058.80_39910</v>
      </c>
      <c r="D1404">
        <f>COUNTIF(data.SampSummary!$C$2:$C$1407,C1404)</f>
        <v>1</v>
      </c>
    </row>
    <row r="1405" spans="1:4" x14ac:dyDescent="0.25">
      <c r="A1405" t="s">
        <v>190</v>
      </c>
      <c r="B1405" s="5">
        <v>39909</v>
      </c>
      <c r="C1405" t="str">
        <f t="shared" si="21"/>
        <v>MGAFR087.06_39909</v>
      </c>
      <c r="D1405">
        <f>COUNTIF(data.SampSummary!$C$2:$C$1407,C1405)</f>
        <v>1</v>
      </c>
    </row>
    <row r="1406" spans="1:4" x14ac:dyDescent="0.25">
      <c r="A1406" t="s">
        <v>42</v>
      </c>
      <c r="B1406" s="5">
        <v>39904</v>
      </c>
      <c r="C1406" t="str">
        <f t="shared" si="21"/>
        <v>UGLAN000.60_39904</v>
      </c>
      <c r="D1406">
        <f>COUNTIF(data.SampSummary!$C$2:$C$1407,C1406)</f>
        <v>0</v>
      </c>
    </row>
    <row r="1407" spans="1:4" x14ac:dyDescent="0.25">
      <c r="A1407" t="s">
        <v>55</v>
      </c>
      <c r="B1407" s="5">
        <v>39904</v>
      </c>
      <c r="C1407" t="str">
        <f t="shared" si="21"/>
        <v>UGTRY001.56_39904</v>
      </c>
      <c r="D1407">
        <f>COUNTIF(data.SampSummary!$C$2:$C$1407,C1407)</f>
        <v>0</v>
      </c>
    </row>
    <row r="1408" spans="1:4" x14ac:dyDescent="0.25">
      <c r="A1408" t="s">
        <v>54</v>
      </c>
      <c r="B1408" s="5">
        <v>39903</v>
      </c>
      <c r="C1408" t="str">
        <f t="shared" si="21"/>
        <v>UGCOL003.48_39903</v>
      </c>
      <c r="D1408">
        <f>COUNTIF(data.SampSummary!$C$2:$C$1407,C1408)</f>
        <v>0</v>
      </c>
    </row>
    <row r="1409" spans="1:4" x14ac:dyDescent="0.25">
      <c r="A1409" t="s">
        <v>344</v>
      </c>
      <c r="B1409" s="5">
        <v>39890</v>
      </c>
      <c r="C1409" t="str">
        <f t="shared" si="21"/>
        <v>UGSFR006.08_39890</v>
      </c>
      <c r="D1409">
        <f>COUNTIF(data.SampSummary!$C$2:$C$1407,C1409)</f>
        <v>0</v>
      </c>
    </row>
    <row r="1410" spans="1:4" x14ac:dyDescent="0.25">
      <c r="A1410" t="s">
        <v>199</v>
      </c>
      <c r="B1410" s="5">
        <v>39884</v>
      </c>
      <c r="C1410" t="str">
        <f t="shared" si="21"/>
        <v>UGBON006.41_39884</v>
      </c>
      <c r="D1410">
        <f>COUNTIF(data.SampSummary!$C$2:$C$1407,C1410)</f>
        <v>0</v>
      </c>
    </row>
    <row r="1411" spans="1:4" x14ac:dyDescent="0.25">
      <c r="A1411" t="s">
        <v>188</v>
      </c>
      <c r="B1411" s="5">
        <v>39875</v>
      </c>
      <c r="C1411" t="str">
        <f t="shared" ref="C1411:C1474" si="22">A1411&amp;"_"&amp;B1411</f>
        <v>SCSYR004.21_39875</v>
      </c>
      <c r="D1411">
        <f>COUNTIF(data.SampSummary!$C$2:$C$1407,C1411)</f>
        <v>0</v>
      </c>
    </row>
    <row r="1412" spans="1:4" x14ac:dyDescent="0.25">
      <c r="A1412" t="s">
        <v>229</v>
      </c>
      <c r="B1412" s="5">
        <v>40316</v>
      </c>
      <c r="C1412" t="str">
        <f t="shared" si="22"/>
        <v>BWBSR034.68_40316</v>
      </c>
      <c r="D1412">
        <f>COUNTIF(data.SampSummary!$C$2:$C$1407,C1412)</f>
        <v>1</v>
      </c>
    </row>
    <row r="1413" spans="1:4" x14ac:dyDescent="0.25">
      <c r="A1413" t="s">
        <v>289</v>
      </c>
      <c r="B1413" s="5">
        <v>39855</v>
      </c>
      <c r="C1413" t="str">
        <f t="shared" si="22"/>
        <v>SPARA013.78_39855</v>
      </c>
      <c r="D1413">
        <f>COUNTIF(data.SampSummary!$C$2:$C$1407,C1413)</f>
        <v>0</v>
      </c>
    </row>
    <row r="1414" spans="1:4" x14ac:dyDescent="0.25">
      <c r="A1414" t="s">
        <v>297</v>
      </c>
      <c r="B1414" s="5">
        <v>39853</v>
      </c>
      <c r="C1414" t="str">
        <f t="shared" si="22"/>
        <v>SPSPR059.21_39853</v>
      </c>
      <c r="D1414">
        <f>COUNTIF(data.SampSummary!$C$2:$C$1407,C1414)</f>
        <v>0</v>
      </c>
    </row>
    <row r="1415" spans="1:4" x14ac:dyDescent="0.25">
      <c r="A1415" t="s">
        <v>2915</v>
      </c>
      <c r="B1415" s="5">
        <v>41165</v>
      </c>
      <c r="C1415" t="str">
        <f t="shared" si="22"/>
        <v>BWBWR009.92_41165</v>
      </c>
      <c r="D1415">
        <f>COUNTIF(data.SampSummary!$C$2:$C$1407,C1415)</f>
        <v>0</v>
      </c>
    </row>
    <row r="1416" spans="1:4" x14ac:dyDescent="0.25">
      <c r="A1416" t="s">
        <v>2914</v>
      </c>
      <c r="B1416" s="5">
        <v>39827</v>
      </c>
      <c r="C1416" t="str">
        <f t="shared" si="22"/>
        <v>MGGLR313.73_39827</v>
      </c>
      <c r="D1416">
        <f>COUNTIF(data.SampSummary!$C$2:$C$1407,C1416)</f>
        <v>0</v>
      </c>
    </row>
    <row r="1417" spans="1:4" x14ac:dyDescent="0.25">
      <c r="A1417" t="s">
        <v>2909</v>
      </c>
      <c r="B1417" s="5">
        <v>39808</v>
      </c>
      <c r="C1417" t="str">
        <f t="shared" si="22"/>
        <v>BWCBW009.00_39808</v>
      </c>
      <c r="D1417">
        <f>COUNTIF(data.SampSummary!$C$2:$C$1407,C1417)</f>
        <v>0</v>
      </c>
    </row>
    <row r="1418" spans="1:4" x14ac:dyDescent="0.25">
      <c r="A1418" t="s">
        <v>2909</v>
      </c>
      <c r="B1418" s="5">
        <v>39801</v>
      </c>
      <c r="C1418" t="str">
        <f t="shared" si="22"/>
        <v>BWCBW009.00_39801</v>
      </c>
      <c r="D1418">
        <f>COUNTIF(data.SampSummary!$C$2:$C$1407,C1418)</f>
        <v>0</v>
      </c>
    </row>
    <row r="1419" spans="1:4" x14ac:dyDescent="0.25">
      <c r="A1419" t="s">
        <v>199</v>
      </c>
      <c r="B1419" s="5">
        <v>39798</v>
      </c>
      <c r="C1419" t="str">
        <f t="shared" si="22"/>
        <v>UGBON006.41_39798</v>
      </c>
      <c r="D1419">
        <f>COUNTIF(data.SampSummary!$C$2:$C$1407,C1419)</f>
        <v>0</v>
      </c>
    </row>
    <row r="1420" spans="1:4" x14ac:dyDescent="0.25">
      <c r="A1420" t="s">
        <v>2909</v>
      </c>
      <c r="B1420" s="5">
        <v>39798</v>
      </c>
      <c r="C1420" t="str">
        <f t="shared" si="22"/>
        <v>BWCBW009.00_39798</v>
      </c>
      <c r="D1420">
        <f>COUNTIF(data.SampSummary!$C$2:$C$1407,C1420)</f>
        <v>0</v>
      </c>
    </row>
    <row r="1421" spans="1:4" x14ac:dyDescent="0.25">
      <c r="A1421" t="s">
        <v>289</v>
      </c>
      <c r="B1421" s="5">
        <v>39797</v>
      </c>
      <c r="C1421" t="str">
        <f t="shared" si="22"/>
        <v>SPARA013.78_39797</v>
      </c>
      <c r="D1421">
        <f>COUNTIF(data.SampSummary!$C$2:$C$1407,C1421)</f>
        <v>1</v>
      </c>
    </row>
    <row r="1422" spans="1:4" x14ac:dyDescent="0.25">
      <c r="A1422" t="s">
        <v>2873</v>
      </c>
      <c r="B1422" s="5">
        <v>42374</v>
      </c>
      <c r="C1422" t="str">
        <f t="shared" si="22"/>
        <v>SRGIB000.11_42374</v>
      </c>
      <c r="D1422">
        <f>COUNTIF(data.SampSummary!$C$2:$C$1407,C1422)</f>
        <v>0</v>
      </c>
    </row>
    <row r="1423" spans="1:4" x14ac:dyDescent="0.25">
      <c r="A1423" t="s">
        <v>2870</v>
      </c>
      <c r="B1423" s="5">
        <v>42362</v>
      </c>
      <c r="C1423" t="str">
        <f t="shared" si="22"/>
        <v>SRPNT027.51_42362</v>
      </c>
      <c r="D1423">
        <f>COUNTIF(data.SampSummary!$C$2:$C$1407,C1423)</f>
        <v>0</v>
      </c>
    </row>
    <row r="1424" spans="1:4" x14ac:dyDescent="0.25">
      <c r="A1424" t="s">
        <v>102</v>
      </c>
      <c r="B1424" s="5">
        <v>39771</v>
      </c>
      <c r="C1424" t="str">
        <f t="shared" si="22"/>
        <v>UGKPK011.18_39771</v>
      </c>
      <c r="D1424">
        <f>COUNTIF(data.SampSummary!$C$2:$C$1407,C1424)</f>
        <v>0</v>
      </c>
    </row>
    <row r="1425" spans="1:4" x14ac:dyDescent="0.25">
      <c r="A1425" t="s">
        <v>344</v>
      </c>
      <c r="B1425" s="5">
        <v>39771</v>
      </c>
      <c r="C1425" t="str">
        <f t="shared" si="22"/>
        <v>UGSFR006.08_39771</v>
      </c>
      <c r="D1425">
        <f>COUNTIF(data.SampSummary!$C$2:$C$1407,C1425)</f>
        <v>0</v>
      </c>
    </row>
    <row r="1426" spans="1:4" x14ac:dyDescent="0.25">
      <c r="A1426" t="s">
        <v>2836</v>
      </c>
      <c r="B1426" s="5">
        <v>41232</v>
      </c>
      <c r="C1426" t="str">
        <f t="shared" si="22"/>
        <v>CLGLR010.53_41232</v>
      </c>
      <c r="D1426">
        <f>COUNTIF(data.SampSummary!$C$2:$C$1407,C1426)</f>
        <v>0</v>
      </c>
    </row>
    <row r="1427" spans="1:4" x14ac:dyDescent="0.25">
      <c r="A1427" t="s">
        <v>2108</v>
      </c>
      <c r="B1427" s="5">
        <v>39769</v>
      </c>
      <c r="C1427" t="str">
        <f t="shared" si="22"/>
        <v>UGSFR151.22_39769</v>
      </c>
      <c r="D1427">
        <f>COUNTIF(data.SampSummary!$C$2:$C$1407,C1427)</f>
        <v>0</v>
      </c>
    </row>
    <row r="1428" spans="1:4" x14ac:dyDescent="0.25">
      <c r="A1428" t="s">
        <v>54</v>
      </c>
      <c r="B1428" s="5">
        <v>39769</v>
      </c>
      <c r="C1428" t="str">
        <f t="shared" si="22"/>
        <v>UGCOL003.48_39769</v>
      </c>
      <c r="D1428">
        <f>COUNTIF(data.SampSummary!$C$2:$C$1407,C1428)</f>
        <v>0</v>
      </c>
    </row>
    <row r="1429" spans="1:4" x14ac:dyDescent="0.25">
      <c r="A1429" t="s">
        <v>2914</v>
      </c>
      <c r="B1429" s="5">
        <v>39764</v>
      </c>
      <c r="C1429" t="str">
        <f t="shared" si="22"/>
        <v>MGGLR313.73_39764</v>
      </c>
      <c r="D1429">
        <f>COUNTIF(data.SampSummary!$C$2:$C$1407,C1429)</f>
        <v>0</v>
      </c>
    </row>
    <row r="1430" spans="1:4" x14ac:dyDescent="0.25">
      <c r="A1430" t="s">
        <v>79</v>
      </c>
      <c r="B1430" s="5">
        <v>39763</v>
      </c>
      <c r="C1430" t="str">
        <f t="shared" si="22"/>
        <v>UGETK011.80_39763</v>
      </c>
      <c r="D1430">
        <f>COUNTIF(data.SampSummary!$C$2:$C$1407,C1430)</f>
        <v>1</v>
      </c>
    </row>
    <row r="1431" spans="1:4" x14ac:dyDescent="0.25">
      <c r="A1431" t="s">
        <v>261</v>
      </c>
      <c r="B1431" s="5">
        <v>41248</v>
      </c>
      <c r="C1431" t="str">
        <f t="shared" si="22"/>
        <v>VRWBV012.56_41248</v>
      </c>
      <c r="D1431">
        <f>COUNTIF(data.SampSummary!$C$2:$C$1407,C1431)</f>
        <v>0</v>
      </c>
    </row>
    <row r="1432" spans="1:4" x14ac:dyDescent="0.25">
      <c r="A1432" t="s">
        <v>2857</v>
      </c>
      <c r="B1432" s="5">
        <v>39762</v>
      </c>
      <c r="C1432" t="str">
        <f t="shared" si="22"/>
        <v>MGHSR000.77_39762</v>
      </c>
      <c r="D1432">
        <f>COUNTIF(data.SampSummary!$C$2:$C$1407,C1432)</f>
        <v>0</v>
      </c>
    </row>
    <row r="1433" spans="1:4" x14ac:dyDescent="0.25">
      <c r="A1433" t="s">
        <v>309</v>
      </c>
      <c r="B1433" s="5">
        <v>41262</v>
      </c>
      <c r="C1433" t="str">
        <f t="shared" si="22"/>
        <v>BWPEE003.51_41262</v>
      </c>
      <c r="D1433">
        <f>COUNTIF(data.SampSummary!$C$2:$C$1407,C1433)</f>
        <v>0</v>
      </c>
    </row>
    <row r="1434" spans="1:4" x14ac:dyDescent="0.25">
      <c r="A1434" t="s">
        <v>2873</v>
      </c>
      <c r="B1434" s="5">
        <v>41698</v>
      </c>
      <c r="C1434" t="str">
        <f t="shared" si="22"/>
        <v>SRGIB000.11_41698</v>
      </c>
      <c r="D1434">
        <f>COUNTIF(data.SampSummary!$C$2:$C$1407,C1434)</f>
        <v>0</v>
      </c>
    </row>
    <row r="1435" spans="1:4" x14ac:dyDescent="0.25">
      <c r="A1435" t="s">
        <v>190</v>
      </c>
      <c r="B1435" s="5">
        <v>39741</v>
      </c>
      <c r="C1435" t="str">
        <f t="shared" si="22"/>
        <v>MGAFR087.06_39741</v>
      </c>
      <c r="D1435">
        <f>COUNTIF(data.SampSummary!$C$2:$C$1407,C1435)</f>
        <v>0</v>
      </c>
    </row>
    <row r="1436" spans="1:4" x14ac:dyDescent="0.25">
      <c r="A1436" t="s">
        <v>150</v>
      </c>
      <c r="B1436" s="5">
        <v>39741</v>
      </c>
      <c r="C1436" t="str">
        <f t="shared" si="22"/>
        <v>MGHSR110.58_39741</v>
      </c>
      <c r="D1436">
        <f>COUNTIF(data.SampSummary!$C$2:$C$1407,C1436)</f>
        <v>0</v>
      </c>
    </row>
    <row r="1437" spans="1:4" x14ac:dyDescent="0.25">
      <c r="A1437" t="s">
        <v>199</v>
      </c>
      <c r="B1437" s="5">
        <v>39737</v>
      </c>
      <c r="C1437" t="str">
        <f t="shared" si="22"/>
        <v>UGBON006.41_39737</v>
      </c>
      <c r="D1437">
        <f>COUNTIF(data.SampSummary!$C$2:$C$1407,C1437)</f>
        <v>0</v>
      </c>
    </row>
    <row r="1438" spans="1:4" x14ac:dyDescent="0.25">
      <c r="A1438" t="s">
        <v>2914</v>
      </c>
      <c r="B1438" s="5">
        <v>39707</v>
      </c>
      <c r="C1438" t="str">
        <f t="shared" si="22"/>
        <v>MGGLR313.73_39707</v>
      </c>
      <c r="D1438">
        <f>COUNTIF(data.SampSummary!$C$2:$C$1407,C1438)</f>
        <v>0</v>
      </c>
    </row>
    <row r="1439" spans="1:4" x14ac:dyDescent="0.25">
      <c r="A1439" t="s">
        <v>213</v>
      </c>
      <c r="B1439" s="5">
        <v>40717</v>
      </c>
      <c r="C1439" t="str">
        <f t="shared" si="22"/>
        <v>VRPIE008.19_40717</v>
      </c>
      <c r="D1439">
        <f>COUNTIF(data.SampSummary!$C$2:$C$1407,C1439)</f>
        <v>1</v>
      </c>
    </row>
    <row r="1440" spans="1:4" x14ac:dyDescent="0.25">
      <c r="A1440" t="s">
        <v>344</v>
      </c>
      <c r="B1440" s="5">
        <v>39687</v>
      </c>
      <c r="C1440" t="str">
        <f t="shared" si="22"/>
        <v>UGSFR006.08_39687</v>
      </c>
      <c r="D1440">
        <f>COUNTIF(data.SampSummary!$C$2:$C$1407,C1440)</f>
        <v>0</v>
      </c>
    </row>
    <row r="1441" spans="1:4" x14ac:dyDescent="0.25">
      <c r="A1441" t="s">
        <v>2916</v>
      </c>
      <c r="B1441" s="5">
        <v>39681</v>
      </c>
      <c r="C1441" t="str">
        <f t="shared" si="22"/>
        <v>BWCBW009.10_39681</v>
      </c>
      <c r="D1441">
        <f>COUNTIF(data.SampSummary!$C$2:$C$1407,C1441)</f>
        <v>0</v>
      </c>
    </row>
    <row r="1442" spans="1:4" x14ac:dyDescent="0.25">
      <c r="A1442" t="s">
        <v>241</v>
      </c>
      <c r="B1442" s="5">
        <v>39679</v>
      </c>
      <c r="C1442" t="str">
        <f t="shared" si="22"/>
        <v>SCCIE019.90_39679</v>
      </c>
      <c r="D1442">
        <f>COUNTIF(data.SampSummary!$C$2:$C$1407,C1442)</f>
        <v>0</v>
      </c>
    </row>
    <row r="1443" spans="1:4" x14ac:dyDescent="0.25">
      <c r="A1443" t="s">
        <v>228</v>
      </c>
      <c r="B1443" s="5">
        <v>39675</v>
      </c>
      <c r="C1443" t="str">
        <f t="shared" si="22"/>
        <v>MGHSR048.20_39675</v>
      </c>
      <c r="D1443">
        <f>COUNTIF(data.SampSummary!$C$2:$C$1407,C1443)</f>
        <v>0</v>
      </c>
    </row>
    <row r="1444" spans="1:4" x14ac:dyDescent="0.25">
      <c r="A1444" t="s">
        <v>223</v>
      </c>
      <c r="B1444" s="5">
        <v>41319</v>
      </c>
      <c r="C1444" t="str">
        <f t="shared" si="22"/>
        <v>SPBHC004.31_41319</v>
      </c>
      <c r="D1444">
        <f>COUNTIF(data.SampSummary!$C$2:$C$1407,C1444)</f>
        <v>0</v>
      </c>
    </row>
    <row r="1445" spans="1:4" x14ac:dyDescent="0.25">
      <c r="A1445" t="s">
        <v>360</v>
      </c>
      <c r="B1445" s="5">
        <v>41381</v>
      </c>
      <c r="C1445" t="str">
        <f t="shared" si="22"/>
        <v>SCSCR039.63_41381</v>
      </c>
      <c r="D1445">
        <f>COUNTIF(data.SampSummary!$C$2:$C$1407,C1445)</f>
        <v>1</v>
      </c>
    </row>
    <row r="1446" spans="1:4" x14ac:dyDescent="0.25">
      <c r="A1446" t="s">
        <v>83</v>
      </c>
      <c r="B1446" s="5">
        <v>40353</v>
      </c>
      <c r="C1446" t="str">
        <f t="shared" si="22"/>
        <v>LCELR008.70_40353</v>
      </c>
      <c r="D1446">
        <f>COUNTIF(data.SampSummary!$C$2:$C$1407,C1446)</f>
        <v>1</v>
      </c>
    </row>
    <row r="1447" spans="1:4" x14ac:dyDescent="0.25">
      <c r="A1447" t="s">
        <v>87</v>
      </c>
      <c r="B1447" s="5">
        <v>40353</v>
      </c>
      <c r="C1447" t="str">
        <f t="shared" si="22"/>
        <v>LCLVL001.32_40353</v>
      </c>
      <c r="D1447">
        <f>COUNTIF(data.SampSummary!$C$2:$C$1407,C1447)</f>
        <v>1</v>
      </c>
    </row>
    <row r="1448" spans="1:4" x14ac:dyDescent="0.25">
      <c r="A1448" t="s">
        <v>92</v>
      </c>
      <c r="B1448" s="5">
        <v>40353</v>
      </c>
      <c r="C1448" t="str">
        <f t="shared" si="22"/>
        <v>LCLIL002.16_40353</v>
      </c>
      <c r="D1448">
        <f>COUNTIF(data.SampSummary!$C$2:$C$1407,C1448)</f>
        <v>1</v>
      </c>
    </row>
    <row r="1449" spans="1:4" x14ac:dyDescent="0.25">
      <c r="A1449" t="s">
        <v>63</v>
      </c>
      <c r="B1449" s="5">
        <v>40352</v>
      </c>
      <c r="C1449" t="str">
        <f t="shared" si="22"/>
        <v>LCRUD007.23_40352</v>
      </c>
      <c r="D1449">
        <f>COUNTIF(data.SampSummary!$C$2:$C$1407,C1449)</f>
        <v>1</v>
      </c>
    </row>
    <row r="1450" spans="1:4" x14ac:dyDescent="0.25">
      <c r="A1450" t="s">
        <v>90</v>
      </c>
      <c r="B1450" s="5">
        <v>40351</v>
      </c>
      <c r="C1450" t="str">
        <f t="shared" si="22"/>
        <v>LCPAD001.30_40351</v>
      </c>
      <c r="D1450">
        <f>COUNTIF(data.SampSummary!$C$2:$C$1407,C1450)</f>
        <v>1</v>
      </c>
    </row>
    <row r="1451" spans="1:4" x14ac:dyDescent="0.25">
      <c r="A1451" t="s">
        <v>194</v>
      </c>
      <c r="B1451" s="5">
        <v>40345</v>
      </c>
      <c r="C1451" t="str">
        <f t="shared" si="22"/>
        <v>CGVGR044.58_40345</v>
      </c>
      <c r="D1451">
        <f>COUNTIF(data.SampSummary!$C$2:$C$1407,C1451)</f>
        <v>1</v>
      </c>
    </row>
    <row r="1452" spans="1:4" x14ac:dyDescent="0.25">
      <c r="A1452" t="s">
        <v>247</v>
      </c>
      <c r="B1452" s="5">
        <v>40340</v>
      </c>
      <c r="C1452" t="str">
        <f t="shared" si="22"/>
        <v>BWTRT002.43_40340</v>
      </c>
      <c r="D1452">
        <f>COUNTIF(data.SampSummary!$C$2:$C$1407,C1452)</f>
        <v>1</v>
      </c>
    </row>
    <row r="1453" spans="1:4" x14ac:dyDescent="0.25">
      <c r="A1453" t="s">
        <v>218</v>
      </c>
      <c r="B1453" s="5">
        <v>40339</v>
      </c>
      <c r="C1453" t="str">
        <f t="shared" si="22"/>
        <v>BWBWR038.52_40339</v>
      </c>
      <c r="D1453">
        <f>COUNTIF(data.SampSummary!$C$2:$C$1407,C1453)</f>
        <v>1</v>
      </c>
    </row>
    <row r="1454" spans="1:4" x14ac:dyDescent="0.25">
      <c r="A1454" t="s">
        <v>212</v>
      </c>
      <c r="B1454" s="5">
        <v>40339</v>
      </c>
      <c r="C1454" t="str">
        <f t="shared" si="22"/>
        <v>BWBWR025.86_40339</v>
      </c>
      <c r="D1454">
        <f>COUNTIF(data.SampSummary!$C$2:$C$1407,C1454)</f>
        <v>1</v>
      </c>
    </row>
    <row r="1455" spans="1:4" x14ac:dyDescent="0.25">
      <c r="A1455" t="s">
        <v>134</v>
      </c>
      <c r="B1455" s="5">
        <v>40332</v>
      </c>
      <c r="C1455" t="str">
        <f t="shared" si="22"/>
        <v>LCLCR323.60_40332</v>
      </c>
      <c r="D1455">
        <f>COUNTIF(data.SampSummary!$C$2:$C$1407,C1455)</f>
        <v>1</v>
      </c>
    </row>
    <row r="1456" spans="1:4" x14ac:dyDescent="0.25">
      <c r="A1456" t="s">
        <v>247</v>
      </c>
      <c r="B1456" s="5">
        <v>40317</v>
      </c>
      <c r="C1456" t="str">
        <f t="shared" si="22"/>
        <v>BWTRT002.43_40317</v>
      </c>
      <c r="D1456">
        <f>COUNTIF(data.SampSummary!$C$2:$C$1407,C1456)</f>
        <v>1</v>
      </c>
    </row>
    <row r="1457" spans="1:4" x14ac:dyDescent="0.25">
      <c r="A1457" t="s">
        <v>1772</v>
      </c>
      <c r="B1457" s="5">
        <v>40316</v>
      </c>
      <c r="C1457" t="str">
        <f t="shared" si="22"/>
        <v>BWBSR015.60_40316</v>
      </c>
      <c r="D1457">
        <f>COUNTIF(data.SampSummary!$C$2:$C$1407,C1457)</f>
        <v>1</v>
      </c>
    </row>
    <row r="1458" spans="1:4" x14ac:dyDescent="0.25">
      <c r="A1458" t="s">
        <v>369</v>
      </c>
      <c r="B1458" s="5">
        <v>41410</v>
      </c>
      <c r="C1458" t="str">
        <f t="shared" si="22"/>
        <v>MGHSR002.67_41410</v>
      </c>
      <c r="D1458">
        <f>COUNTIF(data.SampSummary!$C$2:$C$1407,C1458)</f>
        <v>1</v>
      </c>
    </row>
    <row r="1459" spans="1:4" x14ac:dyDescent="0.25">
      <c r="A1459" t="s">
        <v>100</v>
      </c>
      <c r="B1459" s="5">
        <v>41436</v>
      </c>
      <c r="C1459" t="str">
        <f t="shared" si="22"/>
        <v>SRBWL005.79_41436</v>
      </c>
      <c r="D1459">
        <f>COUNTIF(data.SampSummary!$C$2:$C$1407,C1459)</f>
        <v>1</v>
      </c>
    </row>
    <row r="1460" spans="1:4" x14ac:dyDescent="0.25">
      <c r="A1460" t="s">
        <v>142</v>
      </c>
      <c r="B1460" s="5">
        <v>40303</v>
      </c>
      <c r="C1460" t="str">
        <f t="shared" si="22"/>
        <v>LCLCR336.72_40303</v>
      </c>
      <c r="D1460">
        <f>COUNTIF(data.SampSummary!$C$2:$C$1407,C1460)</f>
        <v>0</v>
      </c>
    </row>
    <row r="1461" spans="1:4" x14ac:dyDescent="0.25">
      <c r="A1461" t="s">
        <v>245</v>
      </c>
      <c r="B1461" s="5">
        <v>41442</v>
      </c>
      <c r="C1461" t="str">
        <f t="shared" si="22"/>
        <v>SRHAG007.47_41442</v>
      </c>
      <c r="D1461">
        <f>COUNTIF(data.SampSummary!$C$2:$C$1407,C1461)</f>
        <v>1</v>
      </c>
    </row>
    <row r="1462" spans="1:4" x14ac:dyDescent="0.25">
      <c r="A1462" t="s">
        <v>207</v>
      </c>
      <c r="B1462" s="5">
        <v>40295</v>
      </c>
      <c r="C1462" t="str">
        <f t="shared" si="22"/>
        <v>CGVGR039.41_40295</v>
      </c>
      <c r="D1462">
        <f>COUNTIF(data.SampSummary!$C$2:$C$1407,C1462)</f>
        <v>0</v>
      </c>
    </row>
    <row r="1463" spans="1:4" x14ac:dyDescent="0.25">
      <c r="A1463" t="s">
        <v>219</v>
      </c>
      <c r="B1463" s="5">
        <v>40295</v>
      </c>
      <c r="C1463" t="str">
        <f t="shared" si="22"/>
        <v>CGVGR052.23_40295</v>
      </c>
      <c r="D1463">
        <f>COUNTIF(data.SampSummary!$C$2:$C$1407,C1463)</f>
        <v>0</v>
      </c>
    </row>
    <row r="1464" spans="1:4" x14ac:dyDescent="0.25">
      <c r="A1464" t="s">
        <v>278</v>
      </c>
      <c r="B1464" s="5">
        <v>40289</v>
      </c>
      <c r="C1464" t="str">
        <f t="shared" si="22"/>
        <v>BWBSR037.79_40289</v>
      </c>
      <c r="D1464">
        <f>COUNTIF(data.SampSummary!$C$2:$C$1407,C1464)</f>
        <v>1</v>
      </c>
    </row>
    <row r="1465" spans="1:4" x14ac:dyDescent="0.25">
      <c r="A1465" t="s">
        <v>1772</v>
      </c>
      <c r="B1465" s="5">
        <v>40270</v>
      </c>
      <c r="C1465" t="str">
        <f t="shared" si="22"/>
        <v>BWBSR015.60_40270</v>
      </c>
      <c r="D1465">
        <f>COUNTIF(data.SampSummary!$C$2:$C$1407,C1465)</f>
        <v>0</v>
      </c>
    </row>
    <row r="1466" spans="1:4" x14ac:dyDescent="0.25">
      <c r="A1466" t="s">
        <v>118</v>
      </c>
      <c r="B1466" s="5">
        <v>40246</v>
      </c>
      <c r="C1466" t="str">
        <f t="shared" si="22"/>
        <v>LCSIL027.05_40246</v>
      </c>
      <c r="D1466">
        <f>COUNTIF(data.SampSummary!$C$2:$C$1407,C1466)</f>
        <v>0</v>
      </c>
    </row>
    <row r="1467" spans="1:4" x14ac:dyDescent="0.25">
      <c r="A1467" t="s">
        <v>219</v>
      </c>
      <c r="B1467" s="5">
        <v>40246</v>
      </c>
      <c r="C1467" t="str">
        <f t="shared" si="22"/>
        <v>CGVGR052.23_40246</v>
      </c>
      <c r="D1467">
        <f>COUNTIF(data.SampSummary!$C$2:$C$1407,C1467)</f>
        <v>0</v>
      </c>
    </row>
    <row r="1468" spans="1:4" x14ac:dyDescent="0.25">
      <c r="A1468" t="s">
        <v>207</v>
      </c>
      <c r="B1468" s="5">
        <v>40246</v>
      </c>
      <c r="C1468" t="str">
        <f t="shared" si="22"/>
        <v>CGVGR039.41_40246</v>
      </c>
      <c r="D1468">
        <f>COUNTIF(data.SampSummary!$C$2:$C$1407,C1468)</f>
        <v>0</v>
      </c>
    </row>
    <row r="1469" spans="1:4" x14ac:dyDescent="0.25">
      <c r="A1469" t="s">
        <v>385</v>
      </c>
      <c r="B1469" s="5">
        <v>40246</v>
      </c>
      <c r="C1469" t="str">
        <f t="shared" si="22"/>
        <v>CGBDW000.99_40246</v>
      </c>
      <c r="D1469">
        <f>COUNTIF(data.SampSummary!$C$2:$C$1407,C1469)</f>
        <v>0</v>
      </c>
    </row>
    <row r="1470" spans="1:4" x14ac:dyDescent="0.25">
      <c r="A1470" t="s">
        <v>229</v>
      </c>
      <c r="B1470" s="5">
        <v>40233</v>
      </c>
      <c r="C1470" t="str">
        <f t="shared" si="22"/>
        <v>BWBSR034.68_40233</v>
      </c>
      <c r="D1470">
        <f>COUNTIF(data.SampSummary!$C$2:$C$1407,C1470)</f>
        <v>0</v>
      </c>
    </row>
    <row r="1471" spans="1:4" x14ac:dyDescent="0.25">
      <c r="A1471" t="s">
        <v>278</v>
      </c>
      <c r="B1471" s="5">
        <v>40233</v>
      </c>
      <c r="C1471" t="str">
        <f t="shared" si="22"/>
        <v>BWBSR037.79_40233</v>
      </c>
      <c r="D1471">
        <f>COUNTIF(data.SampSummary!$C$2:$C$1407,C1471)</f>
        <v>0</v>
      </c>
    </row>
    <row r="1472" spans="1:4" x14ac:dyDescent="0.25">
      <c r="A1472" t="s">
        <v>218</v>
      </c>
      <c r="B1472" s="5">
        <v>40231</v>
      </c>
      <c r="C1472" t="str">
        <f t="shared" si="22"/>
        <v>BWBWR038.52_40231</v>
      </c>
      <c r="D1472">
        <f>COUNTIF(data.SampSummary!$C$2:$C$1407,C1472)</f>
        <v>0</v>
      </c>
    </row>
    <row r="1473" spans="1:4" x14ac:dyDescent="0.25">
      <c r="A1473" t="s">
        <v>212</v>
      </c>
      <c r="B1473" s="5">
        <v>40231</v>
      </c>
      <c r="C1473" t="str">
        <f t="shared" si="22"/>
        <v>BWBWR025.86_40231</v>
      </c>
      <c r="D1473">
        <f>COUNTIF(data.SampSummary!$C$2:$C$1407,C1473)</f>
        <v>0</v>
      </c>
    </row>
    <row r="1474" spans="1:4" x14ac:dyDescent="0.25">
      <c r="A1474" t="s">
        <v>207</v>
      </c>
      <c r="B1474" s="5">
        <v>40127</v>
      </c>
      <c r="C1474" t="str">
        <f t="shared" si="22"/>
        <v>CGVGR039.41_40127</v>
      </c>
      <c r="D1474">
        <f>COUNTIF(data.SampSummary!$C$2:$C$1407,C1474)</f>
        <v>0</v>
      </c>
    </row>
    <row r="1475" spans="1:4" x14ac:dyDescent="0.25">
      <c r="A1475" t="s">
        <v>385</v>
      </c>
      <c r="B1475" s="5">
        <v>40127</v>
      </c>
      <c r="C1475" t="str">
        <f t="shared" ref="C1475:C1538" si="23">A1475&amp;"_"&amp;B1475</f>
        <v>CGBDW000.99_40127</v>
      </c>
      <c r="D1475">
        <f>COUNTIF(data.SampSummary!$C$2:$C$1407,C1475)</f>
        <v>0</v>
      </c>
    </row>
    <row r="1476" spans="1:4" x14ac:dyDescent="0.25">
      <c r="A1476" t="s">
        <v>1573</v>
      </c>
      <c r="B1476" s="5">
        <v>40111</v>
      </c>
      <c r="C1476" t="str">
        <f t="shared" si="23"/>
        <v>CGSPG000.17_40111</v>
      </c>
      <c r="D1476">
        <f>COUNTIF(data.SampSummary!$C$2:$C$1407,C1476)</f>
        <v>1</v>
      </c>
    </row>
    <row r="1477" spans="1:4" x14ac:dyDescent="0.25">
      <c r="A1477" t="s">
        <v>1398</v>
      </c>
      <c r="B1477" s="5">
        <v>40108</v>
      </c>
      <c r="C1477" t="str">
        <f t="shared" si="23"/>
        <v>CGNAT000.48_40108</v>
      </c>
      <c r="D1477">
        <f>COUNTIF(data.SampSummary!$C$2:$C$1407,C1477)</f>
        <v>1</v>
      </c>
    </row>
    <row r="1478" spans="1:4" x14ac:dyDescent="0.25">
      <c r="A1478" t="s">
        <v>102</v>
      </c>
      <c r="B1478" s="5">
        <v>41079</v>
      </c>
      <c r="C1478" t="str">
        <f t="shared" si="23"/>
        <v>UGKPK011.18_41079</v>
      </c>
      <c r="D1478">
        <f>COUNTIF(data.SampSummary!$C$2:$C$1407,C1478)</f>
        <v>1</v>
      </c>
    </row>
    <row r="1479" spans="1:4" x14ac:dyDescent="0.25">
      <c r="A1479" t="s">
        <v>205</v>
      </c>
      <c r="B1479" s="5">
        <v>40105</v>
      </c>
      <c r="C1479" t="str">
        <f t="shared" si="23"/>
        <v>CGRYA000.05_40105</v>
      </c>
      <c r="D1479">
        <f>COUNTIF(data.SampSummary!$C$2:$C$1407,C1479)</f>
        <v>1</v>
      </c>
    </row>
    <row r="1480" spans="1:4" x14ac:dyDescent="0.25">
      <c r="A1480" t="s">
        <v>64</v>
      </c>
      <c r="B1480" s="5">
        <v>41079</v>
      </c>
      <c r="C1480" t="str">
        <f t="shared" si="23"/>
        <v>SRCKN001.61_41079</v>
      </c>
      <c r="D1480">
        <f>COUNTIF(data.SampSummary!$C$2:$C$1407,C1480)</f>
        <v>1</v>
      </c>
    </row>
    <row r="1481" spans="1:4" x14ac:dyDescent="0.25">
      <c r="A1481" t="s">
        <v>1568</v>
      </c>
      <c r="B1481" s="5">
        <v>40103</v>
      </c>
      <c r="C1481" t="str">
        <f t="shared" si="23"/>
        <v>CGMON000.19_40103</v>
      </c>
      <c r="D1481">
        <f>COUNTIF(data.SampSummary!$C$2:$C$1407,C1481)</f>
        <v>0</v>
      </c>
    </row>
    <row r="1482" spans="1:4" x14ac:dyDescent="0.25">
      <c r="A1482" t="s">
        <v>246</v>
      </c>
      <c r="B1482" s="5">
        <v>40103</v>
      </c>
      <c r="C1482" t="str">
        <f t="shared" si="23"/>
        <v>CGHRM000.08_40103</v>
      </c>
      <c r="D1482">
        <f>COUNTIF(data.SampSummary!$C$2:$C$1407,C1482)</f>
        <v>1</v>
      </c>
    </row>
    <row r="1483" spans="1:4" x14ac:dyDescent="0.25">
      <c r="A1483" t="s">
        <v>1509</v>
      </c>
      <c r="B1483" s="5">
        <v>40102</v>
      </c>
      <c r="C1483" t="str">
        <f t="shared" si="23"/>
        <v>CGBRA001.36_40102</v>
      </c>
      <c r="D1483">
        <f>COUNTIF(data.SampSummary!$C$2:$C$1407,C1483)</f>
        <v>1</v>
      </c>
    </row>
    <row r="1484" spans="1:4" x14ac:dyDescent="0.25">
      <c r="A1484" t="s">
        <v>360</v>
      </c>
      <c r="B1484" s="5">
        <v>41743</v>
      </c>
      <c r="C1484" t="str">
        <f t="shared" si="23"/>
        <v>SCSCR039.63_41743</v>
      </c>
      <c r="D1484">
        <f>COUNTIF(data.SampSummary!$C$2:$C$1407,C1484)</f>
        <v>1</v>
      </c>
    </row>
    <row r="1485" spans="1:4" x14ac:dyDescent="0.25">
      <c r="A1485" t="s">
        <v>98</v>
      </c>
      <c r="B1485" s="5">
        <v>40085</v>
      </c>
      <c r="C1485" t="str">
        <f t="shared" si="23"/>
        <v>LCFIS003.86_40085</v>
      </c>
      <c r="D1485">
        <f>COUNTIF(data.SampSummary!$C$2:$C$1407,C1485)</f>
        <v>0</v>
      </c>
    </row>
    <row r="1486" spans="1:4" x14ac:dyDescent="0.25">
      <c r="A1486" t="s">
        <v>87</v>
      </c>
      <c r="B1486" s="5">
        <v>40078</v>
      </c>
      <c r="C1486" t="str">
        <f t="shared" si="23"/>
        <v>LCLVL001.32_40078</v>
      </c>
      <c r="D1486">
        <f>COUNTIF(data.SampSummary!$C$2:$C$1407,C1486)</f>
        <v>0</v>
      </c>
    </row>
    <row r="1487" spans="1:4" x14ac:dyDescent="0.25">
      <c r="A1487" t="s">
        <v>2815</v>
      </c>
      <c r="B1487" s="5">
        <v>40063</v>
      </c>
      <c r="C1487" t="str">
        <f t="shared" si="23"/>
        <v>LCLCR212.96_40063</v>
      </c>
      <c r="D1487">
        <f>COUNTIF(data.SampSummary!$C$2:$C$1407,C1487)</f>
        <v>0</v>
      </c>
    </row>
    <row r="1488" spans="1:4" x14ac:dyDescent="0.25">
      <c r="A1488" t="s">
        <v>2811</v>
      </c>
      <c r="B1488" s="5">
        <v>40063</v>
      </c>
      <c r="C1488" t="str">
        <f t="shared" si="23"/>
        <v>LCLCR216.67_40063</v>
      </c>
      <c r="D1488">
        <f>COUNTIF(data.SampSummary!$C$2:$C$1407,C1488)</f>
        <v>0</v>
      </c>
    </row>
    <row r="1489" spans="1:4" x14ac:dyDescent="0.25">
      <c r="A1489" t="s">
        <v>2812</v>
      </c>
      <c r="B1489" s="5">
        <v>40063</v>
      </c>
      <c r="C1489" t="str">
        <f t="shared" si="23"/>
        <v>LCLCR226.31_40063</v>
      </c>
      <c r="D1489">
        <f>COUNTIF(data.SampSummary!$C$2:$C$1407,C1489)</f>
        <v>0</v>
      </c>
    </row>
    <row r="1490" spans="1:4" x14ac:dyDescent="0.25">
      <c r="A1490" t="s">
        <v>2814</v>
      </c>
      <c r="B1490" s="5">
        <v>40063</v>
      </c>
      <c r="C1490" t="str">
        <f t="shared" si="23"/>
        <v>LCSIL000.06_40063</v>
      </c>
      <c r="D1490">
        <f>COUNTIF(data.SampSummary!$C$2:$C$1407,C1490)</f>
        <v>0</v>
      </c>
    </row>
    <row r="1491" spans="1:4" x14ac:dyDescent="0.25">
      <c r="A1491" t="s">
        <v>2841</v>
      </c>
      <c r="B1491" s="5">
        <v>40062</v>
      </c>
      <c r="C1491" t="str">
        <f t="shared" si="23"/>
        <v>LCLCR206.75_40062</v>
      </c>
      <c r="D1491">
        <f>COUNTIF(data.SampSummary!$C$2:$C$1407,C1491)</f>
        <v>0</v>
      </c>
    </row>
    <row r="1492" spans="1:4" x14ac:dyDescent="0.25">
      <c r="A1492" t="s">
        <v>2841</v>
      </c>
      <c r="B1492" s="5">
        <v>40061</v>
      </c>
      <c r="C1492" t="str">
        <f t="shared" si="23"/>
        <v>LCLCR206.75_40061</v>
      </c>
      <c r="D1492">
        <f>COUNTIF(data.SampSummary!$C$2:$C$1407,C1492)</f>
        <v>0</v>
      </c>
    </row>
    <row r="1493" spans="1:4" x14ac:dyDescent="0.25">
      <c r="A1493" t="s">
        <v>2812</v>
      </c>
      <c r="B1493" s="5">
        <v>40032</v>
      </c>
      <c r="C1493" t="str">
        <f t="shared" si="23"/>
        <v>LCLCR226.31_40032</v>
      </c>
      <c r="D1493">
        <f>COUNTIF(data.SampSummary!$C$2:$C$1407,C1493)</f>
        <v>0</v>
      </c>
    </row>
    <row r="1494" spans="1:4" x14ac:dyDescent="0.25">
      <c r="A1494" t="s">
        <v>2812</v>
      </c>
      <c r="B1494" s="5">
        <v>40031</v>
      </c>
      <c r="C1494" t="str">
        <f t="shared" si="23"/>
        <v>LCLCR226.31_40031</v>
      </c>
      <c r="D1494">
        <f>COUNTIF(data.SampSummary!$C$2:$C$1407,C1494)</f>
        <v>0</v>
      </c>
    </row>
    <row r="1495" spans="1:4" x14ac:dyDescent="0.25">
      <c r="A1495" t="s">
        <v>102</v>
      </c>
      <c r="B1495" s="5">
        <v>40024</v>
      </c>
      <c r="C1495" t="str">
        <f t="shared" si="23"/>
        <v>UGKPK011.18_40024</v>
      </c>
      <c r="D1495">
        <f>COUNTIF(data.SampSummary!$C$2:$C$1407,C1495)</f>
        <v>1</v>
      </c>
    </row>
    <row r="1496" spans="1:4" x14ac:dyDescent="0.25">
      <c r="A1496" t="s">
        <v>42</v>
      </c>
      <c r="B1496" s="5">
        <v>40023</v>
      </c>
      <c r="C1496" t="str">
        <f t="shared" si="23"/>
        <v>UGLAN000.60_40023</v>
      </c>
      <c r="D1496">
        <f>COUNTIF(data.SampSummary!$C$2:$C$1407,C1496)</f>
        <v>1</v>
      </c>
    </row>
    <row r="1497" spans="1:4" x14ac:dyDescent="0.25">
      <c r="A1497" t="s">
        <v>2812</v>
      </c>
      <c r="B1497" s="5">
        <v>40015</v>
      </c>
      <c r="C1497" t="str">
        <f t="shared" si="23"/>
        <v>LCLCR226.31_40015</v>
      </c>
      <c r="D1497">
        <f>COUNTIF(data.SampSummary!$C$2:$C$1407,C1497)</f>
        <v>0</v>
      </c>
    </row>
    <row r="1498" spans="1:4" x14ac:dyDescent="0.25">
      <c r="A1498" t="s">
        <v>2841</v>
      </c>
      <c r="B1498" s="5">
        <v>40015</v>
      </c>
      <c r="C1498" t="str">
        <f t="shared" si="23"/>
        <v>LCLCR206.75_40015</v>
      </c>
      <c r="D1498">
        <f>COUNTIF(data.SampSummary!$C$2:$C$1407,C1498)</f>
        <v>0</v>
      </c>
    </row>
    <row r="1499" spans="1:4" x14ac:dyDescent="0.25">
      <c r="A1499" t="s">
        <v>2836</v>
      </c>
      <c r="B1499" s="5">
        <v>41596</v>
      </c>
      <c r="C1499" t="str">
        <f t="shared" si="23"/>
        <v>CLGLR010.53_41596</v>
      </c>
      <c r="D1499">
        <f>COUNTIF(data.SampSummary!$C$2:$C$1407,C1499)</f>
        <v>0</v>
      </c>
    </row>
    <row r="1500" spans="1:4" x14ac:dyDescent="0.25">
      <c r="A1500" t="s">
        <v>192</v>
      </c>
      <c r="B1500" s="5">
        <v>41905</v>
      </c>
      <c r="C1500" t="str">
        <f t="shared" si="23"/>
        <v>SPSPR150.09_41905</v>
      </c>
      <c r="D1500">
        <f>COUNTIF(data.SampSummary!$C$2:$C$1407,C1500)</f>
        <v>0</v>
      </c>
    </row>
    <row r="1501" spans="1:4" x14ac:dyDescent="0.25">
      <c r="A1501" t="s">
        <v>40</v>
      </c>
      <c r="B1501" s="5">
        <v>40716</v>
      </c>
      <c r="C1501" t="str">
        <f t="shared" si="23"/>
        <v>VRWEB009.13_40716</v>
      </c>
      <c r="D1501">
        <f>COUNTIF(data.SampSummary!$C$2:$C$1407,C1501)</f>
        <v>0</v>
      </c>
    </row>
    <row r="1502" spans="1:4" x14ac:dyDescent="0.25">
      <c r="A1502" t="s">
        <v>2917</v>
      </c>
      <c r="B1502" s="5">
        <v>40715</v>
      </c>
      <c r="C1502" t="str">
        <f t="shared" si="23"/>
        <v>SPCOP010.29_40715</v>
      </c>
      <c r="D1502">
        <f>COUNTIF(data.SampSummary!$C$2:$C$1407,C1502)</f>
        <v>0</v>
      </c>
    </row>
    <row r="1503" spans="1:4" x14ac:dyDescent="0.25">
      <c r="A1503" t="s">
        <v>2918</v>
      </c>
      <c r="B1503" s="5">
        <v>40715</v>
      </c>
      <c r="C1503" t="str">
        <f t="shared" si="23"/>
        <v>SPCOP009.81_40715</v>
      </c>
      <c r="D1503">
        <f>COUNTIF(data.SampSummary!$C$2:$C$1407,C1503)</f>
        <v>0</v>
      </c>
    </row>
    <row r="1504" spans="1:4" x14ac:dyDescent="0.25">
      <c r="A1504" t="s">
        <v>168</v>
      </c>
      <c r="B1504" s="5">
        <v>40709</v>
      </c>
      <c r="C1504" t="str">
        <f t="shared" si="23"/>
        <v>VRELL009.02_40709</v>
      </c>
      <c r="D1504">
        <f>COUNTIF(data.SampSummary!$C$2:$C$1407,C1504)</f>
        <v>1</v>
      </c>
    </row>
    <row r="1505" spans="1:4" x14ac:dyDescent="0.25">
      <c r="A1505" t="s">
        <v>26</v>
      </c>
      <c r="B1505" s="5">
        <v>40708</v>
      </c>
      <c r="C1505" t="str">
        <f t="shared" si="23"/>
        <v>VRPIE016.49_40708</v>
      </c>
      <c r="D1505">
        <f>COUNTIF(data.SampSummary!$C$2:$C$1407,C1505)</f>
        <v>1</v>
      </c>
    </row>
    <row r="1506" spans="1:4" x14ac:dyDescent="0.25">
      <c r="A1506" t="s">
        <v>45</v>
      </c>
      <c r="B1506" s="5">
        <v>40702</v>
      </c>
      <c r="C1506" t="str">
        <f t="shared" si="23"/>
        <v>SRREY001.14_40702</v>
      </c>
      <c r="D1506">
        <f>COUNTIF(data.SampSummary!$C$2:$C$1407,C1506)</f>
        <v>1</v>
      </c>
    </row>
    <row r="1507" spans="1:4" x14ac:dyDescent="0.25">
      <c r="A1507" t="s">
        <v>220</v>
      </c>
      <c r="B1507" s="5">
        <v>40696</v>
      </c>
      <c r="C1507" t="str">
        <f t="shared" si="23"/>
        <v>SRWPN004.47_40696</v>
      </c>
      <c r="D1507">
        <f>COUNTIF(data.SampSummary!$C$2:$C$1407,C1507)</f>
        <v>1</v>
      </c>
    </row>
    <row r="1508" spans="1:4" x14ac:dyDescent="0.25">
      <c r="A1508" t="s">
        <v>334</v>
      </c>
      <c r="B1508" s="5">
        <v>40688</v>
      </c>
      <c r="C1508" t="str">
        <f t="shared" si="23"/>
        <v>SRSLR139.75_40688</v>
      </c>
      <c r="D1508">
        <f>COUNTIF(data.SampSummary!$C$2:$C$1407,C1508)</f>
        <v>1</v>
      </c>
    </row>
    <row r="1509" spans="1:4" x14ac:dyDescent="0.25">
      <c r="A1509" t="s">
        <v>360</v>
      </c>
      <c r="B1509" s="5">
        <v>40675</v>
      </c>
      <c r="C1509" t="str">
        <f t="shared" si="23"/>
        <v>SCSCR039.63_40675</v>
      </c>
      <c r="D1509">
        <f>COUNTIF(data.SampSummary!$C$2:$C$1407,C1509)</f>
        <v>1</v>
      </c>
    </row>
    <row r="1510" spans="1:4" x14ac:dyDescent="0.25">
      <c r="A1510" t="s">
        <v>64</v>
      </c>
      <c r="B1510" s="5">
        <v>40668</v>
      </c>
      <c r="C1510" t="str">
        <f t="shared" si="23"/>
        <v>SRCKN001.61_40668</v>
      </c>
      <c r="D1510">
        <f>COUNTIF(data.SampSummary!$C$2:$C$1407,C1510)</f>
        <v>0</v>
      </c>
    </row>
    <row r="1511" spans="1:4" x14ac:dyDescent="0.25">
      <c r="A1511" t="s">
        <v>100</v>
      </c>
      <c r="B1511" s="5">
        <v>40667</v>
      </c>
      <c r="C1511" t="str">
        <f t="shared" si="23"/>
        <v>SRBWL005.79_40667</v>
      </c>
      <c r="D1511">
        <f>COUNTIF(data.SampSummary!$C$2:$C$1407,C1511)</f>
        <v>0</v>
      </c>
    </row>
    <row r="1512" spans="1:4" x14ac:dyDescent="0.25">
      <c r="A1512" t="s">
        <v>2866</v>
      </c>
      <c r="B1512" s="5">
        <v>40658</v>
      </c>
      <c r="C1512" t="str">
        <f t="shared" si="23"/>
        <v>VRWLK000.99_40658</v>
      </c>
      <c r="D1512">
        <f>COUNTIF(data.SampSummary!$C$2:$C$1407,C1512)</f>
        <v>0</v>
      </c>
    </row>
    <row r="1513" spans="1:4" x14ac:dyDescent="0.25">
      <c r="A1513" t="s">
        <v>32</v>
      </c>
      <c r="B1513" s="5">
        <v>40653</v>
      </c>
      <c r="C1513" t="str">
        <f t="shared" si="23"/>
        <v>SRBGY002.86_40653</v>
      </c>
      <c r="D1513">
        <f>COUNTIF(data.SampSummary!$C$2:$C$1407,C1513)</f>
        <v>0</v>
      </c>
    </row>
    <row r="1514" spans="1:4" x14ac:dyDescent="0.25">
      <c r="A1514" t="s">
        <v>2919</v>
      </c>
      <c r="B1514" s="5">
        <v>40633</v>
      </c>
      <c r="C1514" t="str">
        <f t="shared" si="23"/>
        <v>VREVR002.62_40633</v>
      </c>
      <c r="D1514">
        <f>COUNTIF(data.SampSummary!$C$2:$C$1407,C1514)</f>
        <v>0</v>
      </c>
    </row>
    <row r="1515" spans="1:4" x14ac:dyDescent="0.25">
      <c r="A1515" t="s">
        <v>334</v>
      </c>
      <c r="B1515" s="5">
        <v>40626</v>
      </c>
      <c r="C1515" t="str">
        <f t="shared" si="23"/>
        <v>SRSLR139.75_40626</v>
      </c>
      <c r="D1515">
        <f>COUNTIF(data.SampSummary!$C$2:$C$1407,C1515)</f>
        <v>0</v>
      </c>
    </row>
    <row r="1516" spans="1:4" x14ac:dyDescent="0.25">
      <c r="A1516" t="s">
        <v>222</v>
      </c>
      <c r="B1516" s="5">
        <v>40625</v>
      </c>
      <c r="C1516" t="str">
        <f t="shared" si="23"/>
        <v>SRCHE013.65_40625</v>
      </c>
      <c r="D1516">
        <f>COUNTIF(data.SampSummary!$C$2:$C$1407,C1516)</f>
        <v>0</v>
      </c>
    </row>
    <row r="1517" spans="1:4" x14ac:dyDescent="0.25">
      <c r="A1517" t="s">
        <v>57</v>
      </c>
      <c r="B1517" s="5">
        <v>41533</v>
      </c>
      <c r="C1517" t="str">
        <f t="shared" si="23"/>
        <v>SREFB008.27_41533</v>
      </c>
      <c r="D1517">
        <f>COUNTIF(data.SampSummary!$C$2:$C$1407,C1517)</f>
        <v>0</v>
      </c>
    </row>
    <row r="1518" spans="1:4" x14ac:dyDescent="0.25">
      <c r="A1518" t="s">
        <v>222</v>
      </c>
      <c r="B1518" s="5">
        <v>40526</v>
      </c>
      <c r="C1518" t="str">
        <f t="shared" si="23"/>
        <v>SRCHE013.65_40526</v>
      </c>
      <c r="D1518">
        <f>COUNTIF(data.SampSummary!$C$2:$C$1407,C1518)</f>
        <v>0</v>
      </c>
    </row>
    <row r="1519" spans="1:4" x14ac:dyDescent="0.25">
      <c r="A1519" t="s">
        <v>45</v>
      </c>
      <c r="B1519" s="5">
        <v>40526</v>
      </c>
      <c r="C1519" t="str">
        <f t="shared" si="23"/>
        <v>SRREY001.14_40526</v>
      </c>
      <c r="D1519">
        <f>COUNTIF(data.SampSummary!$C$2:$C$1407,C1519)</f>
        <v>0</v>
      </c>
    </row>
    <row r="1520" spans="1:4" x14ac:dyDescent="0.25">
      <c r="A1520" t="s">
        <v>305</v>
      </c>
      <c r="B1520" s="5">
        <v>40766</v>
      </c>
      <c r="C1520" t="str">
        <f t="shared" si="23"/>
        <v>MGAFR087.35_40766</v>
      </c>
      <c r="D1520">
        <f>COUNTIF(data.SampSummary!$C$2:$C$1407,C1520)</f>
        <v>0</v>
      </c>
    </row>
    <row r="1521" spans="1:4" x14ac:dyDescent="0.25">
      <c r="A1521" t="s">
        <v>2866</v>
      </c>
      <c r="B1521" s="5">
        <v>40498</v>
      </c>
      <c r="C1521" t="str">
        <f t="shared" si="23"/>
        <v>VRWLK000.99_40498</v>
      </c>
      <c r="D1521">
        <f>COUNTIF(data.SampSummary!$C$2:$C$1407,C1521)</f>
        <v>0</v>
      </c>
    </row>
    <row r="1522" spans="1:4" x14ac:dyDescent="0.25">
      <c r="A1522" t="s">
        <v>2775</v>
      </c>
      <c r="B1522" s="5">
        <v>40492</v>
      </c>
      <c r="C1522" t="str">
        <f t="shared" si="23"/>
        <v>SCSON018.31_40492</v>
      </c>
      <c r="D1522">
        <f>COUNTIF(data.SampSummary!$C$2:$C$1407,C1522)</f>
        <v>0</v>
      </c>
    </row>
    <row r="1523" spans="1:4" x14ac:dyDescent="0.25">
      <c r="A1523" t="s">
        <v>313</v>
      </c>
      <c r="B1523" s="5">
        <v>40484</v>
      </c>
      <c r="C1523" t="str">
        <f t="shared" si="23"/>
        <v>VRFOS011.88_40484</v>
      </c>
      <c r="D1523">
        <f>COUNTIF(data.SampSummary!$C$2:$C$1407,C1523)</f>
        <v>0</v>
      </c>
    </row>
    <row r="1524" spans="1:4" x14ac:dyDescent="0.25">
      <c r="A1524" t="s">
        <v>40</v>
      </c>
      <c r="B1524" s="5">
        <v>40478</v>
      </c>
      <c r="C1524" t="str">
        <f t="shared" si="23"/>
        <v>VRWEB009.13_40478</v>
      </c>
      <c r="D1524">
        <f>COUNTIF(data.SampSummary!$C$2:$C$1407,C1524)</f>
        <v>0</v>
      </c>
    </row>
    <row r="1525" spans="1:4" x14ac:dyDescent="0.25">
      <c r="A1525" t="s">
        <v>168</v>
      </c>
      <c r="B1525" s="5">
        <v>40477</v>
      </c>
      <c r="C1525" t="str">
        <f t="shared" si="23"/>
        <v>VRELL009.02_40477</v>
      </c>
      <c r="D1525">
        <f>COUNTIF(data.SampSummary!$C$2:$C$1407,C1525)</f>
        <v>0</v>
      </c>
    </row>
    <row r="1526" spans="1:4" x14ac:dyDescent="0.25">
      <c r="A1526" t="s">
        <v>64</v>
      </c>
      <c r="B1526" s="5">
        <v>40462</v>
      </c>
      <c r="C1526" t="str">
        <f t="shared" si="23"/>
        <v>SRCKN001.61_40462</v>
      </c>
      <c r="D1526">
        <f>COUNTIF(data.SampSummary!$C$2:$C$1407,C1526)</f>
        <v>0</v>
      </c>
    </row>
    <row r="1527" spans="1:4" x14ac:dyDescent="0.25">
      <c r="A1527" t="s">
        <v>149</v>
      </c>
      <c r="B1527" s="5">
        <v>42172</v>
      </c>
      <c r="C1527" t="str">
        <f t="shared" si="23"/>
        <v>SPRMC011.11_42172</v>
      </c>
      <c r="D1527">
        <f>COUNTIF(data.SampSummary!$C$2:$C$1407,C1527)</f>
        <v>1</v>
      </c>
    </row>
    <row r="1528" spans="1:4" x14ac:dyDescent="0.25">
      <c r="A1528" t="s">
        <v>52</v>
      </c>
      <c r="B1528" s="5">
        <v>42171</v>
      </c>
      <c r="C1528" t="str">
        <f t="shared" si="23"/>
        <v>UGCAV016.84_42171</v>
      </c>
      <c r="D1528">
        <f>COUNTIF(data.SampSummary!$C$2:$C$1407,C1528)</f>
        <v>1</v>
      </c>
    </row>
    <row r="1529" spans="1:4" x14ac:dyDescent="0.25">
      <c r="A1529" t="s">
        <v>192</v>
      </c>
      <c r="B1529" s="5">
        <v>42170</v>
      </c>
      <c r="C1529" t="str">
        <f t="shared" si="23"/>
        <v>SPSPR150.09_42170</v>
      </c>
      <c r="D1529">
        <f>COUNTIF(data.SampSummary!$C$2:$C$1407,C1529)</f>
        <v>1</v>
      </c>
    </row>
    <row r="1530" spans="1:4" x14ac:dyDescent="0.25">
      <c r="A1530" t="s">
        <v>222</v>
      </c>
      <c r="B1530" s="5">
        <v>40442</v>
      </c>
      <c r="C1530" t="str">
        <f t="shared" si="23"/>
        <v>SRCHE013.65_40442</v>
      </c>
      <c r="D1530">
        <f>COUNTIF(data.SampSummary!$C$2:$C$1407,C1530)</f>
        <v>0</v>
      </c>
    </row>
    <row r="1531" spans="1:4" x14ac:dyDescent="0.25">
      <c r="A1531" t="s">
        <v>84</v>
      </c>
      <c r="B1531" s="5">
        <v>40423</v>
      </c>
      <c r="C1531" t="str">
        <f t="shared" si="23"/>
        <v>SRRES000.33_40423</v>
      </c>
      <c r="D1531">
        <f>COUNTIF(data.SampSummary!$C$2:$C$1407,C1531)</f>
        <v>0</v>
      </c>
    </row>
    <row r="1532" spans="1:4" x14ac:dyDescent="0.25">
      <c r="A1532" t="s">
        <v>2883</v>
      </c>
      <c r="B1532" s="5">
        <v>41148</v>
      </c>
      <c r="C1532" t="str">
        <f t="shared" si="23"/>
        <v>VRVER129.75_41148</v>
      </c>
      <c r="D1532">
        <f>COUNTIF(data.SampSummary!$C$2:$C$1407,C1532)</f>
        <v>0</v>
      </c>
    </row>
    <row r="1533" spans="1:4" x14ac:dyDescent="0.25">
      <c r="A1533" t="s">
        <v>213</v>
      </c>
      <c r="B1533" s="5">
        <v>40389</v>
      </c>
      <c r="C1533" t="str">
        <f t="shared" si="23"/>
        <v>VRPIE008.19_40389</v>
      </c>
      <c r="D1533">
        <f>COUNTIF(data.SampSummary!$C$2:$C$1407,C1533)</f>
        <v>0</v>
      </c>
    </row>
    <row r="1534" spans="1:4" x14ac:dyDescent="0.25">
      <c r="A1534" t="s">
        <v>211</v>
      </c>
      <c r="B1534" s="5">
        <v>42108</v>
      </c>
      <c r="C1534" t="str">
        <f t="shared" si="23"/>
        <v>MGAFR110.01_42108</v>
      </c>
      <c r="D1534">
        <f>COUNTIF(data.SampSummary!$C$2:$C$1407,C1534)</f>
        <v>1</v>
      </c>
    </row>
    <row r="1535" spans="1:4" x14ac:dyDescent="0.25">
      <c r="A1535" t="s">
        <v>2866</v>
      </c>
      <c r="B1535" s="5">
        <v>40379</v>
      </c>
      <c r="C1535" t="str">
        <f t="shared" si="23"/>
        <v>VRWLK000.99_40379</v>
      </c>
      <c r="D1535">
        <f>COUNTIF(data.SampSummary!$C$2:$C$1407,C1535)</f>
        <v>0</v>
      </c>
    </row>
    <row r="1536" spans="1:4" x14ac:dyDescent="0.25">
      <c r="A1536" t="s">
        <v>26</v>
      </c>
      <c r="B1536" s="5">
        <v>40379</v>
      </c>
      <c r="C1536" t="str">
        <f t="shared" si="23"/>
        <v>VRPIE016.49_40379</v>
      </c>
      <c r="D1536">
        <f>COUNTIF(data.SampSummary!$C$2:$C$1407,C1536)</f>
        <v>0</v>
      </c>
    </row>
    <row r="1537" spans="1:4" x14ac:dyDescent="0.25">
      <c r="A1537" t="s">
        <v>334</v>
      </c>
      <c r="B1537" s="5">
        <v>40378</v>
      </c>
      <c r="C1537" t="str">
        <f t="shared" si="23"/>
        <v>SRSLR139.75_40378</v>
      </c>
      <c r="D1537">
        <f>COUNTIF(data.SampSummary!$C$2:$C$1407,C1537)</f>
        <v>0</v>
      </c>
    </row>
    <row r="1538" spans="1:4" x14ac:dyDescent="0.25">
      <c r="A1538" t="s">
        <v>95</v>
      </c>
      <c r="B1538" s="5">
        <v>40360</v>
      </c>
      <c r="C1538" t="str">
        <f t="shared" si="23"/>
        <v>LCRUD008.43_40360</v>
      </c>
      <c r="D1538">
        <f>COUNTIF(data.SampSummary!$C$2:$C$1407,C1538)</f>
        <v>1</v>
      </c>
    </row>
    <row r="1539" spans="1:4" x14ac:dyDescent="0.25">
      <c r="A1539" t="s">
        <v>2870</v>
      </c>
      <c r="B1539" s="5">
        <v>42065</v>
      </c>
      <c r="C1539" t="str">
        <f t="shared" ref="C1539:C1602" si="24">A1539&amp;"_"&amp;B1539</f>
        <v>SRPNT027.51_42065</v>
      </c>
      <c r="D1539">
        <f>COUNTIF(data.SampSummary!$C$2:$C$1407,C1539)</f>
        <v>0</v>
      </c>
    </row>
    <row r="1540" spans="1:4" x14ac:dyDescent="0.25">
      <c r="A1540" t="s">
        <v>2839</v>
      </c>
      <c r="B1540" s="5">
        <v>41080</v>
      </c>
      <c r="C1540" t="str">
        <f t="shared" si="24"/>
        <v>CLGLR011.17_41080</v>
      </c>
      <c r="D1540">
        <f>COUNTIF(data.SampSummary!$C$2:$C$1407,C1540)</f>
        <v>0</v>
      </c>
    </row>
    <row r="1541" spans="1:4" x14ac:dyDescent="0.25">
      <c r="A1541" t="s">
        <v>2836</v>
      </c>
      <c r="B1541" s="5">
        <v>41079</v>
      </c>
      <c r="C1541" t="str">
        <f t="shared" si="24"/>
        <v>CLGLR010.53_41079</v>
      </c>
      <c r="D1541">
        <f>COUNTIF(data.SampSummary!$C$2:$C$1407,C1541)</f>
        <v>0</v>
      </c>
    </row>
    <row r="1542" spans="1:4" x14ac:dyDescent="0.25">
      <c r="A1542" t="s">
        <v>2920</v>
      </c>
      <c r="B1542" s="5">
        <v>41079</v>
      </c>
      <c r="C1542" t="str">
        <f t="shared" si="24"/>
        <v>CLGLR008.81_41079</v>
      </c>
      <c r="D1542">
        <f>COUNTIF(data.SampSummary!$C$2:$C$1407,C1542)</f>
        <v>0</v>
      </c>
    </row>
    <row r="1543" spans="1:4" x14ac:dyDescent="0.25">
      <c r="A1543" t="s">
        <v>226</v>
      </c>
      <c r="B1543" s="5">
        <v>41072</v>
      </c>
      <c r="C1543" t="str">
        <f t="shared" si="24"/>
        <v>MGSYD009.13_41072</v>
      </c>
      <c r="D1543">
        <f>COUNTIF(data.SampSummary!$C$2:$C$1407,C1543)</f>
        <v>1</v>
      </c>
    </row>
    <row r="1544" spans="1:4" x14ac:dyDescent="0.25">
      <c r="A1544" t="s">
        <v>18</v>
      </c>
      <c r="B1544" s="5">
        <v>41046</v>
      </c>
      <c r="C1544" t="str">
        <f t="shared" si="24"/>
        <v>SPGRA007.71_41046</v>
      </c>
      <c r="D1544">
        <f>COUNTIF(data.SampSummary!$C$2:$C$1407,C1544)</f>
        <v>0</v>
      </c>
    </row>
    <row r="1545" spans="1:4" x14ac:dyDescent="0.25">
      <c r="A1545" t="s">
        <v>360</v>
      </c>
      <c r="B1545" s="5">
        <v>42033</v>
      </c>
      <c r="C1545" t="str">
        <f t="shared" si="24"/>
        <v>SCSCR039.63_42033</v>
      </c>
      <c r="D1545">
        <f>COUNTIF(data.SampSummary!$C$2:$C$1407,C1545)</f>
        <v>0</v>
      </c>
    </row>
    <row r="1546" spans="1:4" x14ac:dyDescent="0.25">
      <c r="A1546" t="s">
        <v>328</v>
      </c>
      <c r="B1546" s="5">
        <v>41044</v>
      </c>
      <c r="C1546" t="str">
        <f t="shared" si="24"/>
        <v>UGSFR019.04_41044</v>
      </c>
      <c r="D1546">
        <f>COUNTIF(data.SampSummary!$C$2:$C$1407,C1546)</f>
        <v>1</v>
      </c>
    </row>
    <row r="1547" spans="1:4" x14ac:dyDescent="0.25">
      <c r="A1547" t="s">
        <v>149</v>
      </c>
      <c r="B1547" s="5">
        <v>41968</v>
      </c>
      <c r="C1547" t="str">
        <f t="shared" si="24"/>
        <v>SPRMC011.11_41968</v>
      </c>
      <c r="D1547">
        <f>COUNTIF(data.SampSummary!$C$2:$C$1407,C1547)</f>
        <v>0</v>
      </c>
    </row>
    <row r="1548" spans="1:4" x14ac:dyDescent="0.25">
      <c r="A1548" t="s">
        <v>192</v>
      </c>
      <c r="B1548" s="5">
        <v>41967</v>
      </c>
      <c r="C1548" t="str">
        <f t="shared" si="24"/>
        <v>SPSPR150.09_41967</v>
      </c>
      <c r="D1548">
        <f>COUNTIF(data.SampSummary!$C$2:$C$1407,C1548)</f>
        <v>0</v>
      </c>
    </row>
    <row r="1549" spans="1:4" x14ac:dyDescent="0.25">
      <c r="A1549" t="s">
        <v>360</v>
      </c>
      <c r="B1549" s="5">
        <v>41017</v>
      </c>
      <c r="C1549" t="str">
        <f t="shared" si="24"/>
        <v>SCSCR039.63_41017</v>
      </c>
      <c r="D1549">
        <f>COUNTIF(data.SampSummary!$C$2:$C$1407,C1549)</f>
        <v>1</v>
      </c>
    </row>
    <row r="1550" spans="1:4" x14ac:dyDescent="0.25">
      <c r="A1550" t="s">
        <v>183</v>
      </c>
      <c r="B1550" s="5">
        <v>41015</v>
      </c>
      <c r="C1550" t="str">
        <f t="shared" si="24"/>
        <v>SPSPR126.35_41015</v>
      </c>
      <c r="D1550">
        <f>COUNTIF(data.SampSummary!$C$2:$C$1407,C1550)</f>
        <v>1</v>
      </c>
    </row>
    <row r="1551" spans="1:4" x14ac:dyDescent="0.25">
      <c r="A1551" t="s">
        <v>273</v>
      </c>
      <c r="B1551" s="5">
        <v>41940</v>
      </c>
      <c r="C1551" t="str">
        <f t="shared" si="24"/>
        <v>MGHSR058.80_41940</v>
      </c>
      <c r="D1551">
        <f>COUNTIF(data.SampSummary!$C$2:$C$1407,C1551)</f>
        <v>0</v>
      </c>
    </row>
    <row r="1552" spans="1:4" x14ac:dyDescent="0.25">
      <c r="A1552" t="s">
        <v>228</v>
      </c>
      <c r="B1552" s="5">
        <v>40996</v>
      </c>
      <c r="C1552" t="str">
        <f t="shared" si="24"/>
        <v>MGHSR048.20_40996</v>
      </c>
      <c r="D1552">
        <f>COUNTIF(data.SampSummary!$C$2:$C$1407,C1552)</f>
        <v>0</v>
      </c>
    </row>
    <row r="1553" spans="1:4" x14ac:dyDescent="0.25">
      <c r="A1553" t="s">
        <v>275</v>
      </c>
      <c r="B1553" s="5">
        <v>40995</v>
      </c>
      <c r="C1553" t="str">
        <f t="shared" si="24"/>
        <v>MGLAS004.52_40995</v>
      </c>
      <c r="D1553">
        <f>COUNTIF(data.SampSummary!$C$2:$C$1407,C1553)</f>
        <v>0</v>
      </c>
    </row>
    <row r="1554" spans="1:4" x14ac:dyDescent="0.25">
      <c r="A1554" t="s">
        <v>226</v>
      </c>
      <c r="B1554" s="5">
        <v>40995</v>
      </c>
      <c r="C1554" t="str">
        <f t="shared" si="24"/>
        <v>MGSYD009.13_40995</v>
      </c>
      <c r="D1554">
        <f>COUNTIF(data.SampSummary!$C$2:$C$1407,C1554)</f>
        <v>0</v>
      </c>
    </row>
    <row r="1555" spans="1:4" x14ac:dyDescent="0.25">
      <c r="A1555" t="s">
        <v>39</v>
      </c>
      <c r="B1555" s="5">
        <v>41906</v>
      </c>
      <c r="C1555" t="str">
        <f t="shared" si="24"/>
        <v>UGFRY009.52_41906</v>
      </c>
      <c r="D1555">
        <f>COUNTIF(data.SampSummary!$C$2:$C$1407,C1555)</f>
        <v>0</v>
      </c>
    </row>
    <row r="1556" spans="1:4" x14ac:dyDescent="0.25">
      <c r="A1556" t="s">
        <v>177</v>
      </c>
      <c r="B1556" s="5">
        <v>40969</v>
      </c>
      <c r="C1556" t="str">
        <f t="shared" si="24"/>
        <v>SRBLR070.45_40969</v>
      </c>
      <c r="D1556">
        <f>COUNTIF(data.SampSummary!$C$2:$C$1407,C1556)</f>
        <v>0</v>
      </c>
    </row>
    <row r="1557" spans="1:4" x14ac:dyDescent="0.25">
      <c r="A1557" t="s">
        <v>183</v>
      </c>
      <c r="B1557" s="5">
        <v>40961</v>
      </c>
      <c r="C1557" t="str">
        <f t="shared" si="24"/>
        <v>SPSPR126.35_40961</v>
      </c>
      <c r="D1557">
        <f>COUNTIF(data.SampSummary!$C$2:$C$1407,C1557)</f>
        <v>0</v>
      </c>
    </row>
    <row r="1558" spans="1:4" x14ac:dyDescent="0.25">
      <c r="A1558" t="s">
        <v>305</v>
      </c>
      <c r="B1558" s="5">
        <v>40953</v>
      </c>
      <c r="C1558" t="str">
        <f t="shared" si="24"/>
        <v>MGAFR087.35_40953</v>
      </c>
      <c r="D1558">
        <f>COUNTIF(data.SampSummary!$C$2:$C$1407,C1558)</f>
        <v>0</v>
      </c>
    </row>
    <row r="1559" spans="1:4" x14ac:dyDescent="0.25">
      <c r="A1559" t="s">
        <v>2921</v>
      </c>
      <c r="B1559" s="5">
        <v>41886</v>
      </c>
      <c r="C1559" t="str">
        <f t="shared" si="24"/>
        <v>UGLIT002.62_41886</v>
      </c>
      <c r="D1559">
        <f>COUNTIF(data.SampSummary!$C$2:$C$1407,C1559)</f>
        <v>0</v>
      </c>
    </row>
    <row r="1560" spans="1:4" x14ac:dyDescent="0.25">
      <c r="A1560" t="s">
        <v>183</v>
      </c>
      <c r="B1560" s="5">
        <v>40926</v>
      </c>
      <c r="C1560" t="str">
        <f t="shared" si="24"/>
        <v>SPSPR126.35_40926</v>
      </c>
      <c r="D1560">
        <f>COUNTIF(data.SampSummary!$C$2:$C$1407,C1560)</f>
        <v>0</v>
      </c>
    </row>
    <row r="1561" spans="1:4" x14ac:dyDescent="0.25">
      <c r="A1561" t="s">
        <v>228</v>
      </c>
      <c r="B1561" s="5">
        <v>40884</v>
      </c>
      <c r="C1561" t="str">
        <f t="shared" si="24"/>
        <v>MGHSR048.20_40884</v>
      </c>
      <c r="D1561">
        <f>COUNTIF(data.SampSummary!$C$2:$C$1407,C1561)</f>
        <v>0</v>
      </c>
    </row>
    <row r="1562" spans="1:4" x14ac:dyDescent="0.25">
      <c r="A1562" t="s">
        <v>222</v>
      </c>
      <c r="B1562" s="5">
        <v>41353</v>
      </c>
      <c r="C1562" t="str">
        <f t="shared" si="24"/>
        <v>SRCHE013.65_41353</v>
      </c>
      <c r="D1562">
        <f>COUNTIF(data.SampSummary!$C$2:$C$1407,C1562)</f>
        <v>0</v>
      </c>
    </row>
    <row r="1563" spans="1:4" x14ac:dyDescent="0.25">
      <c r="A1563" t="s">
        <v>360</v>
      </c>
      <c r="B1563" s="5">
        <v>41878</v>
      </c>
      <c r="C1563" t="str">
        <f t="shared" si="24"/>
        <v>SCSCR039.63_41878</v>
      </c>
      <c r="D1563">
        <f>COUNTIF(data.SampSummary!$C$2:$C$1407,C1563)</f>
        <v>0</v>
      </c>
    </row>
    <row r="1564" spans="1:4" x14ac:dyDescent="0.25">
      <c r="A1564" t="s">
        <v>158</v>
      </c>
      <c r="B1564" s="5">
        <v>40883</v>
      </c>
      <c r="C1564" t="str">
        <f t="shared" si="24"/>
        <v>SPTUR028.53_40883</v>
      </c>
      <c r="D1564">
        <f>COUNTIF(data.SampSummary!$C$2:$C$1407,C1564)</f>
        <v>0</v>
      </c>
    </row>
    <row r="1565" spans="1:4" x14ac:dyDescent="0.25">
      <c r="A1565" t="s">
        <v>200</v>
      </c>
      <c r="B1565" s="5">
        <v>40882</v>
      </c>
      <c r="C1565" t="str">
        <f t="shared" si="24"/>
        <v>SPSPR015.42_40882</v>
      </c>
      <c r="D1565">
        <f>COUNTIF(data.SampSummary!$C$2:$C$1407,C1565)</f>
        <v>0</v>
      </c>
    </row>
    <row r="1566" spans="1:4" x14ac:dyDescent="0.25">
      <c r="A1566" t="s">
        <v>102</v>
      </c>
      <c r="B1566" s="5">
        <v>40842</v>
      </c>
      <c r="C1566" t="str">
        <f t="shared" si="24"/>
        <v>UGKPK011.18_40842</v>
      </c>
      <c r="D1566">
        <f>COUNTIF(data.SampSummary!$C$2:$C$1407,C1566)</f>
        <v>0</v>
      </c>
    </row>
    <row r="1567" spans="1:4" x14ac:dyDescent="0.25">
      <c r="A1567" t="s">
        <v>177</v>
      </c>
      <c r="B1567" s="5">
        <v>40841</v>
      </c>
      <c r="C1567" t="str">
        <f t="shared" si="24"/>
        <v>SRBLR070.45_40841</v>
      </c>
      <c r="D1567">
        <f>COUNTIF(data.SampSummary!$C$2:$C$1407,C1567)</f>
        <v>0</v>
      </c>
    </row>
    <row r="1568" spans="1:4" x14ac:dyDescent="0.25">
      <c r="A1568" t="s">
        <v>2918</v>
      </c>
      <c r="B1568" s="5">
        <v>40836</v>
      </c>
      <c r="C1568" t="str">
        <f t="shared" si="24"/>
        <v>SPCOP009.81_40836</v>
      </c>
      <c r="D1568">
        <f>COUNTIF(data.SampSummary!$C$2:$C$1407,C1568)</f>
        <v>0</v>
      </c>
    </row>
    <row r="1569" spans="1:4" x14ac:dyDescent="0.25">
      <c r="A1569" t="s">
        <v>170</v>
      </c>
      <c r="B1569" s="5">
        <v>41534</v>
      </c>
      <c r="C1569" t="str">
        <f t="shared" si="24"/>
        <v>SRTON058.63_41534</v>
      </c>
      <c r="D1569">
        <f>COUNTIF(data.SampSummary!$C$2:$C$1407,C1569)</f>
        <v>0</v>
      </c>
    </row>
    <row r="1570" spans="1:4" x14ac:dyDescent="0.25">
      <c r="A1570" t="s">
        <v>334</v>
      </c>
      <c r="B1570" s="5">
        <v>42416</v>
      </c>
      <c r="C1570" t="str">
        <f t="shared" si="24"/>
        <v>SRSLR139.75_42416</v>
      </c>
      <c r="D1570">
        <f>COUNTIF(data.SampSummary!$C$2:$C$1407,C1570)</f>
        <v>0</v>
      </c>
    </row>
    <row r="1571" spans="1:4" x14ac:dyDescent="0.25">
      <c r="A1571" t="s">
        <v>262</v>
      </c>
      <c r="B1571" s="5">
        <v>40799</v>
      </c>
      <c r="C1571" t="str">
        <f t="shared" si="24"/>
        <v>UGEAG040.33_40799</v>
      </c>
      <c r="D1571">
        <f>COUNTIF(data.SampSummary!$C$2:$C$1407,C1571)</f>
        <v>0</v>
      </c>
    </row>
    <row r="1572" spans="1:4" x14ac:dyDescent="0.25">
      <c r="A1572" t="s">
        <v>228</v>
      </c>
      <c r="B1572" s="5">
        <v>40792</v>
      </c>
      <c r="C1572" t="str">
        <f t="shared" si="24"/>
        <v>MGHSR048.20_40792</v>
      </c>
      <c r="D1572">
        <f>COUNTIF(data.SampSummary!$C$2:$C$1407,C1572)</f>
        <v>0</v>
      </c>
    </row>
    <row r="1573" spans="1:4" x14ac:dyDescent="0.25">
      <c r="A1573" t="s">
        <v>226</v>
      </c>
      <c r="B1573" s="5">
        <v>40787</v>
      </c>
      <c r="C1573" t="str">
        <f t="shared" si="24"/>
        <v>MGSYD009.13_40787</v>
      </c>
      <c r="D1573">
        <f>COUNTIF(data.SampSummary!$C$2:$C$1407,C1573)</f>
        <v>0</v>
      </c>
    </row>
    <row r="1574" spans="1:4" x14ac:dyDescent="0.25">
      <c r="A1574" t="s">
        <v>64</v>
      </c>
      <c r="B1574" s="5">
        <v>40772</v>
      </c>
      <c r="C1574" t="str">
        <f t="shared" si="24"/>
        <v>SRCKN001.61_40772</v>
      </c>
      <c r="D1574">
        <f>COUNTIF(data.SampSummary!$C$2:$C$1407,C1574)</f>
        <v>0</v>
      </c>
    </row>
    <row r="1575" spans="1:4" x14ac:dyDescent="0.25">
      <c r="A1575" t="s">
        <v>102</v>
      </c>
      <c r="B1575" s="5">
        <v>40772</v>
      </c>
      <c r="C1575" t="str">
        <f t="shared" si="24"/>
        <v>UGKPK011.18_40772</v>
      </c>
      <c r="D1575">
        <f>COUNTIF(data.SampSummary!$C$2:$C$1407,C1575)</f>
        <v>0</v>
      </c>
    </row>
    <row r="1576" spans="1:4" x14ac:dyDescent="0.25">
      <c r="A1576" t="s">
        <v>177</v>
      </c>
      <c r="B1576" s="5">
        <v>40771</v>
      </c>
      <c r="C1576" t="str">
        <f t="shared" si="24"/>
        <v>SRBLR070.45_40771</v>
      </c>
      <c r="D1576">
        <f>COUNTIF(data.SampSummary!$C$2:$C$1407,C1576)</f>
        <v>0</v>
      </c>
    </row>
    <row r="1577" spans="1:4" x14ac:dyDescent="0.25">
      <c r="A1577" t="s">
        <v>190</v>
      </c>
      <c r="B1577" s="5">
        <v>40766</v>
      </c>
      <c r="C1577" t="str">
        <f t="shared" si="24"/>
        <v>MGAFR087.06_40766</v>
      </c>
      <c r="D1577">
        <f>COUNTIF(data.SampSummary!$C$2:$C$1407,C1577)</f>
        <v>0</v>
      </c>
    </row>
    <row r="1578" spans="1:4" x14ac:dyDescent="0.25">
      <c r="A1578" t="s">
        <v>200</v>
      </c>
      <c r="B1578" s="5">
        <v>40764</v>
      </c>
      <c r="C1578" t="str">
        <f t="shared" si="24"/>
        <v>SPSPR015.42_40764</v>
      </c>
      <c r="D1578">
        <f>COUNTIF(data.SampSummary!$C$2:$C$1407,C1578)</f>
        <v>0</v>
      </c>
    </row>
    <row r="1579" spans="1:4" x14ac:dyDescent="0.25">
      <c r="A1579" t="s">
        <v>2922</v>
      </c>
      <c r="B1579" s="5">
        <v>40729</v>
      </c>
      <c r="C1579" t="str">
        <f t="shared" si="24"/>
        <v>UGSFR012.85_40729</v>
      </c>
      <c r="D1579">
        <f>COUNTIF(data.SampSummary!$C$2:$C$1407,C1579)</f>
        <v>0</v>
      </c>
    </row>
    <row r="1580" spans="1:4" x14ac:dyDescent="0.25">
      <c r="A1580" t="s">
        <v>2857</v>
      </c>
      <c r="B1580" s="5">
        <v>41143</v>
      </c>
      <c r="C1580" t="str">
        <f t="shared" si="24"/>
        <v>MGHSR000.77_41143</v>
      </c>
      <c r="D1580">
        <f>COUNTIF(data.SampSummary!$C$2:$C$1407,C1580)</f>
        <v>0</v>
      </c>
    </row>
    <row r="1581" spans="1:4" x14ac:dyDescent="0.25">
      <c r="A1581" t="s">
        <v>278</v>
      </c>
      <c r="B1581" s="5">
        <v>41135</v>
      </c>
      <c r="C1581" t="str">
        <f t="shared" si="24"/>
        <v>BWBSR037.79_41135</v>
      </c>
      <c r="D1581">
        <f>COUNTIF(data.SampSummary!$C$2:$C$1407,C1581)</f>
        <v>0</v>
      </c>
    </row>
    <row r="1582" spans="1:4" x14ac:dyDescent="0.25">
      <c r="A1582" t="s">
        <v>223</v>
      </c>
      <c r="B1582" s="5">
        <v>41138</v>
      </c>
      <c r="C1582" t="str">
        <f t="shared" si="24"/>
        <v>SPBHC004.31_41138</v>
      </c>
      <c r="D1582">
        <f>COUNTIF(data.SampSummary!$C$2:$C$1407,C1582)</f>
        <v>0</v>
      </c>
    </row>
    <row r="1583" spans="1:4" x14ac:dyDescent="0.25">
      <c r="A1583" t="s">
        <v>360</v>
      </c>
      <c r="B1583" s="5">
        <v>42123</v>
      </c>
      <c r="C1583" t="str">
        <f t="shared" si="24"/>
        <v>SCSCR039.63_42123</v>
      </c>
      <c r="D1583">
        <f>COUNTIF(data.SampSummary!$C$2:$C$1407,C1583)</f>
        <v>1</v>
      </c>
    </row>
    <row r="1584" spans="1:4" x14ac:dyDescent="0.25">
      <c r="A1584" t="s">
        <v>309</v>
      </c>
      <c r="B1584" s="5">
        <v>41366</v>
      </c>
      <c r="C1584" t="str">
        <f t="shared" si="24"/>
        <v>BWPEE003.51_41366</v>
      </c>
      <c r="D1584">
        <f>COUNTIF(data.SampSummary!$C$2:$C$1407,C1584)</f>
        <v>1</v>
      </c>
    </row>
    <row r="1585" spans="1:4" x14ac:dyDescent="0.25">
      <c r="A1585" t="s">
        <v>261</v>
      </c>
      <c r="B1585" s="5">
        <v>41114</v>
      </c>
      <c r="C1585" t="str">
        <f t="shared" si="24"/>
        <v>VRWBV012.56_41114</v>
      </c>
      <c r="D1585">
        <f>COUNTIF(data.SampSummary!$C$2:$C$1407,C1585)</f>
        <v>0</v>
      </c>
    </row>
    <row r="1586" spans="1:4" x14ac:dyDescent="0.25">
      <c r="A1586" t="s">
        <v>203</v>
      </c>
      <c r="B1586" s="5">
        <v>41113</v>
      </c>
      <c r="C1586" t="str">
        <f t="shared" si="24"/>
        <v>MGLSY000.42_41113</v>
      </c>
      <c r="D1586">
        <f>COUNTIF(data.SampSummary!$C$2:$C$1407,C1586)</f>
        <v>0</v>
      </c>
    </row>
    <row r="1587" spans="1:4" x14ac:dyDescent="0.25">
      <c r="A1587" t="s">
        <v>2870</v>
      </c>
      <c r="B1587" s="5">
        <v>42405</v>
      </c>
      <c r="C1587" t="str">
        <f t="shared" si="24"/>
        <v>SRPNT027.51_42405</v>
      </c>
      <c r="D1587">
        <f>COUNTIF(data.SampSummary!$C$2:$C$1407,C1587)</f>
        <v>0</v>
      </c>
    </row>
    <row r="1588" spans="1:4" x14ac:dyDescent="0.25">
      <c r="A1588" t="s">
        <v>2873</v>
      </c>
      <c r="B1588" s="5">
        <v>42405</v>
      </c>
      <c r="C1588" t="str">
        <f t="shared" si="24"/>
        <v>SRGIB000.11_42405</v>
      </c>
      <c r="D1588">
        <f>COUNTIF(data.SampSummary!$C$2:$C$1407,C1588)</f>
        <v>0</v>
      </c>
    </row>
    <row r="1589" spans="1:4" x14ac:dyDescent="0.25">
      <c r="A1589" t="s">
        <v>309</v>
      </c>
      <c r="B1589" s="5">
        <v>41205</v>
      </c>
      <c r="C1589" t="str">
        <f t="shared" si="24"/>
        <v>BWPEE003.51_41205</v>
      </c>
      <c r="D1589">
        <f>COUNTIF(data.SampSummary!$C$2:$C$1407,C1589)</f>
        <v>0</v>
      </c>
    </row>
    <row r="1590" spans="1:4" x14ac:dyDescent="0.25">
      <c r="A1590" t="s">
        <v>2873</v>
      </c>
      <c r="B1590" s="5">
        <v>42375</v>
      </c>
      <c r="C1590" t="str">
        <f t="shared" si="24"/>
        <v>SRGIB000.11_42375</v>
      </c>
      <c r="D1590">
        <f>COUNTIF(data.SampSummary!$C$2:$C$1407,C1590)</f>
        <v>0</v>
      </c>
    </row>
    <row r="1591" spans="1:4" x14ac:dyDescent="0.25">
      <c r="A1591" t="s">
        <v>222</v>
      </c>
      <c r="B1591" s="5">
        <v>41220</v>
      </c>
      <c r="C1591" t="str">
        <f t="shared" si="24"/>
        <v>SRCHE013.65_41220</v>
      </c>
      <c r="D1591">
        <f>COUNTIF(data.SampSummary!$C$2:$C$1407,C1591)</f>
        <v>0</v>
      </c>
    </row>
    <row r="1592" spans="1:4" x14ac:dyDescent="0.25">
      <c r="A1592" t="s">
        <v>278</v>
      </c>
      <c r="B1592" s="5">
        <v>41241</v>
      </c>
      <c r="C1592" t="str">
        <f t="shared" si="24"/>
        <v>BWBSR037.79_41241</v>
      </c>
      <c r="D1592">
        <f>COUNTIF(data.SampSummary!$C$2:$C$1407,C1592)</f>
        <v>0</v>
      </c>
    </row>
    <row r="1593" spans="1:4" x14ac:dyDescent="0.25">
      <c r="A1593" t="s">
        <v>247</v>
      </c>
      <c r="B1593" s="5">
        <v>41241</v>
      </c>
      <c r="C1593" t="str">
        <f t="shared" si="24"/>
        <v>BWTRT002.43_41241</v>
      </c>
      <c r="D1593">
        <f>COUNTIF(data.SampSummary!$C$2:$C$1407,C1593)</f>
        <v>0</v>
      </c>
    </row>
    <row r="1594" spans="1:4" x14ac:dyDescent="0.25">
      <c r="A1594" t="s">
        <v>2875</v>
      </c>
      <c r="B1594" s="5">
        <v>42326</v>
      </c>
      <c r="C1594" t="str">
        <f t="shared" si="24"/>
        <v>SPSPR113.49_42326</v>
      </c>
      <c r="D1594">
        <f>COUNTIF(data.SampSummary!$C$2:$C$1407,C1594)</f>
        <v>0</v>
      </c>
    </row>
    <row r="1595" spans="1:4" x14ac:dyDescent="0.25">
      <c r="A1595" t="s">
        <v>192</v>
      </c>
      <c r="B1595" s="5">
        <v>42325</v>
      </c>
      <c r="C1595" t="str">
        <f t="shared" si="24"/>
        <v>SPSPR150.09_42325</v>
      </c>
      <c r="D1595">
        <f>COUNTIF(data.SampSummary!$C$2:$C$1407,C1595)</f>
        <v>0</v>
      </c>
    </row>
    <row r="1596" spans="1:4" x14ac:dyDescent="0.25">
      <c r="A1596" t="s">
        <v>166</v>
      </c>
      <c r="B1596" s="5">
        <v>42045</v>
      </c>
      <c r="C1596" t="str">
        <f t="shared" si="24"/>
        <v>SPMLC013.56_42045</v>
      </c>
      <c r="D1596">
        <f>COUNTIF(data.SampSummary!$C$2:$C$1407,C1596)</f>
        <v>0</v>
      </c>
    </row>
    <row r="1597" spans="1:4" x14ac:dyDescent="0.25">
      <c r="A1597" t="s">
        <v>2864</v>
      </c>
      <c r="B1597" s="5">
        <v>41232</v>
      </c>
      <c r="C1597" t="str">
        <f t="shared" si="24"/>
        <v>CLGLR007.11_41232</v>
      </c>
      <c r="D1597">
        <f>COUNTIF(data.SampSummary!$C$2:$C$1407,C1597)</f>
        <v>0</v>
      </c>
    </row>
    <row r="1598" spans="1:4" x14ac:dyDescent="0.25">
      <c r="A1598" t="s">
        <v>193</v>
      </c>
      <c r="B1598" s="5">
        <v>41254</v>
      </c>
      <c r="C1598" t="str">
        <f t="shared" si="24"/>
        <v>VRSYW001.72_41254</v>
      </c>
      <c r="D1598">
        <f>COUNTIF(data.SampSummary!$C$2:$C$1407,C1598)</f>
        <v>0</v>
      </c>
    </row>
    <row r="1599" spans="1:4" x14ac:dyDescent="0.25">
      <c r="A1599" t="s">
        <v>2923</v>
      </c>
      <c r="B1599" s="5">
        <v>42284</v>
      </c>
      <c r="C1599" t="str">
        <f t="shared" si="24"/>
        <v>CGCLR714.16_42284</v>
      </c>
      <c r="D1599">
        <f>COUNTIF(data.SampSummary!$C$2:$C$1407,C1599)</f>
        <v>0</v>
      </c>
    </row>
    <row r="1600" spans="1:4" x14ac:dyDescent="0.25">
      <c r="A1600" t="s">
        <v>2836</v>
      </c>
      <c r="B1600" s="5">
        <v>41288</v>
      </c>
      <c r="C1600" t="str">
        <f t="shared" si="24"/>
        <v>CLGLR010.53_41288</v>
      </c>
      <c r="D1600">
        <f>COUNTIF(data.SampSummary!$C$2:$C$1407,C1600)</f>
        <v>0</v>
      </c>
    </row>
    <row r="1601" spans="1:4" x14ac:dyDescent="0.25">
      <c r="A1601" t="s">
        <v>261</v>
      </c>
      <c r="B1601" s="5">
        <v>41311</v>
      </c>
      <c r="C1601" t="str">
        <f t="shared" si="24"/>
        <v>VRWBV012.56_41311</v>
      </c>
      <c r="D1601">
        <f>COUNTIF(data.SampSummary!$C$2:$C$1407,C1601)</f>
        <v>0</v>
      </c>
    </row>
    <row r="1602" spans="1:4" x14ac:dyDescent="0.25">
      <c r="A1602" t="s">
        <v>309</v>
      </c>
      <c r="B1602" s="5">
        <v>41319</v>
      </c>
      <c r="C1602" t="str">
        <f t="shared" si="24"/>
        <v>BWPEE003.51_41319</v>
      </c>
      <c r="D1602">
        <f>COUNTIF(data.SampSummary!$C$2:$C$1407,C1602)</f>
        <v>0</v>
      </c>
    </row>
    <row r="1603" spans="1:4" x14ac:dyDescent="0.25">
      <c r="A1603" t="s">
        <v>134</v>
      </c>
      <c r="B1603" s="5">
        <v>41556</v>
      </c>
      <c r="C1603" t="str">
        <f t="shared" ref="C1603:C1666" si="25">A1603&amp;"_"&amp;B1603</f>
        <v>LCLCR323.60_41556</v>
      </c>
      <c r="D1603">
        <f>COUNTIF(data.SampSummary!$C$2:$C$1407,C1603)</f>
        <v>0</v>
      </c>
    </row>
    <row r="1604" spans="1:4" x14ac:dyDescent="0.25">
      <c r="A1604" t="s">
        <v>2836</v>
      </c>
      <c r="B1604" s="5">
        <v>41367</v>
      </c>
      <c r="C1604" t="str">
        <f t="shared" si="25"/>
        <v>CLGLR010.53_41367</v>
      </c>
      <c r="D1604">
        <f>COUNTIF(data.SampSummary!$C$2:$C$1407,C1604)</f>
        <v>0</v>
      </c>
    </row>
    <row r="1605" spans="1:4" x14ac:dyDescent="0.25">
      <c r="A1605" t="s">
        <v>261</v>
      </c>
      <c r="B1605" s="5">
        <v>41386</v>
      </c>
      <c r="C1605" t="str">
        <f t="shared" si="25"/>
        <v>VRWBV012.56_41386</v>
      </c>
      <c r="D1605">
        <f>COUNTIF(data.SampSummary!$C$2:$C$1407,C1605)</f>
        <v>1</v>
      </c>
    </row>
    <row r="1606" spans="1:4" x14ac:dyDescent="0.25">
      <c r="A1606" t="s">
        <v>203</v>
      </c>
      <c r="B1606" s="5">
        <v>41389</v>
      </c>
      <c r="C1606" t="str">
        <f t="shared" si="25"/>
        <v>MGLSY000.42_41389</v>
      </c>
      <c r="D1606">
        <f>COUNTIF(data.SampSummary!$C$2:$C$1407,C1606)</f>
        <v>1</v>
      </c>
    </row>
    <row r="1607" spans="1:4" x14ac:dyDescent="0.25">
      <c r="A1607" t="s">
        <v>249</v>
      </c>
      <c r="B1607" s="5">
        <v>41389</v>
      </c>
      <c r="C1607" t="str">
        <f t="shared" si="25"/>
        <v>MGLSY000.91_41389</v>
      </c>
      <c r="D1607">
        <f>COUNTIF(data.SampSummary!$C$2:$C$1407,C1607)</f>
        <v>1</v>
      </c>
    </row>
    <row r="1608" spans="1:4" x14ac:dyDescent="0.25">
      <c r="A1608" t="s">
        <v>2874</v>
      </c>
      <c r="B1608" s="5">
        <v>42326</v>
      </c>
      <c r="C1608" t="str">
        <f t="shared" si="25"/>
        <v>SPSPR109.75_42326</v>
      </c>
      <c r="D1608">
        <f>COUNTIF(data.SampSummary!$C$2:$C$1407,C1608)</f>
        <v>0</v>
      </c>
    </row>
    <row r="1609" spans="1:4" x14ac:dyDescent="0.25">
      <c r="A1609" t="s">
        <v>222</v>
      </c>
      <c r="B1609" s="5">
        <v>41402</v>
      </c>
      <c r="C1609" t="str">
        <f t="shared" si="25"/>
        <v>SRCHE013.65_41402</v>
      </c>
      <c r="D1609">
        <f>COUNTIF(data.SampSummary!$C$2:$C$1407,C1609)</f>
        <v>1</v>
      </c>
    </row>
    <row r="1610" spans="1:4" x14ac:dyDescent="0.25">
      <c r="A1610" t="s">
        <v>2924</v>
      </c>
      <c r="B1610" s="5">
        <v>41415</v>
      </c>
      <c r="C1610" t="str">
        <f t="shared" si="25"/>
        <v>BWBOU007.83_41415</v>
      </c>
      <c r="D1610">
        <f>COUNTIF(data.SampSummary!$C$2:$C$1407,C1610)</f>
        <v>0</v>
      </c>
    </row>
    <row r="1611" spans="1:4" x14ac:dyDescent="0.25">
      <c r="A1611" t="s">
        <v>64</v>
      </c>
      <c r="B1611" s="5">
        <v>41436</v>
      </c>
      <c r="C1611" t="str">
        <f t="shared" si="25"/>
        <v>SRCKN001.61_41436</v>
      </c>
      <c r="D1611">
        <f>COUNTIF(data.SampSummary!$C$2:$C$1407,C1611)</f>
        <v>1</v>
      </c>
    </row>
    <row r="1612" spans="1:4" x14ac:dyDescent="0.25">
      <c r="A1612" t="s">
        <v>102</v>
      </c>
      <c r="B1612" s="5">
        <v>42144</v>
      </c>
      <c r="C1612" t="str">
        <f t="shared" si="25"/>
        <v>UGKPK011.18_42144</v>
      </c>
      <c r="D1612">
        <f>COUNTIF(data.SampSummary!$C$2:$C$1407,C1612)</f>
        <v>1</v>
      </c>
    </row>
    <row r="1613" spans="1:4" x14ac:dyDescent="0.25">
      <c r="A1613" t="s">
        <v>144</v>
      </c>
      <c r="B1613" s="5">
        <v>41801</v>
      </c>
      <c r="C1613" t="str">
        <f t="shared" si="25"/>
        <v>UGBTH001.03_41801</v>
      </c>
      <c r="D1613">
        <f>COUNTIF(data.SampSummary!$C$2:$C$1407,C1613)</f>
        <v>1</v>
      </c>
    </row>
    <row r="1614" spans="1:4" x14ac:dyDescent="0.25">
      <c r="A1614" t="s">
        <v>91</v>
      </c>
      <c r="B1614" s="5">
        <v>41793</v>
      </c>
      <c r="C1614" t="str">
        <f t="shared" si="25"/>
        <v>SPBIG007.41_41793</v>
      </c>
      <c r="D1614">
        <f>COUNTIF(data.SampSummary!$C$2:$C$1407,C1614)</f>
        <v>1</v>
      </c>
    </row>
    <row r="1615" spans="1:4" x14ac:dyDescent="0.25">
      <c r="A1615" t="s">
        <v>134</v>
      </c>
      <c r="B1615" s="5">
        <v>41779</v>
      </c>
      <c r="C1615" t="str">
        <f t="shared" si="25"/>
        <v>LCLCR323.60_41779</v>
      </c>
      <c r="D1615">
        <f>COUNTIF(data.SampSummary!$C$2:$C$1407,C1615)</f>
        <v>1</v>
      </c>
    </row>
    <row r="1616" spans="1:4" x14ac:dyDescent="0.25">
      <c r="A1616" t="s">
        <v>170</v>
      </c>
      <c r="B1616" s="5">
        <v>41569</v>
      </c>
      <c r="C1616" t="str">
        <f t="shared" si="25"/>
        <v>SRTON058.63_41569</v>
      </c>
      <c r="D1616">
        <f>COUNTIF(data.SampSummary!$C$2:$C$1407,C1616)</f>
        <v>0</v>
      </c>
    </row>
    <row r="1617" spans="1:4" x14ac:dyDescent="0.25">
      <c r="A1617" t="s">
        <v>192</v>
      </c>
      <c r="B1617" s="5">
        <v>42073</v>
      </c>
      <c r="C1617" t="str">
        <f t="shared" si="25"/>
        <v>SPSPR150.09_42073</v>
      </c>
      <c r="D1617">
        <f>COUNTIF(data.SampSummary!$C$2:$C$1407,C1617)</f>
        <v>0</v>
      </c>
    </row>
    <row r="1618" spans="1:4" x14ac:dyDescent="0.25">
      <c r="A1618" t="s">
        <v>149</v>
      </c>
      <c r="B1618" s="5">
        <v>41893</v>
      </c>
      <c r="C1618" t="str">
        <f t="shared" si="25"/>
        <v>SPRMC011.11_41893</v>
      </c>
      <c r="D1618">
        <f>COUNTIF(data.SampSummary!$C$2:$C$1407,C1618)</f>
        <v>0</v>
      </c>
    </row>
    <row r="1619" spans="1:4" x14ac:dyDescent="0.25">
      <c r="A1619" t="s">
        <v>173</v>
      </c>
      <c r="B1619" s="5">
        <v>41575</v>
      </c>
      <c r="C1619" t="str">
        <f t="shared" si="25"/>
        <v>LCROS000.25_41575</v>
      </c>
      <c r="D1619">
        <f>COUNTIF(data.SampSummary!$C$2:$C$1407,C1619)</f>
        <v>0</v>
      </c>
    </row>
    <row r="1620" spans="1:4" x14ac:dyDescent="0.25">
      <c r="A1620" t="s">
        <v>149</v>
      </c>
      <c r="B1620" s="5">
        <v>42045</v>
      </c>
      <c r="C1620" t="str">
        <f t="shared" si="25"/>
        <v>SPRMC011.11_42045</v>
      </c>
      <c r="D1620">
        <f>COUNTIF(data.SampSummary!$C$2:$C$1407,C1620)</f>
        <v>0</v>
      </c>
    </row>
    <row r="1621" spans="1:4" x14ac:dyDescent="0.25">
      <c r="A1621" t="s">
        <v>142</v>
      </c>
      <c r="B1621" s="5">
        <v>41612</v>
      </c>
      <c r="C1621" t="str">
        <f t="shared" si="25"/>
        <v>LCLCR336.72_41612</v>
      </c>
      <c r="D1621">
        <f>COUNTIF(data.SampSummary!$C$2:$C$1407,C1621)</f>
        <v>0</v>
      </c>
    </row>
    <row r="1622" spans="1:4" x14ac:dyDescent="0.25">
      <c r="A1622" t="s">
        <v>134</v>
      </c>
      <c r="B1622" s="5">
        <v>41612</v>
      </c>
      <c r="C1622" t="str">
        <f t="shared" si="25"/>
        <v>LCLCR323.60_41612</v>
      </c>
      <c r="D1622">
        <f>COUNTIF(data.SampSummary!$C$2:$C$1407,C1622)</f>
        <v>0</v>
      </c>
    </row>
    <row r="1623" spans="1:4" x14ac:dyDescent="0.25">
      <c r="A1623" t="s">
        <v>211</v>
      </c>
      <c r="B1623" s="5">
        <v>41940</v>
      </c>
      <c r="C1623" t="str">
        <f t="shared" si="25"/>
        <v>MGAFR110.01_41940</v>
      </c>
      <c r="D1623">
        <f>COUNTIF(data.SampSummary!$C$2:$C$1407,C1623)</f>
        <v>0</v>
      </c>
    </row>
    <row r="1624" spans="1:4" x14ac:dyDescent="0.25">
      <c r="A1624" t="s">
        <v>2923</v>
      </c>
      <c r="B1624" s="5">
        <v>42228</v>
      </c>
      <c r="C1624" t="str">
        <f t="shared" si="25"/>
        <v>CGCLR714.16_42228</v>
      </c>
      <c r="D1624">
        <f>COUNTIF(data.SampSummary!$C$2:$C$1407,C1624)</f>
        <v>0</v>
      </c>
    </row>
    <row r="1625" spans="1:4" x14ac:dyDescent="0.25">
      <c r="A1625" t="s">
        <v>211</v>
      </c>
      <c r="B1625" s="5">
        <v>41884</v>
      </c>
      <c r="C1625" t="str">
        <f t="shared" si="25"/>
        <v>MGAFR110.01_41884</v>
      </c>
      <c r="D1625">
        <f>COUNTIF(data.SampSummary!$C$2:$C$1407,C1625)</f>
        <v>0</v>
      </c>
    </row>
    <row r="1626" spans="1:4" x14ac:dyDescent="0.25">
      <c r="A1626" t="s">
        <v>273</v>
      </c>
      <c r="B1626" s="5">
        <v>42039</v>
      </c>
      <c r="C1626" t="str">
        <f t="shared" si="25"/>
        <v>MGHSR058.80_42039</v>
      </c>
      <c r="D1626">
        <f>COUNTIF(data.SampSummary!$C$2:$C$1407,C1626)</f>
        <v>0</v>
      </c>
    </row>
    <row r="1627" spans="1:4" x14ac:dyDescent="0.25">
      <c r="A1627" t="s">
        <v>2813</v>
      </c>
      <c r="B1627" s="5">
        <v>42138</v>
      </c>
      <c r="C1627" t="str">
        <f t="shared" si="25"/>
        <v>LCWAN002.19_42138</v>
      </c>
      <c r="D1627">
        <f>COUNTIF(data.SampSummary!$C$2:$C$1407,C1627)</f>
        <v>0</v>
      </c>
    </row>
    <row r="1628" spans="1:4" x14ac:dyDescent="0.25">
      <c r="A1628" t="s">
        <v>2925</v>
      </c>
      <c r="B1628" s="5">
        <v>42423</v>
      </c>
      <c r="C1628" t="str">
        <f t="shared" si="25"/>
        <v>CGCLR698.93_42423</v>
      </c>
      <c r="D1628">
        <f>COUNTIF(data.SampSummary!$C$2:$C$1407,C1628)</f>
        <v>0</v>
      </c>
    </row>
    <row r="1629" spans="1:4" x14ac:dyDescent="0.25">
      <c r="A1629" t="s">
        <v>2924</v>
      </c>
      <c r="B1629" s="5">
        <v>42152</v>
      </c>
      <c r="C1629" t="str">
        <f t="shared" si="25"/>
        <v>BWBOU007.83_42152</v>
      </c>
      <c r="D1629">
        <f>COUNTIF(data.SampSummary!$C$2:$C$1407,C1629)</f>
        <v>0</v>
      </c>
    </row>
    <row r="1630" spans="1:4" x14ac:dyDescent="0.25">
      <c r="A1630" t="s">
        <v>295</v>
      </c>
      <c r="B1630" s="5">
        <v>42116</v>
      </c>
      <c r="C1630" t="str">
        <f t="shared" si="25"/>
        <v>VRROU002.93_42116</v>
      </c>
      <c r="D1630">
        <f>COUNTIF(data.SampSummary!$C$2:$C$1407,C1630)</f>
        <v>0</v>
      </c>
    </row>
    <row r="1631" spans="1:4" x14ac:dyDescent="0.25">
      <c r="A1631" t="s">
        <v>164</v>
      </c>
      <c r="B1631" s="5">
        <v>42219</v>
      </c>
      <c r="C1631" t="str">
        <f t="shared" si="25"/>
        <v>SRWRK002.83_42219</v>
      </c>
      <c r="D1631">
        <f>COUNTIF(data.SampSummary!$C$2:$C$1407,C1631)</f>
        <v>0</v>
      </c>
    </row>
    <row r="1632" spans="1:4" x14ac:dyDescent="0.25">
      <c r="A1632" t="s">
        <v>2042</v>
      </c>
      <c r="B1632" s="5">
        <v>42143</v>
      </c>
      <c r="C1632" t="str">
        <f t="shared" si="25"/>
        <v>UGEEG001.57_42143</v>
      </c>
      <c r="D1632">
        <f>COUNTIF(data.SampSummary!$C$2:$C$1407,C1632)</f>
        <v>1</v>
      </c>
    </row>
    <row r="1633" spans="1:4" x14ac:dyDescent="0.25">
      <c r="A1633" t="s">
        <v>2925</v>
      </c>
      <c r="B1633" s="5">
        <v>42228</v>
      </c>
      <c r="C1633" t="str">
        <f t="shared" si="25"/>
        <v>CGCLR698.93_42228</v>
      </c>
      <c r="D1633">
        <f>COUNTIF(data.SampSummary!$C$2:$C$1407,C1633)</f>
        <v>0</v>
      </c>
    </row>
    <row r="1634" spans="1:4" x14ac:dyDescent="0.25">
      <c r="A1634" t="s">
        <v>2904</v>
      </c>
      <c r="B1634" s="5">
        <v>42325</v>
      </c>
      <c r="C1634" t="str">
        <f t="shared" si="25"/>
        <v>SPSPR127.50_42325</v>
      </c>
      <c r="D1634">
        <f>COUNTIF(data.SampSummary!$C$2:$C$1407,C1634)</f>
        <v>0</v>
      </c>
    </row>
    <row r="1635" spans="1:4" x14ac:dyDescent="0.25">
      <c r="A1635" t="s">
        <v>2923</v>
      </c>
      <c r="B1635" s="5">
        <v>42423</v>
      </c>
      <c r="C1635" t="str">
        <f t="shared" si="25"/>
        <v>CGCLR714.16_42423</v>
      </c>
      <c r="D1635">
        <f>COUNTIF(data.SampSummary!$C$2:$C$1407,C1635)</f>
        <v>0</v>
      </c>
    </row>
    <row r="1636" spans="1:4" x14ac:dyDescent="0.25">
      <c r="A1636" t="s">
        <v>45</v>
      </c>
      <c r="B1636" s="5">
        <v>42262</v>
      </c>
      <c r="C1636" t="str">
        <f t="shared" si="25"/>
        <v>SRREY001.14_42262</v>
      </c>
      <c r="D1636">
        <f>COUNTIF(data.SampSummary!$C$2:$C$1407,C1636)</f>
        <v>0</v>
      </c>
    </row>
    <row r="1637" spans="1:4" x14ac:dyDescent="0.25">
      <c r="A1637" t="s">
        <v>273</v>
      </c>
      <c r="B1637" s="5">
        <v>42109</v>
      </c>
      <c r="C1637" t="str">
        <f t="shared" si="25"/>
        <v>MGHSR058.80_42109</v>
      </c>
      <c r="D1637">
        <f>COUNTIF(data.SampSummary!$C$2:$C$1407,C1637)</f>
        <v>1</v>
      </c>
    </row>
    <row r="1638" spans="1:4" x14ac:dyDescent="0.25">
      <c r="A1638" t="s">
        <v>2854</v>
      </c>
      <c r="B1638" s="5">
        <v>41968</v>
      </c>
      <c r="C1638" t="str">
        <f t="shared" si="25"/>
        <v>SPMLC012.68_41968</v>
      </c>
      <c r="D1638">
        <f>COUNTIF(data.SampSummary!$C$2:$C$1407,C1638)</f>
        <v>0</v>
      </c>
    </row>
    <row r="1639" spans="1:4" x14ac:dyDescent="0.25">
      <c r="A1639" t="s">
        <v>360</v>
      </c>
      <c r="B1639" s="5">
        <v>41960</v>
      </c>
      <c r="C1639" t="str">
        <f t="shared" si="25"/>
        <v>SCSCR039.63_41960</v>
      </c>
      <c r="D1639">
        <f>COUNTIF(data.SampSummary!$C$2:$C$1407,C1639)</f>
        <v>0</v>
      </c>
    </row>
    <row r="1640" spans="1:4" x14ac:dyDescent="0.25">
      <c r="A1640" t="s">
        <v>211</v>
      </c>
      <c r="B1640" s="5">
        <v>42031</v>
      </c>
      <c r="C1640" t="str">
        <f t="shared" si="25"/>
        <v>MGAFR110.01_42031</v>
      </c>
      <c r="D1640">
        <f>COUNTIF(data.SampSummary!$C$2:$C$1407,C1640)</f>
        <v>0</v>
      </c>
    </row>
    <row r="1641" spans="1:4" x14ac:dyDescent="0.25">
      <c r="A1641" t="s">
        <v>334</v>
      </c>
      <c r="B1641" s="5">
        <v>42229</v>
      </c>
      <c r="C1641" t="str">
        <f t="shared" si="25"/>
        <v>SRSLR139.75_42229</v>
      </c>
      <c r="D1641">
        <f>COUNTIF(data.SampSummary!$C$2:$C$1407,C1641)</f>
        <v>0</v>
      </c>
    </row>
    <row r="1642" spans="1:4" x14ac:dyDescent="0.25">
      <c r="A1642" t="s">
        <v>2861</v>
      </c>
      <c r="B1642" s="5">
        <v>42326</v>
      </c>
      <c r="C1642" t="str">
        <f t="shared" si="25"/>
        <v>SPSPR101.25_42326</v>
      </c>
      <c r="D1642">
        <f>COUNTIF(data.SampSummary!$C$2:$C$1407,C1642)</f>
        <v>0</v>
      </c>
    </row>
    <row r="1643" spans="1:4" x14ac:dyDescent="0.25">
      <c r="A1643" t="s">
        <v>2904</v>
      </c>
      <c r="B1643" s="5">
        <v>42297</v>
      </c>
      <c r="C1643" t="str">
        <f t="shared" si="25"/>
        <v>SPSPR127.50_42297</v>
      </c>
      <c r="D1643">
        <f>COUNTIF(data.SampSummary!$C$2:$C$1407,C1643)</f>
        <v>0</v>
      </c>
    </row>
    <row r="1644" spans="1:4" x14ac:dyDescent="0.25">
      <c r="A1644" t="s">
        <v>2925</v>
      </c>
      <c r="B1644" s="5">
        <v>42284</v>
      </c>
      <c r="C1644" t="str">
        <f t="shared" si="25"/>
        <v>CGCLR698.93_42284</v>
      </c>
      <c r="D1644">
        <f>COUNTIF(data.SampSummary!$C$2:$C$1407,C1644)</f>
        <v>0</v>
      </c>
    </row>
    <row r="1645" spans="1:4" x14ac:dyDescent="0.25">
      <c r="A1645" t="s">
        <v>192</v>
      </c>
      <c r="B1645" s="5">
        <v>42297</v>
      </c>
      <c r="C1645" t="str">
        <f t="shared" si="25"/>
        <v>SPSPR150.09_42297</v>
      </c>
      <c r="D1645">
        <f>COUNTIF(data.SampSummary!$C$2:$C$1407,C1645)</f>
        <v>0</v>
      </c>
    </row>
    <row r="1646" spans="1:4" x14ac:dyDescent="0.25">
      <c r="A1646" t="s">
        <v>201</v>
      </c>
      <c r="B1646" s="5">
        <v>41906</v>
      </c>
      <c r="C1646" t="str">
        <f t="shared" si="25"/>
        <v>SPSPR006.75_41906</v>
      </c>
      <c r="D1646">
        <f>COUNTIF(data.SampSummary!$C$2:$C$1407,C1646)</f>
        <v>0</v>
      </c>
    </row>
    <row r="1647" spans="1:4" x14ac:dyDescent="0.25">
      <c r="A1647" t="s">
        <v>2904</v>
      </c>
      <c r="B1647" s="5">
        <v>38845</v>
      </c>
      <c r="C1647" t="str">
        <f t="shared" si="25"/>
        <v>SPSPR127.50_38845</v>
      </c>
      <c r="D1647">
        <f>COUNTIF(data.SampSummary!$C$2:$C$1407,C1647)</f>
        <v>0</v>
      </c>
    </row>
    <row r="1648" spans="1:4" x14ac:dyDescent="0.25">
      <c r="A1648" t="s">
        <v>192</v>
      </c>
      <c r="B1648" s="5">
        <v>38846</v>
      </c>
      <c r="C1648" t="str">
        <f t="shared" si="25"/>
        <v>SPSPR150.09_38846</v>
      </c>
      <c r="D1648">
        <f>COUNTIF(data.SampSummary!$C$2:$C$1407,C1648)</f>
        <v>0</v>
      </c>
    </row>
    <row r="1649" spans="1:4" x14ac:dyDescent="0.25">
      <c r="A1649" t="s">
        <v>2907</v>
      </c>
      <c r="B1649" s="5">
        <v>38846</v>
      </c>
      <c r="C1649" t="str">
        <f t="shared" si="25"/>
        <v>SPRMC010.62_38846</v>
      </c>
      <c r="D1649">
        <f>COUNTIF(data.SampSummary!$C$2:$C$1407,C1649)</f>
        <v>0</v>
      </c>
    </row>
    <row r="1650" spans="1:4" x14ac:dyDescent="0.25">
      <c r="A1650" t="s">
        <v>2817</v>
      </c>
      <c r="B1650" s="5">
        <v>39519</v>
      </c>
      <c r="C1650" t="str">
        <f t="shared" si="25"/>
        <v>LCLCR346.01_39519</v>
      </c>
      <c r="D1650">
        <f>COUNTIF(data.SampSummary!$C$2:$C$1407,C1650)</f>
        <v>0</v>
      </c>
    </row>
    <row r="1651" spans="1:4" x14ac:dyDescent="0.25">
      <c r="A1651" t="s">
        <v>2926</v>
      </c>
      <c r="B1651" s="5">
        <v>39519</v>
      </c>
      <c r="C1651" t="str">
        <f t="shared" si="25"/>
        <v>LCLCR336.76_39519</v>
      </c>
      <c r="D1651">
        <f>COUNTIF(data.SampSummary!$C$2:$C$1407,C1651)</f>
        <v>0</v>
      </c>
    </row>
    <row r="1652" spans="1:4" x14ac:dyDescent="0.25">
      <c r="A1652" t="s">
        <v>2816</v>
      </c>
      <c r="B1652" s="5">
        <v>39518</v>
      </c>
      <c r="C1652" t="str">
        <f t="shared" si="25"/>
        <v>LCLCR324.92_39518</v>
      </c>
      <c r="D1652">
        <f>COUNTIF(data.SampSummary!$C$2:$C$1407,C1652)</f>
        <v>0</v>
      </c>
    </row>
    <row r="1653" spans="1:4" x14ac:dyDescent="0.25">
      <c r="A1653" t="s">
        <v>2927</v>
      </c>
      <c r="B1653" s="5">
        <v>41396</v>
      </c>
      <c r="C1653" t="str">
        <f t="shared" si="25"/>
        <v>SRTON056.59_41396</v>
      </c>
      <c r="D1653">
        <f>COUNTIF(data.SampSummary!$C$2:$C$1407,C1653)</f>
        <v>0</v>
      </c>
    </row>
    <row r="1654" spans="1:4" x14ac:dyDescent="0.25">
      <c r="A1654" t="s">
        <v>2928</v>
      </c>
      <c r="B1654" s="5">
        <v>41396</v>
      </c>
      <c r="C1654" t="str">
        <f t="shared" si="25"/>
        <v>SRCRS006.20_41396</v>
      </c>
      <c r="D1654">
        <f>COUNTIF(data.SampSummary!$C$2:$C$1407,C1654)</f>
        <v>0</v>
      </c>
    </row>
    <row r="1655" spans="1:4" x14ac:dyDescent="0.25">
      <c r="A1655" t="s">
        <v>197</v>
      </c>
      <c r="B1655" s="5">
        <v>41396</v>
      </c>
      <c r="C1655" t="str">
        <f t="shared" si="25"/>
        <v>SRTON053.87_41396</v>
      </c>
      <c r="D1655">
        <f>COUNTIF(data.SampSummary!$C$2:$C$1407,C1655)</f>
        <v>0</v>
      </c>
    </row>
    <row r="1656" spans="1:4" x14ac:dyDescent="0.25">
      <c r="A1656" t="s">
        <v>2203</v>
      </c>
      <c r="B1656" s="5">
        <v>41396</v>
      </c>
      <c r="C1656" t="str">
        <f t="shared" si="25"/>
        <v>SRTON062.89_41396</v>
      </c>
      <c r="D1656">
        <f>COUNTIF(data.SampSummary!$C$2:$C$1407,C1656)</f>
        <v>0</v>
      </c>
    </row>
    <row r="1657" spans="1:4" x14ac:dyDescent="0.25">
      <c r="A1657" t="s">
        <v>2929</v>
      </c>
      <c r="B1657" s="5">
        <v>41396</v>
      </c>
      <c r="C1657" t="str">
        <f t="shared" si="25"/>
        <v>SRCRS000.08_41396</v>
      </c>
      <c r="D1657">
        <f>COUNTIF(data.SampSummary!$C$2:$C$1407,C1657)</f>
        <v>0</v>
      </c>
    </row>
    <row r="1658" spans="1:4" x14ac:dyDescent="0.25">
      <c r="A1658" t="s">
        <v>2115</v>
      </c>
      <c r="B1658" s="5">
        <v>39140</v>
      </c>
      <c r="C1658" t="str">
        <f t="shared" si="25"/>
        <v>UGGLR471.49_39140</v>
      </c>
      <c r="D1658">
        <f>COUNTIF(data.SampSummary!$C$2:$C$1407,C1658)</f>
        <v>0</v>
      </c>
    </row>
    <row r="1659" spans="1:4" x14ac:dyDescent="0.25">
      <c r="A1659" t="s">
        <v>2842</v>
      </c>
      <c r="B1659" s="5">
        <v>39140</v>
      </c>
      <c r="C1659" t="str">
        <f t="shared" si="25"/>
        <v>UGGLR485.91_39140</v>
      </c>
      <c r="D1659">
        <f>COUNTIF(data.SampSummary!$C$2:$C$1407,C1659)</f>
        <v>0</v>
      </c>
    </row>
    <row r="1660" spans="1:4" x14ac:dyDescent="0.25">
      <c r="A1660" t="s">
        <v>2844</v>
      </c>
      <c r="B1660" s="5">
        <v>39140</v>
      </c>
      <c r="C1660" t="str">
        <f t="shared" si="25"/>
        <v>UGGLR501.45_39140</v>
      </c>
      <c r="D1660">
        <f>COUNTIF(data.SampSummary!$C$2:$C$1407,C1660)</f>
        <v>0</v>
      </c>
    </row>
    <row r="1661" spans="1:4" x14ac:dyDescent="0.25">
      <c r="A1661" t="s">
        <v>320</v>
      </c>
      <c r="B1661" s="5">
        <v>39141</v>
      </c>
      <c r="C1661" t="str">
        <f t="shared" si="25"/>
        <v>UGGLR452.43_39141</v>
      </c>
      <c r="D1661">
        <f>COUNTIF(data.SampSummary!$C$2:$C$1407,C1661)</f>
        <v>0</v>
      </c>
    </row>
    <row r="1662" spans="1:4" x14ac:dyDescent="0.25">
      <c r="A1662" t="s">
        <v>342</v>
      </c>
      <c r="B1662" s="5">
        <v>39141</v>
      </c>
      <c r="C1662" t="str">
        <f t="shared" si="25"/>
        <v>UGBON000.17_39141</v>
      </c>
      <c r="D1662">
        <f>COUNTIF(data.SampSummary!$C$2:$C$1407,C1662)</f>
        <v>0</v>
      </c>
    </row>
    <row r="1663" spans="1:4" x14ac:dyDescent="0.25">
      <c r="A1663" t="s">
        <v>2840</v>
      </c>
      <c r="B1663" s="5">
        <v>39141</v>
      </c>
      <c r="C1663" t="str">
        <f t="shared" si="25"/>
        <v>UGEAG011.51_39141</v>
      </c>
      <c r="D1663">
        <f>COUNTIF(data.SampSummary!$C$2:$C$1407,C1663)</f>
        <v>0</v>
      </c>
    </row>
    <row r="1664" spans="1:4" x14ac:dyDescent="0.25">
      <c r="A1664" t="s">
        <v>326</v>
      </c>
      <c r="B1664" s="5">
        <v>39141</v>
      </c>
      <c r="C1664" t="str">
        <f t="shared" si="25"/>
        <v>UGSFR006.42_39141</v>
      </c>
      <c r="D1664">
        <f>COUNTIF(data.SampSummary!$C$2:$C$1407,C1664)</f>
        <v>0</v>
      </c>
    </row>
    <row r="1665" spans="1:4" x14ac:dyDescent="0.25">
      <c r="A1665" t="s">
        <v>324</v>
      </c>
      <c r="B1665" s="5">
        <v>39142</v>
      </c>
      <c r="C1665" t="str">
        <f t="shared" si="25"/>
        <v>UGGLR451.46_39142</v>
      </c>
      <c r="D1665">
        <f>COUNTIF(data.SampSummary!$C$2:$C$1407,C1665)</f>
        <v>0</v>
      </c>
    </row>
    <row r="1666" spans="1:4" x14ac:dyDescent="0.25">
      <c r="A1666" t="s">
        <v>350</v>
      </c>
      <c r="B1666" s="5">
        <v>39142</v>
      </c>
      <c r="C1666" t="str">
        <f t="shared" si="25"/>
        <v>UGGLR448.61_39142</v>
      </c>
      <c r="D1666">
        <f>COUNTIF(data.SampSummary!$C$2:$C$1407,C1666)</f>
        <v>0</v>
      </c>
    </row>
    <row r="1667" spans="1:4" x14ac:dyDescent="0.25">
      <c r="A1667" t="s">
        <v>2841</v>
      </c>
      <c r="B1667" s="5">
        <v>39804</v>
      </c>
      <c r="C1667" t="str">
        <f t="shared" ref="C1667:C1730" si="26">A1667&amp;"_"&amp;B1667</f>
        <v>LCLCR206.75_39804</v>
      </c>
      <c r="D1667">
        <f>COUNTIF(data.SampSummary!$C$2:$C$1407,C1667)</f>
        <v>0</v>
      </c>
    </row>
    <row r="1668" spans="1:4" x14ac:dyDescent="0.25">
      <c r="A1668" t="s">
        <v>2203</v>
      </c>
      <c r="B1668" s="5">
        <v>40847</v>
      </c>
      <c r="C1668" t="str">
        <f t="shared" si="26"/>
        <v>SRTON062.89_40847</v>
      </c>
      <c r="D1668">
        <f>COUNTIF(data.SampSummary!$C$2:$C$1407,C1668)</f>
        <v>0</v>
      </c>
    </row>
    <row r="1669" spans="1:4" x14ac:dyDescent="0.25">
      <c r="A1669" t="s">
        <v>2841</v>
      </c>
      <c r="B1669" s="5">
        <v>39643</v>
      </c>
      <c r="C1669" t="str">
        <f t="shared" si="26"/>
        <v>LCLCR206.75_39643</v>
      </c>
      <c r="D1669">
        <f>COUNTIF(data.SampSummary!$C$2:$C$1407,C1669)</f>
        <v>0</v>
      </c>
    </row>
    <row r="1670" spans="1:4" x14ac:dyDescent="0.25">
      <c r="A1670" t="s">
        <v>2815</v>
      </c>
      <c r="B1670" s="5">
        <v>39667</v>
      </c>
      <c r="C1670" t="str">
        <f t="shared" si="26"/>
        <v>LCLCR212.96_39667</v>
      </c>
      <c r="D1670">
        <f>COUNTIF(data.SampSummary!$C$2:$C$1407,C1670)</f>
        <v>0</v>
      </c>
    </row>
    <row r="1671" spans="1:4" x14ac:dyDescent="0.25">
      <c r="A1671" t="s">
        <v>2841</v>
      </c>
      <c r="B1671" s="5">
        <v>39666</v>
      </c>
      <c r="C1671" t="str">
        <f t="shared" si="26"/>
        <v>LCLCR206.75_39666</v>
      </c>
      <c r="D1671">
        <f>COUNTIF(data.SampSummary!$C$2:$C$1407,C1671)</f>
        <v>0</v>
      </c>
    </row>
    <row r="1672" spans="1:4" x14ac:dyDescent="0.25">
      <c r="A1672" t="s">
        <v>2812</v>
      </c>
      <c r="B1672" s="5">
        <v>39644</v>
      </c>
      <c r="C1672" t="str">
        <f t="shared" si="26"/>
        <v>LCLCR226.31_39644</v>
      </c>
      <c r="D1672">
        <f>COUNTIF(data.SampSummary!$C$2:$C$1407,C1672)</f>
        <v>0</v>
      </c>
    </row>
    <row r="1673" spans="1:4" x14ac:dyDescent="0.25">
      <c r="A1673" t="s">
        <v>2811</v>
      </c>
      <c r="B1673" s="5">
        <v>39644</v>
      </c>
      <c r="C1673" t="str">
        <f t="shared" si="26"/>
        <v>LCLCR216.67_39644</v>
      </c>
      <c r="D1673">
        <f>COUNTIF(data.SampSummary!$C$2:$C$1407,C1673)</f>
        <v>0</v>
      </c>
    </row>
    <row r="1674" spans="1:4" x14ac:dyDescent="0.25">
      <c r="A1674" t="s">
        <v>2815</v>
      </c>
      <c r="B1674" s="5">
        <v>39643</v>
      </c>
      <c r="C1674" t="str">
        <f t="shared" si="26"/>
        <v>LCLCR212.96_39643</v>
      </c>
      <c r="D1674">
        <f>COUNTIF(data.SampSummary!$C$2:$C$1407,C1674)</f>
        <v>0</v>
      </c>
    </row>
    <row r="1675" spans="1:4" x14ac:dyDescent="0.25">
      <c r="A1675" t="s">
        <v>2830</v>
      </c>
      <c r="B1675" s="5">
        <v>39643</v>
      </c>
      <c r="C1675" t="str">
        <f t="shared" si="26"/>
        <v>LCLCR200.23_39643</v>
      </c>
      <c r="D1675">
        <f>COUNTIF(data.SampSummary!$C$2:$C$1407,C1675)</f>
        <v>0</v>
      </c>
    </row>
    <row r="1676" spans="1:4" x14ac:dyDescent="0.25">
      <c r="A1676" t="s">
        <v>2812</v>
      </c>
      <c r="B1676" s="5">
        <v>39667</v>
      </c>
      <c r="C1676" t="str">
        <f t="shared" si="26"/>
        <v>LCLCR226.31_39667</v>
      </c>
      <c r="D1676">
        <f>COUNTIF(data.SampSummary!$C$2:$C$1407,C1676)</f>
        <v>0</v>
      </c>
    </row>
    <row r="1677" spans="1:4" x14ac:dyDescent="0.25">
      <c r="A1677" t="s">
        <v>2861</v>
      </c>
      <c r="B1677" s="5">
        <v>38946</v>
      </c>
      <c r="C1677" t="str">
        <f t="shared" si="26"/>
        <v>SPSPR101.25_38946</v>
      </c>
      <c r="D1677">
        <f>COUNTIF(data.SampSummary!$C$2:$C$1407,C1677)</f>
        <v>0</v>
      </c>
    </row>
    <row r="1678" spans="1:4" x14ac:dyDescent="0.25">
      <c r="A1678" t="s">
        <v>2904</v>
      </c>
      <c r="B1678" s="5">
        <v>38946</v>
      </c>
      <c r="C1678" t="str">
        <f t="shared" si="26"/>
        <v>SPSPR127.50_38946</v>
      </c>
      <c r="D1678">
        <f>COUNTIF(data.SampSummary!$C$2:$C$1407,C1678)</f>
        <v>0</v>
      </c>
    </row>
    <row r="1679" spans="1:4" x14ac:dyDescent="0.25">
      <c r="A1679" t="s">
        <v>192</v>
      </c>
      <c r="B1679" s="5">
        <v>38946</v>
      </c>
      <c r="C1679" t="str">
        <f t="shared" si="26"/>
        <v>SPSPR150.09_38946</v>
      </c>
      <c r="D1679">
        <f>COUNTIF(data.SampSummary!$C$2:$C$1407,C1679)</f>
        <v>0</v>
      </c>
    </row>
    <row r="1680" spans="1:4" x14ac:dyDescent="0.25">
      <c r="A1680" t="s">
        <v>2861</v>
      </c>
      <c r="B1680" s="5">
        <v>38959</v>
      </c>
      <c r="C1680" t="str">
        <f t="shared" si="26"/>
        <v>SPSPR101.25_38959</v>
      </c>
      <c r="D1680">
        <f>COUNTIF(data.SampSummary!$C$2:$C$1407,C1680)</f>
        <v>0</v>
      </c>
    </row>
    <row r="1681" spans="1:4" x14ac:dyDescent="0.25">
      <c r="A1681" t="s">
        <v>2904</v>
      </c>
      <c r="B1681" s="5">
        <v>38959</v>
      </c>
      <c r="C1681" t="str">
        <f t="shared" si="26"/>
        <v>SPSPR127.50_38959</v>
      </c>
      <c r="D1681">
        <f>COUNTIF(data.SampSummary!$C$2:$C$1407,C1681)</f>
        <v>0</v>
      </c>
    </row>
    <row r="1682" spans="1:4" x14ac:dyDescent="0.25">
      <c r="A1682" t="s">
        <v>192</v>
      </c>
      <c r="B1682" s="5">
        <v>38960</v>
      </c>
      <c r="C1682" t="str">
        <f t="shared" si="26"/>
        <v>SPSPR150.09_38960</v>
      </c>
      <c r="D1682">
        <f>COUNTIF(data.SampSummary!$C$2:$C$1407,C1682)</f>
        <v>0</v>
      </c>
    </row>
    <row r="1683" spans="1:4" x14ac:dyDescent="0.25">
      <c r="A1683" t="s">
        <v>2884</v>
      </c>
      <c r="B1683" s="5">
        <v>38960</v>
      </c>
      <c r="C1683" t="str">
        <f t="shared" si="26"/>
        <v>SPSPR144.76_38960</v>
      </c>
      <c r="D1683">
        <f>COUNTIF(data.SampSummary!$C$2:$C$1407,C1683)</f>
        <v>0</v>
      </c>
    </row>
    <row r="1684" spans="1:4" x14ac:dyDescent="0.25">
      <c r="A1684" t="s">
        <v>2907</v>
      </c>
      <c r="B1684" s="5">
        <v>39057</v>
      </c>
      <c r="C1684" t="str">
        <f t="shared" si="26"/>
        <v>SPRMC010.62_39057</v>
      </c>
      <c r="D1684">
        <f>COUNTIF(data.SampSummary!$C$2:$C$1407,C1684)</f>
        <v>0</v>
      </c>
    </row>
    <row r="1685" spans="1:4" x14ac:dyDescent="0.25">
      <c r="A1685" t="s">
        <v>2884</v>
      </c>
      <c r="B1685" s="5">
        <v>39057</v>
      </c>
      <c r="C1685" t="str">
        <f t="shared" si="26"/>
        <v>SPSPR144.76_39057</v>
      </c>
      <c r="D1685">
        <f>COUNTIF(data.SampSummary!$C$2:$C$1407,C1685)</f>
        <v>0</v>
      </c>
    </row>
    <row r="1686" spans="1:4" x14ac:dyDescent="0.25">
      <c r="A1686" t="s">
        <v>2905</v>
      </c>
      <c r="B1686" s="5">
        <v>39058</v>
      </c>
      <c r="C1686" t="str">
        <f t="shared" si="26"/>
        <v>SPSPR105.49_39058</v>
      </c>
      <c r="D1686">
        <f>COUNTIF(data.SampSummary!$C$2:$C$1407,C1686)</f>
        <v>0</v>
      </c>
    </row>
    <row r="1687" spans="1:4" x14ac:dyDescent="0.25">
      <c r="A1687" t="s">
        <v>2876</v>
      </c>
      <c r="B1687" s="5">
        <v>39058</v>
      </c>
      <c r="C1687" t="str">
        <f t="shared" si="26"/>
        <v>SPSPR120.47_39058</v>
      </c>
      <c r="D1687">
        <f>COUNTIF(data.SampSummary!$C$2:$C$1407,C1687)</f>
        <v>0</v>
      </c>
    </row>
    <row r="1688" spans="1:4" x14ac:dyDescent="0.25">
      <c r="A1688" t="s">
        <v>342</v>
      </c>
      <c r="B1688" s="5">
        <v>39166</v>
      </c>
      <c r="C1688" t="str">
        <f t="shared" si="26"/>
        <v>UGBON000.17_39166</v>
      </c>
      <c r="D1688">
        <f>COUNTIF(data.SampSummary!$C$2:$C$1407,C1688)</f>
        <v>0</v>
      </c>
    </row>
    <row r="1689" spans="1:4" x14ac:dyDescent="0.25">
      <c r="A1689" t="s">
        <v>350</v>
      </c>
      <c r="B1689" s="5">
        <v>39166</v>
      </c>
      <c r="C1689" t="str">
        <f t="shared" si="26"/>
        <v>UGGLR448.61_39166</v>
      </c>
      <c r="D1689">
        <f>COUNTIF(data.SampSummary!$C$2:$C$1407,C1689)</f>
        <v>0</v>
      </c>
    </row>
    <row r="1690" spans="1:4" x14ac:dyDescent="0.25">
      <c r="A1690" t="s">
        <v>324</v>
      </c>
      <c r="B1690" s="5">
        <v>39166</v>
      </c>
      <c r="C1690" t="str">
        <f t="shared" si="26"/>
        <v>UGGLR451.46_39166</v>
      </c>
      <c r="D1690">
        <f>COUNTIF(data.SampSummary!$C$2:$C$1407,C1690)</f>
        <v>0</v>
      </c>
    </row>
    <row r="1691" spans="1:4" x14ac:dyDescent="0.25">
      <c r="A1691" t="s">
        <v>320</v>
      </c>
      <c r="B1691" s="5">
        <v>39166</v>
      </c>
      <c r="C1691" t="str">
        <f t="shared" si="26"/>
        <v>UGGLR452.43_39166</v>
      </c>
      <c r="D1691">
        <f>COUNTIF(data.SampSummary!$C$2:$C$1407,C1691)</f>
        <v>0</v>
      </c>
    </row>
    <row r="1692" spans="1:4" x14ac:dyDescent="0.25">
      <c r="A1692" t="s">
        <v>2115</v>
      </c>
      <c r="B1692" s="5">
        <v>39167</v>
      </c>
      <c r="C1692" t="str">
        <f t="shared" si="26"/>
        <v>UGGLR471.49_39167</v>
      </c>
      <c r="D1692">
        <f>COUNTIF(data.SampSummary!$C$2:$C$1407,C1692)</f>
        <v>0</v>
      </c>
    </row>
    <row r="1693" spans="1:4" x14ac:dyDescent="0.25">
      <c r="A1693" t="s">
        <v>2842</v>
      </c>
      <c r="B1693" s="5">
        <v>39167</v>
      </c>
      <c r="C1693" t="str">
        <f t="shared" si="26"/>
        <v>UGGLR485.91_39167</v>
      </c>
      <c r="D1693">
        <f>COUNTIF(data.SampSummary!$C$2:$C$1407,C1693)</f>
        <v>0</v>
      </c>
    </row>
    <row r="1694" spans="1:4" x14ac:dyDescent="0.25">
      <c r="A1694" t="s">
        <v>2844</v>
      </c>
      <c r="B1694" s="5">
        <v>39167</v>
      </c>
      <c r="C1694" t="str">
        <f t="shared" si="26"/>
        <v>UGGLR501.45_39167</v>
      </c>
      <c r="D1694">
        <f>COUNTIF(data.SampSummary!$C$2:$C$1407,C1694)</f>
        <v>0</v>
      </c>
    </row>
    <row r="1695" spans="1:4" x14ac:dyDescent="0.25">
      <c r="A1695" t="s">
        <v>2840</v>
      </c>
      <c r="B1695" s="5">
        <v>39168</v>
      </c>
      <c r="C1695" t="str">
        <f t="shared" si="26"/>
        <v>UGEAG011.51_39168</v>
      </c>
      <c r="D1695">
        <f>COUNTIF(data.SampSummary!$C$2:$C$1407,C1695)</f>
        <v>0</v>
      </c>
    </row>
    <row r="1696" spans="1:4" x14ac:dyDescent="0.25">
      <c r="A1696" t="s">
        <v>2843</v>
      </c>
      <c r="B1696" s="5">
        <v>39168</v>
      </c>
      <c r="C1696" t="str">
        <f t="shared" si="26"/>
        <v>UGGLR515.55_39168</v>
      </c>
      <c r="D1696">
        <f>COUNTIF(data.SampSummary!$C$2:$C$1407,C1696)</f>
        <v>0</v>
      </c>
    </row>
    <row r="1697" spans="1:4" x14ac:dyDescent="0.25">
      <c r="A1697" t="s">
        <v>326</v>
      </c>
      <c r="B1697" s="5">
        <v>39168</v>
      </c>
      <c r="C1697" t="str">
        <f t="shared" si="26"/>
        <v>UGSFR006.42_39168</v>
      </c>
      <c r="D1697">
        <f>COUNTIF(data.SampSummary!$C$2:$C$1407,C1697)</f>
        <v>0</v>
      </c>
    </row>
    <row r="1698" spans="1:4" x14ac:dyDescent="0.25">
      <c r="A1698" t="s">
        <v>2873</v>
      </c>
      <c r="B1698" s="5">
        <v>39475</v>
      </c>
      <c r="C1698" t="str">
        <f t="shared" si="26"/>
        <v>SRGIB000.11_39475</v>
      </c>
      <c r="D1698">
        <f>COUNTIF(data.SampSummary!$C$2:$C$1407,C1698)</f>
        <v>0</v>
      </c>
    </row>
    <row r="1699" spans="1:4" x14ac:dyDescent="0.25">
      <c r="A1699" t="s">
        <v>261</v>
      </c>
      <c r="B1699" s="5">
        <v>39455</v>
      </c>
      <c r="C1699" t="str">
        <f t="shared" si="26"/>
        <v>VRWBV012.56_39455</v>
      </c>
      <c r="D1699">
        <f>COUNTIF(data.SampSummary!$C$2:$C$1407,C1699)</f>
        <v>0</v>
      </c>
    </row>
    <row r="1700" spans="1:4" x14ac:dyDescent="0.25">
      <c r="A1700" t="s">
        <v>2186</v>
      </c>
      <c r="B1700" s="5">
        <v>39454</v>
      </c>
      <c r="C1700" t="str">
        <f t="shared" si="26"/>
        <v>VROAK002.96_39454</v>
      </c>
      <c r="D1700">
        <f>COUNTIF(data.SampSummary!$C$2:$C$1407,C1700)</f>
        <v>0</v>
      </c>
    </row>
    <row r="1701" spans="1:4" x14ac:dyDescent="0.25">
      <c r="A1701" t="s">
        <v>313</v>
      </c>
      <c r="B1701" s="5">
        <v>39393</v>
      </c>
      <c r="C1701" t="str">
        <f t="shared" si="26"/>
        <v>VRFOS011.88_39393</v>
      </c>
      <c r="D1701">
        <f>COUNTIF(data.SampSummary!$C$2:$C$1407,C1701)</f>
        <v>0</v>
      </c>
    </row>
    <row r="1702" spans="1:4" x14ac:dyDescent="0.25">
      <c r="A1702" t="s">
        <v>2930</v>
      </c>
      <c r="B1702" s="5">
        <v>41486</v>
      </c>
      <c r="C1702" t="str">
        <f t="shared" si="26"/>
        <v>VRGRA023.85_41486</v>
      </c>
      <c r="D1702">
        <f>COUNTIF(data.SampSummary!$C$2:$C$1407,C1702)</f>
        <v>0</v>
      </c>
    </row>
    <row r="1703" spans="1:4" x14ac:dyDescent="0.25">
      <c r="A1703" t="s">
        <v>37</v>
      </c>
      <c r="B1703" s="5">
        <v>42500</v>
      </c>
      <c r="C1703" t="str">
        <f t="shared" si="26"/>
        <v>VRWOK000.82_42500</v>
      </c>
      <c r="D1703">
        <f>COUNTIF(data.SampSummary!$C$2:$C$1407,C1703)</f>
        <v>1</v>
      </c>
    </row>
    <row r="1704" spans="1:4" x14ac:dyDescent="0.25">
      <c r="A1704" t="s">
        <v>360</v>
      </c>
      <c r="B1704" s="5">
        <v>42466</v>
      </c>
      <c r="C1704" t="str">
        <f t="shared" si="26"/>
        <v>SCSCR039.63_42466</v>
      </c>
      <c r="D1704">
        <f>COUNTIF(data.SampSummary!$C$2:$C$1407,C1704)</f>
        <v>1</v>
      </c>
    </row>
    <row r="1705" spans="1:4" x14ac:dyDescent="0.25">
      <c r="A1705" t="s">
        <v>169</v>
      </c>
      <c r="B1705" s="5">
        <v>42534</v>
      </c>
      <c r="C1705" t="str">
        <f t="shared" si="26"/>
        <v>SRUEF000.87_42534</v>
      </c>
      <c r="D1705">
        <f>COUNTIF(data.SampSummary!$C$2:$C$1407,C1705)</f>
        <v>1</v>
      </c>
    </row>
    <row r="1706" spans="1:4" x14ac:dyDescent="0.25">
      <c r="A1706" t="s">
        <v>2925</v>
      </c>
      <c r="B1706" s="5">
        <v>42521</v>
      </c>
      <c r="C1706" t="str">
        <f t="shared" si="26"/>
        <v>CGCLR698.93_42521</v>
      </c>
      <c r="D1706">
        <f>COUNTIF(data.SampSummary!$C$2:$C$1407,C1706)</f>
        <v>0</v>
      </c>
    </row>
    <row r="1707" spans="1:4" x14ac:dyDescent="0.25">
      <c r="A1707" t="s">
        <v>2923</v>
      </c>
      <c r="B1707" s="5">
        <v>42521</v>
      </c>
      <c r="C1707" t="str">
        <f t="shared" si="26"/>
        <v>CGCLR714.16_42521</v>
      </c>
      <c r="D1707">
        <f>COUNTIF(data.SampSummary!$C$2:$C$1407,C1707)</f>
        <v>0</v>
      </c>
    </row>
    <row r="1708" spans="1:4" x14ac:dyDescent="0.25">
      <c r="A1708" t="s">
        <v>135</v>
      </c>
      <c r="B1708" s="5">
        <v>42542</v>
      </c>
      <c r="C1708" t="str">
        <f t="shared" si="26"/>
        <v>SRHRS001.41_42542</v>
      </c>
      <c r="D1708">
        <f>COUNTIF(data.SampSummary!$C$2:$C$1407,C1708)</f>
        <v>0</v>
      </c>
    </row>
    <row r="1709" spans="1:4" x14ac:dyDescent="0.25">
      <c r="A1709" t="s">
        <v>2836</v>
      </c>
      <c r="B1709" s="5">
        <v>39213</v>
      </c>
      <c r="C1709" t="str">
        <f t="shared" si="26"/>
        <v>CLGLR010.53_39213</v>
      </c>
      <c r="D1709">
        <f>COUNTIF(data.SampSummary!$C$2:$C$1407,C1709)</f>
        <v>0</v>
      </c>
    </row>
    <row r="1710" spans="1:4" x14ac:dyDescent="0.25">
      <c r="A1710" t="s">
        <v>181</v>
      </c>
      <c r="B1710" s="5">
        <v>42534</v>
      </c>
      <c r="C1710" t="str">
        <f t="shared" si="26"/>
        <v>SRUUE000.03_42534</v>
      </c>
      <c r="D1710">
        <f>COUNTIF(data.SampSummary!$C$2:$C$1407,C1710)</f>
        <v>1</v>
      </c>
    </row>
    <row r="1711" spans="1:4" x14ac:dyDescent="0.25">
      <c r="A1711" t="s">
        <v>1967</v>
      </c>
      <c r="B1711" s="5">
        <v>39209</v>
      </c>
      <c r="C1711" t="str">
        <f t="shared" si="26"/>
        <v>LCCLE063.52_39209</v>
      </c>
      <c r="D1711">
        <f>COUNTIF(data.SampSummary!$C$2:$C$1407,C1711)</f>
        <v>1</v>
      </c>
    </row>
    <row r="1712" spans="1:4" x14ac:dyDescent="0.25">
      <c r="A1712" t="s">
        <v>45</v>
      </c>
      <c r="B1712" s="5">
        <v>42550</v>
      </c>
      <c r="C1712" t="str">
        <f t="shared" si="26"/>
        <v>SRREY001.14_42550</v>
      </c>
      <c r="D1712">
        <f>COUNTIF(data.SampSummary!$C$2:$C$1407,C1712)</f>
        <v>1</v>
      </c>
    </row>
    <row r="1713" spans="1:4" x14ac:dyDescent="0.25">
      <c r="A1713" t="s">
        <v>55</v>
      </c>
      <c r="B1713" s="5">
        <v>39713</v>
      </c>
      <c r="C1713" t="str">
        <f t="shared" si="26"/>
        <v>UGTRY001.56_39713</v>
      </c>
      <c r="D1713">
        <f>COUNTIF(data.SampSummary!$C$2:$C$1407,C1713)</f>
        <v>0</v>
      </c>
    </row>
    <row r="1714" spans="1:4" x14ac:dyDescent="0.25">
      <c r="A1714" t="s">
        <v>2931</v>
      </c>
      <c r="B1714" s="5">
        <v>39660</v>
      </c>
      <c r="C1714" t="str">
        <f t="shared" si="26"/>
        <v>SCXAL000.01_39660</v>
      </c>
      <c r="D1714">
        <f>COUNTIF(data.SampSummary!$C$2:$C$1407,C1714)</f>
        <v>0</v>
      </c>
    </row>
    <row r="1715" spans="1:4" x14ac:dyDescent="0.25">
      <c r="A1715" t="s">
        <v>2904</v>
      </c>
      <c r="B1715" s="5">
        <v>42465</v>
      </c>
      <c r="C1715" t="str">
        <f t="shared" si="26"/>
        <v>SPSPR127.50_42465</v>
      </c>
      <c r="D1715">
        <f>COUNTIF(data.SampSummary!$C$2:$C$1407,C1715)</f>
        <v>0</v>
      </c>
    </row>
    <row r="1716" spans="1:4" x14ac:dyDescent="0.25">
      <c r="A1716" t="s">
        <v>2931</v>
      </c>
      <c r="B1716" s="5">
        <v>39042</v>
      </c>
      <c r="C1716" t="str">
        <f t="shared" si="26"/>
        <v>SCXAL000.01_39042</v>
      </c>
      <c r="D1716">
        <f>COUNTIF(data.SampSummary!$C$2:$C$1407,C1716)</f>
        <v>0</v>
      </c>
    </row>
    <row r="1717" spans="1:4" x14ac:dyDescent="0.25">
      <c r="A1717" t="s">
        <v>2841</v>
      </c>
      <c r="B1717" s="5">
        <v>39726</v>
      </c>
      <c r="C1717" t="str">
        <f t="shared" si="26"/>
        <v>LCLCR206.75_39726</v>
      </c>
      <c r="D1717">
        <f>COUNTIF(data.SampSummary!$C$2:$C$1407,C1717)</f>
        <v>0</v>
      </c>
    </row>
    <row r="1718" spans="1:4" x14ac:dyDescent="0.25">
      <c r="A1718" t="s">
        <v>2841</v>
      </c>
      <c r="B1718" s="5">
        <v>39727</v>
      </c>
      <c r="C1718" t="str">
        <f t="shared" si="26"/>
        <v>LCLCR206.75_39727</v>
      </c>
      <c r="D1718">
        <f>COUNTIF(data.SampSummary!$C$2:$C$1407,C1718)</f>
        <v>0</v>
      </c>
    </row>
    <row r="1719" spans="1:4" x14ac:dyDescent="0.25">
      <c r="A1719" t="s">
        <v>2932</v>
      </c>
      <c r="B1719" s="5">
        <v>39288</v>
      </c>
      <c r="C1719" t="str">
        <f t="shared" si="26"/>
        <v>LCWAN002.60_39288</v>
      </c>
      <c r="D1719">
        <f>COUNTIF(data.SampSummary!$C$2:$C$1407,C1719)</f>
        <v>0</v>
      </c>
    </row>
    <row r="1720" spans="1:4" x14ac:dyDescent="0.25">
      <c r="A1720" t="s">
        <v>2933</v>
      </c>
      <c r="B1720" s="5">
        <v>39288</v>
      </c>
      <c r="C1720" t="str">
        <f t="shared" si="26"/>
        <v>LCBIL005.75_39288</v>
      </c>
      <c r="D1720">
        <f>COUNTIF(data.SampSummary!$C$2:$C$1407,C1720)</f>
        <v>0</v>
      </c>
    </row>
    <row r="1721" spans="1:4" x14ac:dyDescent="0.25">
      <c r="A1721" t="s">
        <v>2932</v>
      </c>
      <c r="B1721" s="5">
        <v>39175</v>
      </c>
      <c r="C1721" t="str">
        <f t="shared" si="26"/>
        <v>LCWAN002.60_39175</v>
      </c>
      <c r="D1721">
        <f>COUNTIF(data.SampSummary!$C$2:$C$1407,C1721)</f>
        <v>0</v>
      </c>
    </row>
    <row r="1722" spans="1:4" x14ac:dyDescent="0.25">
      <c r="A1722" t="s">
        <v>2934</v>
      </c>
      <c r="B1722" s="5">
        <v>39175</v>
      </c>
      <c r="C1722" t="str">
        <f t="shared" si="26"/>
        <v>LCWAN004.71_39175</v>
      </c>
      <c r="D1722">
        <f>COUNTIF(data.SampSummary!$C$2:$C$1407,C1722)</f>
        <v>0</v>
      </c>
    </row>
    <row r="1723" spans="1:4" x14ac:dyDescent="0.25">
      <c r="A1723" t="s">
        <v>2935</v>
      </c>
      <c r="B1723" s="5">
        <v>39177</v>
      </c>
      <c r="C1723" t="str">
        <f t="shared" si="26"/>
        <v>LCWAN000.58_39177</v>
      </c>
      <c r="D1723">
        <f>COUNTIF(data.SampSummary!$C$2:$C$1407,C1723)</f>
        <v>0</v>
      </c>
    </row>
    <row r="1724" spans="1:4" x14ac:dyDescent="0.25">
      <c r="A1724" t="s">
        <v>2933</v>
      </c>
      <c r="B1724" s="5">
        <v>39177</v>
      </c>
      <c r="C1724" t="str">
        <f t="shared" si="26"/>
        <v>LCBIL005.75_39177</v>
      </c>
      <c r="D1724">
        <f>COUNTIF(data.SampSummary!$C$2:$C$1407,C1724)</f>
        <v>0</v>
      </c>
    </row>
    <row r="1725" spans="1:4" x14ac:dyDescent="0.25">
      <c r="A1725" t="s">
        <v>2935</v>
      </c>
      <c r="B1725" s="5">
        <v>39260</v>
      </c>
      <c r="C1725" t="str">
        <f t="shared" si="26"/>
        <v>LCWAN000.58_39260</v>
      </c>
      <c r="D1725">
        <f>COUNTIF(data.SampSummary!$C$2:$C$1407,C1725)</f>
        <v>0</v>
      </c>
    </row>
    <row r="1726" spans="1:4" x14ac:dyDescent="0.25">
      <c r="A1726" t="s">
        <v>2933</v>
      </c>
      <c r="B1726" s="5">
        <v>39260</v>
      </c>
      <c r="C1726" t="str">
        <f t="shared" si="26"/>
        <v>LCBIL005.75_39260</v>
      </c>
      <c r="D1726">
        <f>COUNTIF(data.SampSummary!$C$2:$C$1407,C1726)</f>
        <v>0</v>
      </c>
    </row>
    <row r="1727" spans="1:4" x14ac:dyDescent="0.25">
      <c r="A1727" t="s">
        <v>2932</v>
      </c>
      <c r="B1727" s="5">
        <v>39260</v>
      </c>
      <c r="C1727" t="str">
        <f t="shared" si="26"/>
        <v>LCWAN002.60_39260</v>
      </c>
      <c r="D1727">
        <f>COUNTIF(data.SampSummary!$C$2:$C$1407,C1727)</f>
        <v>0</v>
      </c>
    </row>
    <row r="1728" spans="1:4" x14ac:dyDescent="0.25">
      <c r="A1728" t="s">
        <v>2930</v>
      </c>
      <c r="B1728" s="5">
        <v>39541</v>
      </c>
      <c r="C1728" t="str">
        <f t="shared" si="26"/>
        <v>VRGRA023.85_39541</v>
      </c>
      <c r="D1728">
        <f>COUNTIF(data.SampSummary!$C$2:$C$1407,C1728)</f>
        <v>0</v>
      </c>
    </row>
    <row r="1729" spans="1:4" x14ac:dyDescent="0.25">
      <c r="A1729" t="s">
        <v>2817</v>
      </c>
      <c r="B1729" s="5">
        <v>39532</v>
      </c>
      <c r="C1729" t="str">
        <f t="shared" si="26"/>
        <v>LCLCR346.01_39532</v>
      </c>
      <c r="D1729">
        <f>COUNTIF(data.SampSummary!$C$2:$C$1407,C1729)</f>
        <v>0</v>
      </c>
    </row>
    <row r="1730" spans="1:4" x14ac:dyDescent="0.25">
      <c r="A1730" t="s">
        <v>2926</v>
      </c>
      <c r="B1730" s="5">
        <v>39532</v>
      </c>
      <c r="C1730" t="str">
        <f t="shared" si="26"/>
        <v>LCLCR336.76_39532</v>
      </c>
      <c r="D1730">
        <f>COUNTIF(data.SampSummary!$C$2:$C$1407,C1730)</f>
        <v>0</v>
      </c>
    </row>
    <row r="1731" spans="1:4" x14ac:dyDescent="0.25">
      <c r="A1731" t="s">
        <v>2816</v>
      </c>
      <c r="B1731" s="5">
        <v>39532</v>
      </c>
      <c r="C1731" t="str">
        <f t="shared" ref="C1731:C1794" si="27">A1731&amp;"_"&amp;B1731</f>
        <v>LCLCR324.92_39532</v>
      </c>
      <c r="D1731">
        <f>COUNTIF(data.SampSummary!$C$2:$C$1407,C1731)</f>
        <v>0</v>
      </c>
    </row>
    <row r="1732" spans="1:4" x14ac:dyDescent="0.25">
      <c r="A1732" t="s">
        <v>2935</v>
      </c>
      <c r="B1732" s="5">
        <v>39385</v>
      </c>
      <c r="C1732" t="str">
        <f t="shared" si="27"/>
        <v>LCWAN000.58_39385</v>
      </c>
      <c r="D1732">
        <f>COUNTIF(data.SampSummary!$C$2:$C$1407,C1732)</f>
        <v>0</v>
      </c>
    </row>
    <row r="1733" spans="1:4" x14ac:dyDescent="0.25">
      <c r="A1733" t="s">
        <v>2932</v>
      </c>
      <c r="B1733" s="5">
        <v>39385</v>
      </c>
      <c r="C1733" t="str">
        <f t="shared" si="27"/>
        <v>LCWAN002.60_39385</v>
      </c>
      <c r="D1733">
        <f>COUNTIF(data.SampSummary!$C$2:$C$1407,C1733)</f>
        <v>0</v>
      </c>
    </row>
    <row r="1734" spans="1:4" x14ac:dyDescent="0.25">
      <c r="A1734" t="s">
        <v>2933</v>
      </c>
      <c r="B1734" s="5">
        <v>39385</v>
      </c>
      <c r="C1734" t="str">
        <f t="shared" si="27"/>
        <v>LCBIL005.75_39385</v>
      </c>
      <c r="D1734">
        <f>COUNTIF(data.SampSummary!$C$2:$C$1407,C1734)</f>
        <v>0</v>
      </c>
    </row>
    <row r="1735" spans="1:4" x14ac:dyDescent="0.25">
      <c r="A1735" t="s">
        <v>2936</v>
      </c>
      <c r="B1735" s="5">
        <v>39321</v>
      </c>
      <c r="C1735" t="str">
        <f t="shared" si="27"/>
        <v>LCWAN000.54_39321</v>
      </c>
      <c r="D1735">
        <f>COUNTIF(data.SampSummary!$C$2:$C$1407,C1735)</f>
        <v>0</v>
      </c>
    </row>
    <row r="1736" spans="1:4" x14ac:dyDescent="0.25">
      <c r="A1736" t="s">
        <v>2932</v>
      </c>
      <c r="B1736" s="5">
        <v>39321</v>
      </c>
      <c r="C1736" t="str">
        <f t="shared" si="27"/>
        <v>LCWAN002.60_39321</v>
      </c>
      <c r="D1736">
        <f>COUNTIF(data.SampSummary!$C$2:$C$1407,C1736)</f>
        <v>0</v>
      </c>
    </row>
    <row r="1737" spans="1:4" x14ac:dyDescent="0.25">
      <c r="A1737" t="s">
        <v>2933</v>
      </c>
      <c r="B1737" s="5">
        <v>39321</v>
      </c>
      <c r="C1737" t="str">
        <f t="shared" si="27"/>
        <v>LCBIL005.75_39321</v>
      </c>
      <c r="D1737">
        <f>COUNTIF(data.SampSummary!$C$2:$C$1407,C1737)</f>
        <v>0</v>
      </c>
    </row>
    <row r="1738" spans="1:4" x14ac:dyDescent="0.25">
      <c r="A1738" t="s">
        <v>2936</v>
      </c>
      <c r="B1738" s="5">
        <v>39288</v>
      </c>
      <c r="C1738" t="str">
        <f t="shared" si="27"/>
        <v>LCWAN000.54_39288</v>
      </c>
      <c r="D1738">
        <f>COUNTIF(data.SampSummary!$C$2:$C$1407,C1738)</f>
        <v>0</v>
      </c>
    </row>
    <row r="1739" spans="1:4" x14ac:dyDescent="0.25">
      <c r="A1739" t="s">
        <v>2813</v>
      </c>
      <c r="B1739" s="5">
        <v>40051</v>
      </c>
      <c r="C1739" t="str">
        <f t="shared" si="27"/>
        <v>LCWAN002.19_40051</v>
      </c>
      <c r="D1739">
        <f>COUNTIF(data.SampSummary!$C$2:$C$1407,C1739)</f>
        <v>0</v>
      </c>
    </row>
    <row r="1740" spans="1:4" x14ac:dyDescent="0.25">
      <c r="A1740" t="s">
        <v>2935</v>
      </c>
      <c r="B1740" s="5">
        <v>40051</v>
      </c>
      <c r="C1740" t="str">
        <f t="shared" si="27"/>
        <v>LCWAN000.58_40051</v>
      </c>
      <c r="D1740">
        <f>COUNTIF(data.SampSummary!$C$2:$C$1407,C1740)</f>
        <v>0</v>
      </c>
    </row>
    <row r="1741" spans="1:4" x14ac:dyDescent="0.25">
      <c r="A1741" t="s">
        <v>192</v>
      </c>
      <c r="B1741" s="5">
        <v>38906</v>
      </c>
      <c r="C1741" t="str">
        <f t="shared" si="27"/>
        <v>SPSPR150.09_38906</v>
      </c>
      <c r="D1741">
        <f>COUNTIF(data.SampSummary!$C$2:$C$1407,C1741)</f>
        <v>0</v>
      </c>
    </row>
    <row r="1742" spans="1:4" x14ac:dyDescent="0.25">
      <c r="A1742" t="s">
        <v>192</v>
      </c>
      <c r="B1742" s="5">
        <v>38903</v>
      </c>
      <c r="C1742" t="str">
        <f t="shared" si="27"/>
        <v>SPSPR150.09_38903</v>
      </c>
      <c r="D1742">
        <f>COUNTIF(data.SampSummary!$C$2:$C$1407,C1742)</f>
        <v>0</v>
      </c>
    </row>
    <row r="1743" spans="1:4" x14ac:dyDescent="0.25">
      <c r="A1743" t="s">
        <v>192</v>
      </c>
      <c r="B1743" s="5">
        <v>38924</v>
      </c>
      <c r="C1743" t="str">
        <f t="shared" si="27"/>
        <v>SPSPR150.09_38924</v>
      </c>
      <c r="D1743">
        <f>COUNTIF(data.SampSummary!$C$2:$C$1407,C1743)</f>
        <v>0</v>
      </c>
    </row>
    <row r="1744" spans="1:4" x14ac:dyDescent="0.25">
      <c r="A1744" t="s">
        <v>2861</v>
      </c>
      <c r="B1744" s="5">
        <v>38912</v>
      </c>
      <c r="C1744" t="str">
        <f t="shared" si="27"/>
        <v>SPSPR101.25_38912</v>
      </c>
      <c r="D1744">
        <f>COUNTIF(data.SampSummary!$C$2:$C$1407,C1744)</f>
        <v>0</v>
      </c>
    </row>
    <row r="1745" spans="1:4" x14ac:dyDescent="0.25">
      <c r="A1745" t="s">
        <v>2814</v>
      </c>
      <c r="B1745" s="5">
        <v>39875</v>
      </c>
      <c r="C1745" t="str">
        <f t="shared" si="27"/>
        <v>LCSIL000.06_39875</v>
      </c>
      <c r="D1745">
        <f>COUNTIF(data.SampSummary!$C$2:$C$1407,C1745)</f>
        <v>0</v>
      </c>
    </row>
    <row r="1746" spans="1:4" x14ac:dyDescent="0.25">
      <c r="A1746" t="s">
        <v>2841</v>
      </c>
      <c r="B1746" s="5">
        <v>39874</v>
      </c>
      <c r="C1746" t="str">
        <f t="shared" si="27"/>
        <v>LCLCR206.75_39874</v>
      </c>
      <c r="D1746">
        <f>COUNTIF(data.SampSummary!$C$2:$C$1407,C1746)</f>
        <v>0</v>
      </c>
    </row>
    <row r="1747" spans="1:4" x14ac:dyDescent="0.25">
      <c r="A1747" t="s">
        <v>2815</v>
      </c>
      <c r="B1747" s="5">
        <v>39842</v>
      </c>
      <c r="C1747" t="str">
        <f t="shared" si="27"/>
        <v>LCLCR212.96_39842</v>
      </c>
      <c r="D1747">
        <f>COUNTIF(data.SampSummary!$C$2:$C$1407,C1747)</f>
        <v>0</v>
      </c>
    </row>
    <row r="1748" spans="1:4" x14ac:dyDescent="0.25">
      <c r="A1748" t="s">
        <v>324</v>
      </c>
      <c r="B1748" s="5">
        <v>39127</v>
      </c>
      <c r="C1748" t="str">
        <f t="shared" si="27"/>
        <v>UGGLR451.46_39127</v>
      </c>
      <c r="D1748">
        <f>COUNTIF(data.SampSummary!$C$2:$C$1407,C1748)</f>
        <v>0</v>
      </c>
    </row>
    <row r="1749" spans="1:4" x14ac:dyDescent="0.25">
      <c r="A1749" t="s">
        <v>350</v>
      </c>
      <c r="B1749" s="5">
        <v>39127</v>
      </c>
      <c r="C1749" t="str">
        <f t="shared" si="27"/>
        <v>UGGLR448.61_39127</v>
      </c>
      <c r="D1749">
        <f>COUNTIF(data.SampSummary!$C$2:$C$1407,C1749)</f>
        <v>0</v>
      </c>
    </row>
    <row r="1750" spans="1:4" x14ac:dyDescent="0.25">
      <c r="A1750" t="s">
        <v>342</v>
      </c>
      <c r="B1750" s="5">
        <v>39127</v>
      </c>
      <c r="C1750" t="str">
        <f t="shared" si="27"/>
        <v>UGBON000.17_39127</v>
      </c>
      <c r="D1750">
        <f>COUNTIF(data.SampSummary!$C$2:$C$1407,C1750)</f>
        <v>0</v>
      </c>
    </row>
    <row r="1751" spans="1:4" x14ac:dyDescent="0.25">
      <c r="A1751" t="s">
        <v>320</v>
      </c>
      <c r="B1751" s="5">
        <v>39127</v>
      </c>
      <c r="C1751" t="str">
        <f t="shared" si="27"/>
        <v>UGGLR452.43_39127</v>
      </c>
      <c r="D1751">
        <f>COUNTIF(data.SampSummary!$C$2:$C$1407,C1751)</f>
        <v>0</v>
      </c>
    </row>
    <row r="1752" spans="1:4" x14ac:dyDescent="0.25">
      <c r="A1752" t="s">
        <v>2115</v>
      </c>
      <c r="B1752" s="5">
        <v>39128</v>
      </c>
      <c r="C1752" t="str">
        <f t="shared" si="27"/>
        <v>UGGLR471.49_39128</v>
      </c>
      <c r="D1752">
        <f>COUNTIF(data.SampSummary!$C$2:$C$1407,C1752)</f>
        <v>0</v>
      </c>
    </row>
    <row r="1753" spans="1:4" x14ac:dyDescent="0.25">
      <c r="A1753" t="s">
        <v>326</v>
      </c>
      <c r="B1753" s="5">
        <v>39128</v>
      </c>
      <c r="C1753" t="str">
        <f t="shared" si="27"/>
        <v>UGSFR006.42_39128</v>
      </c>
      <c r="D1753">
        <f>COUNTIF(data.SampSummary!$C$2:$C$1407,C1753)</f>
        <v>0</v>
      </c>
    </row>
    <row r="1754" spans="1:4" x14ac:dyDescent="0.25">
      <c r="A1754" t="s">
        <v>2840</v>
      </c>
      <c r="B1754" s="5">
        <v>39128</v>
      </c>
      <c r="C1754" t="str">
        <f t="shared" si="27"/>
        <v>UGEAG011.51_39128</v>
      </c>
      <c r="D1754">
        <f>COUNTIF(data.SampSummary!$C$2:$C$1407,C1754)</f>
        <v>0</v>
      </c>
    </row>
    <row r="1755" spans="1:4" x14ac:dyDescent="0.25">
      <c r="A1755" t="s">
        <v>2842</v>
      </c>
      <c r="B1755" s="5">
        <v>39129</v>
      </c>
      <c r="C1755" t="str">
        <f t="shared" si="27"/>
        <v>UGGLR485.91_39129</v>
      </c>
      <c r="D1755">
        <f>COUNTIF(data.SampSummary!$C$2:$C$1407,C1755)</f>
        <v>0</v>
      </c>
    </row>
    <row r="1756" spans="1:4" x14ac:dyDescent="0.25">
      <c r="A1756" t="s">
        <v>2844</v>
      </c>
      <c r="B1756" s="5">
        <v>39129</v>
      </c>
      <c r="C1756" t="str">
        <f t="shared" si="27"/>
        <v>UGGLR501.45_39129</v>
      </c>
      <c r="D1756">
        <f>COUNTIF(data.SampSummary!$C$2:$C$1407,C1756)</f>
        <v>0</v>
      </c>
    </row>
    <row r="1757" spans="1:4" x14ac:dyDescent="0.25">
      <c r="A1757" t="s">
        <v>2812</v>
      </c>
      <c r="B1757" s="5">
        <v>40074</v>
      </c>
      <c r="C1757" t="str">
        <f t="shared" si="27"/>
        <v>LCLCR226.31_40074</v>
      </c>
      <c r="D1757">
        <f>COUNTIF(data.SampSummary!$C$2:$C$1407,C1757)</f>
        <v>0</v>
      </c>
    </row>
    <row r="1758" spans="1:4" x14ac:dyDescent="0.25">
      <c r="A1758" t="s">
        <v>2812</v>
      </c>
      <c r="B1758" s="5">
        <v>39875</v>
      </c>
      <c r="C1758" t="str">
        <f t="shared" si="27"/>
        <v>LCLCR226.31_39875</v>
      </c>
      <c r="D1758">
        <f>COUNTIF(data.SampSummary!$C$2:$C$1407,C1758)</f>
        <v>0</v>
      </c>
    </row>
    <row r="1759" spans="1:4" x14ac:dyDescent="0.25">
      <c r="A1759" t="s">
        <v>2815</v>
      </c>
      <c r="B1759" s="5">
        <v>39874</v>
      </c>
      <c r="C1759" t="str">
        <f t="shared" si="27"/>
        <v>LCLCR212.96_39874</v>
      </c>
      <c r="D1759">
        <f>COUNTIF(data.SampSummary!$C$2:$C$1407,C1759)</f>
        <v>0</v>
      </c>
    </row>
    <row r="1760" spans="1:4" x14ac:dyDescent="0.25">
      <c r="A1760" t="s">
        <v>2812</v>
      </c>
      <c r="B1760" s="5">
        <v>39869</v>
      </c>
      <c r="C1760" t="str">
        <f t="shared" si="27"/>
        <v>LCLCR226.31_39869</v>
      </c>
      <c r="D1760">
        <f>COUNTIF(data.SampSummary!$C$2:$C$1407,C1760)</f>
        <v>0</v>
      </c>
    </row>
    <row r="1761" spans="1:4" x14ac:dyDescent="0.25">
      <c r="A1761" t="s">
        <v>2841</v>
      </c>
      <c r="B1761" s="5">
        <v>39842</v>
      </c>
      <c r="C1761" t="str">
        <f t="shared" si="27"/>
        <v>LCLCR206.75_39842</v>
      </c>
      <c r="D1761">
        <f>COUNTIF(data.SampSummary!$C$2:$C$1407,C1761)</f>
        <v>0</v>
      </c>
    </row>
    <row r="1762" spans="1:4" x14ac:dyDescent="0.25">
      <c r="A1762" t="s">
        <v>2812</v>
      </c>
      <c r="B1762" s="5">
        <v>39841</v>
      </c>
      <c r="C1762" t="str">
        <f t="shared" si="27"/>
        <v>LCLCR226.31_39841</v>
      </c>
      <c r="D1762">
        <f>COUNTIF(data.SampSummary!$C$2:$C$1407,C1762)</f>
        <v>0</v>
      </c>
    </row>
    <row r="1763" spans="1:4" x14ac:dyDescent="0.25">
      <c r="A1763" t="s">
        <v>2814</v>
      </c>
      <c r="B1763" s="5">
        <v>39841</v>
      </c>
      <c r="C1763" t="str">
        <f t="shared" si="27"/>
        <v>LCSIL000.06_39841</v>
      </c>
      <c r="D1763">
        <f>COUNTIF(data.SampSummary!$C$2:$C$1407,C1763)</f>
        <v>0</v>
      </c>
    </row>
    <row r="1764" spans="1:4" x14ac:dyDescent="0.25">
      <c r="A1764" t="s">
        <v>2841</v>
      </c>
      <c r="B1764" s="5">
        <v>39823</v>
      </c>
      <c r="C1764" t="str">
        <f t="shared" si="27"/>
        <v>LCLCR206.75_39823</v>
      </c>
      <c r="D1764">
        <f>COUNTIF(data.SampSummary!$C$2:$C$1407,C1764)</f>
        <v>0</v>
      </c>
    </row>
    <row r="1765" spans="1:4" x14ac:dyDescent="0.25">
      <c r="A1765" t="s">
        <v>131</v>
      </c>
      <c r="B1765" s="5">
        <v>38534</v>
      </c>
      <c r="C1765" t="str">
        <f t="shared" si="27"/>
        <v>VROAK043.73_38534</v>
      </c>
      <c r="D1765">
        <f>COUNTIF(data.SampSummary!$C$2:$C$1407,C1765)</f>
        <v>0</v>
      </c>
    </row>
    <row r="1766" spans="1:4" x14ac:dyDescent="0.25">
      <c r="A1766" t="s">
        <v>2937</v>
      </c>
      <c r="B1766" s="5">
        <v>38534</v>
      </c>
      <c r="C1766" t="str">
        <f t="shared" si="27"/>
        <v>VROAK043.88_38534</v>
      </c>
      <c r="D1766">
        <f>COUNTIF(data.SampSummary!$C$2:$C$1407,C1766)</f>
        <v>0</v>
      </c>
    </row>
    <row r="1767" spans="1:4" x14ac:dyDescent="0.25">
      <c r="A1767" t="s">
        <v>2938</v>
      </c>
      <c r="B1767" s="5">
        <v>38534</v>
      </c>
      <c r="C1767" t="str">
        <f t="shared" si="27"/>
        <v>VROAK043.83_38534</v>
      </c>
      <c r="D1767">
        <f>COUNTIF(data.SampSummary!$C$2:$C$1407,C1767)</f>
        <v>0</v>
      </c>
    </row>
    <row r="1768" spans="1:4" x14ac:dyDescent="0.25">
      <c r="A1768" t="s">
        <v>2939</v>
      </c>
      <c r="B1768" s="5">
        <v>38534</v>
      </c>
      <c r="C1768" t="str">
        <f t="shared" si="27"/>
        <v>VROAK043.81_38534</v>
      </c>
      <c r="D1768">
        <f>COUNTIF(data.SampSummary!$C$2:$C$1407,C1768)</f>
        <v>0</v>
      </c>
    </row>
    <row r="1769" spans="1:4" x14ac:dyDescent="0.25">
      <c r="A1769" t="s">
        <v>2940</v>
      </c>
      <c r="B1769" s="5">
        <v>38534</v>
      </c>
      <c r="C1769" t="str">
        <f t="shared" si="27"/>
        <v>VROAK043.79_38534</v>
      </c>
      <c r="D1769">
        <f>COUNTIF(data.SampSummary!$C$2:$C$1407,C1769)</f>
        <v>0</v>
      </c>
    </row>
    <row r="1770" spans="1:4" x14ac:dyDescent="0.25">
      <c r="A1770" t="s">
        <v>172</v>
      </c>
      <c r="B1770" s="5">
        <v>38534</v>
      </c>
      <c r="C1770" t="str">
        <f t="shared" si="27"/>
        <v>VROAK048.92_38534</v>
      </c>
      <c r="D1770">
        <f>COUNTIF(data.SampSummary!$C$2:$C$1407,C1770)</f>
        <v>0</v>
      </c>
    </row>
    <row r="1771" spans="1:4" x14ac:dyDescent="0.25">
      <c r="A1771" t="s">
        <v>2941</v>
      </c>
      <c r="B1771" s="5">
        <v>38534</v>
      </c>
      <c r="C1771" t="str">
        <f t="shared" si="27"/>
        <v>VROAK050.30_38534</v>
      </c>
      <c r="D1771">
        <f>COUNTIF(data.SampSummary!$C$2:$C$1407,C1771)</f>
        <v>0</v>
      </c>
    </row>
    <row r="1772" spans="1:4" x14ac:dyDescent="0.25">
      <c r="A1772" t="s">
        <v>2942</v>
      </c>
      <c r="B1772" s="5">
        <v>38534</v>
      </c>
      <c r="C1772" t="str">
        <f t="shared" si="27"/>
        <v>VROAK043.86_38534</v>
      </c>
      <c r="D1772">
        <f>COUNTIF(data.SampSummary!$C$2:$C$1407,C1772)</f>
        <v>0</v>
      </c>
    </row>
    <row r="1773" spans="1:4" x14ac:dyDescent="0.25">
      <c r="A1773" t="s">
        <v>318</v>
      </c>
      <c r="B1773" s="5">
        <v>38534</v>
      </c>
      <c r="C1773" t="str">
        <f t="shared" si="27"/>
        <v>VROAK042.78_38534</v>
      </c>
      <c r="D1773">
        <f>COUNTIF(data.SampSummary!$C$2:$C$1407,C1773)</f>
        <v>0</v>
      </c>
    </row>
    <row r="1774" spans="1:4" x14ac:dyDescent="0.25">
      <c r="A1774" t="s">
        <v>2943</v>
      </c>
      <c r="B1774" s="5">
        <v>38534</v>
      </c>
      <c r="C1774" t="str">
        <f t="shared" si="27"/>
        <v>VROAK041.69_38534</v>
      </c>
      <c r="D1774">
        <f>COUNTIF(data.SampSummary!$C$2:$C$1407,C1774)</f>
        <v>0</v>
      </c>
    </row>
    <row r="1775" spans="1:4" x14ac:dyDescent="0.25">
      <c r="A1775" t="s">
        <v>2944</v>
      </c>
      <c r="B1775" s="5">
        <v>38534</v>
      </c>
      <c r="C1775" t="str">
        <f t="shared" si="27"/>
        <v>VROAK039.92_38534</v>
      </c>
      <c r="D1775">
        <f>COUNTIF(data.SampSummary!$C$2:$C$1407,C1775)</f>
        <v>0</v>
      </c>
    </row>
    <row r="1776" spans="1:4" x14ac:dyDescent="0.25">
      <c r="A1776" t="s">
        <v>2945</v>
      </c>
      <c r="B1776" s="5">
        <v>38534</v>
      </c>
      <c r="C1776" t="str">
        <f t="shared" si="27"/>
        <v>VROAK038.52_38534</v>
      </c>
      <c r="D1776">
        <f>COUNTIF(data.SampSummary!$C$2:$C$1407,C1776)</f>
        <v>0</v>
      </c>
    </row>
    <row r="1777" spans="1:4" x14ac:dyDescent="0.25">
      <c r="A1777" t="s">
        <v>2946</v>
      </c>
      <c r="B1777" s="5">
        <v>38534</v>
      </c>
      <c r="C1777" t="str">
        <f t="shared" si="27"/>
        <v>VROAK035.79_38534</v>
      </c>
      <c r="D1777">
        <f>COUNTIF(data.SampSummary!$C$2:$C$1407,C1777)</f>
        <v>0</v>
      </c>
    </row>
    <row r="1778" spans="1:4" x14ac:dyDescent="0.25">
      <c r="A1778" t="s">
        <v>242</v>
      </c>
      <c r="B1778" s="5">
        <v>38534</v>
      </c>
      <c r="C1778" t="str">
        <f t="shared" si="27"/>
        <v>VROAK031.38_38534</v>
      </c>
      <c r="D1778">
        <f>COUNTIF(data.SampSummary!$C$2:$C$1407,C1778)</f>
        <v>0</v>
      </c>
    </row>
    <row r="1779" spans="1:4" x14ac:dyDescent="0.25">
      <c r="A1779" t="s">
        <v>2947</v>
      </c>
      <c r="B1779" s="5">
        <v>38534</v>
      </c>
      <c r="C1779" t="str">
        <f t="shared" si="27"/>
        <v>VROAK046.10_38534</v>
      </c>
      <c r="D1779">
        <f>COUNTIF(data.SampSummary!$C$2:$C$1407,C1779)</f>
        <v>0</v>
      </c>
    </row>
    <row r="1780" spans="1:4" x14ac:dyDescent="0.25">
      <c r="A1780" t="s">
        <v>2948</v>
      </c>
      <c r="B1780" s="5">
        <v>38534</v>
      </c>
      <c r="C1780" t="str">
        <f t="shared" si="27"/>
        <v>VROAK044.98_38534</v>
      </c>
      <c r="D1780">
        <f>COUNTIF(data.SampSummary!$C$2:$C$1407,C1780)</f>
        <v>0</v>
      </c>
    </row>
    <row r="1781" spans="1:4" x14ac:dyDescent="0.25">
      <c r="A1781" t="s">
        <v>2949</v>
      </c>
      <c r="B1781" s="5">
        <v>38534</v>
      </c>
      <c r="C1781" t="str">
        <f t="shared" si="27"/>
        <v>VROAK044.46_38534</v>
      </c>
      <c r="D1781">
        <f>COUNTIF(data.SampSummary!$C$2:$C$1407,C1781)</f>
        <v>0</v>
      </c>
    </row>
    <row r="1782" spans="1:4" x14ac:dyDescent="0.25">
      <c r="A1782" t="s">
        <v>260</v>
      </c>
      <c r="B1782" s="5">
        <v>38534</v>
      </c>
      <c r="C1782" t="str">
        <f t="shared" si="27"/>
        <v>VROAK034.02_38534</v>
      </c>
      <c r="D1782">
        <f>COUNTIF(data.SampSummary!$C$2:$C$1407,C1782)</f>
        <v>0</v>
      </c>
    </row>
    <row r="1783" spans="1:4" x14ac:dyDescent="0.25">
      <c r="A1783" t="s">
        <v>2940</v>
      </c>
      <c r="B1783" s="5">
        <v>38535</v>
      </c>
      <c r="C1783" t="str">
        <f t="shared" si="27"/>
        <v>VROAK043.79_38535</v>
      </c>
      <c r="D1783">
        <f>COUNTIF(data.SampSummary!$C$2:$C$1407,C1783)</f>
        <v>0</v>
      </c>
    </row>
    <row r="1784" spans="1:4" x14ac:dyDescent="0.25">
      <c r="A1784" t="s">
        <v>131</v>
      </c>
      <c r="B1784" s="5">
        <v>38535</v>
      </c>
      <c r="C1784" t="str">
        <f t="shared" si="27"/>
        <v>VROAK043.73_38535</v>
      </c>
      <c r="D1784">
        <f>COUNTIF(data.SampSummary!$C$2:$C$1407,C1784)</f>
        <v>0</v>
      </c>
    </row>
    <row r="1785" spans="1:4" x14ac:dyDescent="0.25">
      <c r="A1785" t="s">
        <v>2939</v>
      </c>
      <c r="B1785" s="5">
        <v>38535</v>
      </c>
      <c r="C1785" t="str">
        <f t="shared" si="27"/>
        <v>VROAK043.81_38535</v>
      </c>
      <c r="D1785">
        <f>COUNTIF(data.SampSummary!$C$2:$C$1407,C1785)</f>
        <v>0</v>
      </c>
    </row>
    <row r="1786" spans="1:4" x14ac:dyDescent="0.25">
      <c r="A1786" t="s">
        <v>2937</v>
      </c>
      <c r="B1786" s="5">
        <v>38535</v>
      </c>
      <c r="C1786" t="str">
        <f t="shared" si="27"/>
        <v>VROAK043.88_38535</v>
      </c>
      <c r="D1786">
        <f>COUNTIF(data.SampSummary!$C$2:$C$1407,C1786)</f>
        <v>0</v>
      </c>
    </row>
    <row r="1787" spans="1:4" x14ac:dyDescent="0.25">
      <c r="A1787" t="s">
        <v>2938</v>
      </c>
      <c r="B1787" s="5">
        <v>38535</v>
      </c>
      <c r="C1787" t="str">
        <f t="shared" si="27"/>
        <v>VROAK043.83_38535</v>
      </c>
      <c r="D1787">
        <f>COUNTIF(data.SampSummary!$C$2:$C$1407,C1787)</f>
        <v>0</v>
      </c>
    </row>
    <row r="1788" spans="1:4" x14ac:dyDescent="0.25">
      <c r="A1788" t="s">
        <v>2943</v>
      </c>
      <c r="B1788" s="5">
        <v>38535</v>
      </c>
      <c r="C1788" t="str">
        <f t="shared" si="27"/>
        <v>VROAK041.69_38535</v>
      </c>
      <c r="D1788">
        <f>COUNTIF(data.SampSummary!$C$2:$C$1407,C1788)</f>
        <v>0</v>
      </c>
    </row>
    <row r="1789" spans="1:4" x14ac:dyDescent="0.25">
      <c r="A1789" t="s">
        <v>2944</v>
      </c>
      <c r="B1789" s="5">
        <v>38535</v>
      </c>
      <c r="C1789" t="str">
        <f t="shared" si="27"/>
        <v>VROAK039.92_38535</v>
      </c>
      <c r="D1789">
        <f>COUNTIF(data.SampSummary!$C$2:$C$1407,C1789)</f>
        <v>0</v>
      </c>
    </row>
    <row r="1790" spans="1:4" x14ac:dyDescent="0.25">
      <c r="A1790" t="s">
        <v>172</v>
      </c>
      <c r="B1790" s="5">
        <v>38535</v>
      </c>
      <c r="C1790" t="str">
        <f t="shared" si="27"/>
        <v>VROAK048.92_38535</v>
      </c>
      <c r="D1790">
        <f>COUNTIF(data.SampSummary!$C$2:$C$1407,C1790)</f>
        <v>0</v>
      </c>
    </row>
    <row r="1791" spans="1:4" x14ac:dyDescent="0.25">
      <c r="A1791" t="s">
        <v>2941</v>
      </c>
      <c r="B1791" s="5">
        <v>38535</v>
      </c>
      <c r="C1791" t="str">
        <f t="shared" si="27"/>
        <v>VROAK050.30_38535</v>
      </c>
      <c r="D1791">
        <f>COUNTIF(data.SampSummary!$C$2:$C$1407,C1791)</f>
        <v>0</v>
      </c>
    </row>
    <row r="1792" spans="1:4" x14ac:dyDescent="0.25">
      <c r="A1792" t="s">
        <v>2942</v>
      </c>
      <c r="B1792" s="5">
        <v>38535</v>
      </c>
      <c r="C1792" t="str">
        <f t="shared" si="27"/>
        <v>VROAK043.86_38535</v>
      </c>
      <c r="D1792">
        <f>COUNTIF(data.SampSummary!$C$2:$C$1407,C1792)</f>
        <v>0</v>
      </c>
    </row>
    <row r="1793" spans="1:4" x14ac:dyDescent="0.25">
      <c r="A1793" t="s">
        <v>318</v>
      </c>
      <c r="B1793" s="5">
        <v>38535</v>
      </c>
      <c r="C1793" t="str">
        <f t="shared" si="27"/>
        <v>VROAK042.78_38535</v>
      </c>
      <c r="D1793">
        <f>COUNTIF(data.SampSummary!$C$2:$C$1407,C1793)</f>
        <v>0</v>
      </c>
    </row>
    <row r="1794" spans="1:4" x14ac:dyDescent="0.25">
      <c r="A1794" t="s">
        <v>2947</v>
      </c>
      <c r="B1794" s="5">
        <v>38535</v>
      </c>
      <c r="C1794" t="str">
        <f t="shared" si="27"/>
        <v>VROAK046.10_38535</v>
      </c>
      <c r="D1794">
        <f>COUNTIF(data.SampSummary!$C$2:$C$1407,C1794)</f>
        <v>0</v>
      </c>
    </row>
    <row r="1795" spans="1:4" x14ac:dyDescent="0.25">
      <c r="A1795" t="s">
        <v>2948</v>
      </c>
      <c r="B1795" s="5">
        <v>38535</v>
      </c>
      <c r="C1795" t="str">
        <f t="shared" ref="C1795:C1858" si="28">A1795&amp;"_"&amp;B1795</f>
        <v>VROAK044.98_38535</v>
      </c>
      <c r="D1795">
        <f>COUNTIF(data.SampSummary!$C$2:$C$1407,C1795)</f>
        <v>0</v>
      </c>
    </row>
    <row r="1796" spans="1:4" x14ac:dyDescent="0.25">
      <c r="A1796" t="s">
        <v>2949</v>
      </c>
      <c r="B1796" s="5">
        <v>38535</v>
      </c>
      <c r="C1796" t="str">
        <f t="shared" si="28"/>
        <v>VROAK044.46_38535</v>
      </c>
      <c r="D1796">
        <f>COUNTIF(data.SampSummary!$C$2:$C$1407,C1796)</f>
        <v>0</v>
      </c>
    </row>
    <row r="1797" spans="1:4" x14ac:dyDescent="0.25">
      <c r="A1797" t="s">
        <v>260</v>
      </c>
      <c r="B1797" s="5">
        <v>38535</v>
      </c>
      <c r="C1797" t="str">
        <f t="shared" si="28"/>
        <v>VROAK034.02_38535</v>
      </c>
      <c r="D1797">
        <f>COUNTIF(data.SampSummary!$C$2:$C$1407,C1797)</f>
        <v>0</v>
      </c>
    </row>
    <row r="1798" spans="1:4" x14ac:dyDescent="0.25">
      <c r="A1798" t="s">
        <v>242</v>
      </c>
      <c r="B1798" s="5">
        <v>38535</v>
      </c>
      <c r="C1798" t="str">
        <f t="shared" si="28"/>
        <v>VROAK031.38_38535</v>
      </c>
      <c r="D1798">
        <f>COUNTIF(data.SampSummary!$C$2:$C$1407,C1798)</f>
        <v>0</v>
      </c>
    </row>
    <row r="1799" spans="1:4" x14ac:dyDescent="0.25">
      <c r="A1799" t="s">
        <v>2945</v>
      </c>
      <c r="B1799" s="5">
        <v>38535</v>
      </c>
      <c r="C1799" t="str">
        <f t="shared" si="28"/>
        <v>VROAK038.52_38535</v>
      </c>
      <c r="D1799">
        <f>COUNTIF(data.SampSummary!$C$2:$C$1407,C1799)</f>
        <v>0</v>
      </c>
    </row>
    <row r="1800" spans="1:4" x14ac:dyDescent="0.25">
      <c r="A1800" t="s">
        <v>2946</v>
      </c>
      <c r="B1800" s="5">
        <v>38535</v>
      </c>
      <c r="C1800" t="str">
        <f t="shared" si="28"/>
        <v>VROAK035.79_38535</v>
      </c>
      <c r="D1800">
        <f>COUNTIF(data.SampSummary!$C$2:$C$1407,C1800)</f>
        <v>0</v>
      </c>
    </row>
    <row r="1801" spans="1:4" x14ac:dyDescent="0.25">
      <c r="A1801" t="s">
        <v>2947</v>
      </c>
      <c r="B1801" s="5">
        <v>38536</v>
      </c>
      <c r="C1801" t="str">
        <f t="shared" si="28"/>
        <v>VROAK046.10_38536</v>
      </c>
      <c r="D1801">
        <f>COUNTIF(data.SampSummary!$C$2:$C$1407,C1801)</f>
        <v>0</v>
      </c>
    </row>
    <row r="1802" spans="1:4" x14ac:dyDescent="0.25">
      <c r="A1802" t="s">
        <v>2948</v>
      </c>
      <c r="B1802" s="5">
        <v>38536</v>
      </c>
      <c r="C1802" t="str">
        <f t="shared" si="28"/>
        <v>VROAK044.98_38536</v>
      </c>
      <c r="D1802">
        <f>COUNTIF(data.SampSummary!$C$2:$C$1407,C1802)</f>
        <v>0</v>
      </c>
    </row>
    <row r="1803" spans="1:4" x14ac:dyDescent="0.25">
      <c r="A1803" t="s">
        <v>2949</v>
      </c>
      <c r="B1803" s="5">
        <v>38536</v>
      </c>
      <c r="C1803" t="str">
        <f t="shared" si="28"/>
        <v>VROAK044.46_38536</v>
      </c>
      <c r="D1803">
        <f>COUNTIF(data.SampSummary!$C$2:$C$1407,C1803)</f>
        <v>0</v>
      </c>
    </row>
    <row r="1804" spans="1:4" x14ac:dyDescent="0.25">
      <c r="A1804" t="s">
        <v>172</v>
      </c>
      <c r="B1804" s="5">
        <v>38536</v>
      </c>
      <c r="C1804" t="str">
        <f t="shared" si="28"/>
        <v>VROAK048.92_38536</v>
      </c>
      <c r="D1804">
        <f>COUNTIF(data.SampSummary!$C$2:$C$1407,C1804)</f>
        <v>0</v>
      </c>
    </row>
    <row r="1805" spans="1:4" x14ac:dyDescent="0.25">
      <c r="A1805" t="s">
        <v>2941</v>
      </c>
      <c r="B1805" s="5">
        <v>38536</v>
      </c>
      <c r="C1805" t="str">
        <f t="shared" si="28"/>
        <v>VROAK050.30_38536</v>
      </c>
      <c r="D1805">
        <f>COUNTIF(data.SampSummary!$C$2:$C$1407,C1805)</f>
        <v>0</v>
      </c>
    </row>
    <row r="1806" spans="1:4" x14ac:dyDescent="0.25">
      <c r="A1806" t="s">
        <v>2942</v>
      </c>
      <c r="B1806" s="5">
        <v>38536</v>
      </c>
      <c r="C1806" t="str">
        <f t="shared" si="28"/>
        <v>VROAK043.86_38536</v>
      </c>
      <c r="D1806">
        <f>COUNTIF(data.SampSummary!$C$2:$C$1407,C1806)</f>
        <v>0</v>
      </c>
    </row>
    <row r="1807" spans="1:4" x14ac:dyDescent="0.25">
      <c r="A1807" t="s">
        <v>318</v>
      </c>
      <c r="B1807" s="5">
        <v>38536</v>
      </c>
      <c r="C1807" t="str">
        <f t="shared" si="28"/>
        <v>VROAK042.78_38536</v>
      </c>
      <c r="D1807">
        <f>COUNTIF(data.SampSummary!$C$2:$C$1407,C1807)</f>
        <v>0</v>
      </c>
    </row>
    <row r="1808" spans="1:4" x14ac:dyDescent="0.25">
      <c r="A1808" t="s">
        <v>2943</v>
      </c>
      <c r="B1808" s="5">
        <v>38536</v>
      </c>
      <c r="C1808" t="str">
        <f t="shared" si="28"/>
        <v>VROAK041.69_38536</v>
      </c>
      <c r="D1808">
        <f>COUNTIF(data.SampSummary!$C$2:$C$1407,C1808)</f>
        <v>0</v>
      </c>
    </row>
    <row r="1809" spans="1:4" x14ac:dyDescent="0.25">
      <c r="A1809" t="s">
        <v>2944</v>
      </c>
      <c r="B1809" s="5">
        <v>38536</v>
      </c>
      <c r="C1809" t="str">
        <f t="shared" si="28"/>
        <v>VROAK039.92_38536</v>
      </c>
      <c r="D1809">
        <f>COUNTIF(data.SampSummary!$C$2:$C$1407,C1809)</f>
        <v>0</v>
      </c>
    </row>
    <row r="1810" spans="1:4" x14ac:dyDescent="0.25">
      <c r="A1810" t="s">
        <v>2937</v>
      </c>
      <c r="B1810" s="5">
        <v>38536</v>
      </c>
      <c r="C1810" t="str">
        <f t="shared" si="28"/>
        <v>VROAK043.88_38536</v>
      </c>
      <c r="D1810">
        <f>COUNTIF(data.SampSummary!$C$2:$C$1407,C1810)</f>
        <v>0</v>
      </c>
    </row>
    <row r="1811" spans="1:4" x14ac:dyDescent="0.25">
      <c r="A1811" t="s">
        <v>2938</v>
      </c>
      <c r="B1811" s="5">
        <v>38536</v>
      </c>
      <c r="C1811" t="str">
        <f t="shared" si="28"/>
        <v>VROAK043.83_38536</v>
      </c>
      <c r="D1811">
        <f>COUNTIF(data.SampSummary!$C$2:$C$1407,C1811)</f>
        <v>0</v>
      </c>
    </row>
    <row r="1812" spans="1:4" x14ac:dyDescent="0.25">
      <c r="A1812" t="s">
        <v>2939</v>
      </c>
      <c r="B1812" s="5">
        <v>38536</v>
      </c>
      <c r="C1812" t="str">
        <f t="shared" si="28"/>
        <v>VROAK043.81_38536</v>
      </c>
      <c r="D1812">
        <f>COUNTIF(data.SampSummary!$C$2:$C$1407,C1812)</f>
        <v>0</v>
      </c>
    </row>
    <row r="1813" spans="1:4" x14ac:dyDescent="0.25">
      <c r="A1813" t="s">
        <v>2940</v>
      </c>
      <c r="B1813" s="5">
        <v>38536</v>
      </c>
      <c r="C1813" t="str">
        <f t="shared" si="28"/>
        <v>VROAK043.79_38536</v>
      </c>
      <c r="D1813">
        <f>COUNTIF(data.SampSummary!$C$2:$C$1407,C1813)</f>
        <v>0</v>
      </c>
    </row>
    <row r="1814" spans="1:4" x14ac:dyDescent="0.25">
      <c r="A1814" t="s">
        <v>131</v>
      </c>
      <c r="B1814" s="5">
        <v>38536</v>
      </c>
      <c r="C1814" t="str">
        <f t="shared" si="28"/>
        <v>VROAK043.73_38536</v>
      </c>
      <c r="D1814">
        <f>COUNTIF(data.SampSummary!$C$2:$C$1407,C1814)</f>
        <v>0</v>
      </c>
    </row>
    <row r="1815" spans="1:4" x14ac:dyDescent="0.25">
      <c r="A1815" t="s">
        <v>2944</v>
      </c>
      <c r="B1815" s="5">
        <v>38537</v>
      </c>
      <c r="C1815" t="str">
        <f t="shared" si="28"/>
        <v>VROAK039.92_38537</v>
      </c>
      <c r="D1815">
        <f>COUNTIF(data.SampSummary!$C$2:$C$1407,C1815)</f>
        <v>0</v>
      </c>
    </row>
    <row r="1816" spans="1:4" x14ac:dyDescent="0.25">
      <c r="A1816" t="s">
        <v>2942</v>
      </c>
      <c r="B1816" s="5">
        <v>38537</v>
      </c>
      <c r="C1816" t="str">
        <f t="shared" si="28"/>
        <v>VROAK043.86_38537</v>
      </c>
      <c r="D1816">
        <f>COUNTIF(data.SampSummary!$C$2:$C$1407,C1816)</f>
        <v>0</v>
      </c>
    </row>
    <row r="1817" spans="1:4" x14ac:dyDescent="0.25">
      <c r="A1817" t="s">
        <v>318</v>
      </c>
      <c r="B1817" s="5">
        <v>38537</v>
      </c>
      <c r="C1817" t="str">
        <f t="shared" si="28"/>
        <v>VROAK042.78_38537</v>
      </c>
      <c r="D1817">
        <f>COUNTIF(data.SampSummary!$C$2:$C$1407,C1817)</f>
        <v>0</v>
      </c>
    </row>
    <row r="1818" spans="1:4" x14ac:dyDescent="0.25">
      <c r="A1818" t="s">
        <v>2943</v>
      </c>
      <c r="B1818" s="5">
        <v>38537</v>
      </c>
      <c r="C1818" t="str">
        <f t="shared" si="28"/>
        <v>VROAK041.69_38537</v>
      </c>
      <c r="D1818">
        <f>COUNTIF(data.SampSummary!$C$2:$C$1407,C1818)</f>
        <v>0</v>
      </c>
    </row>
    <row r="1819" spans="1:4" x14ac:dyDescent="0.25">
      <c r="A1819" t="s">
        <v>2948</v>
      </c>
      <c r="B1819" s="5">
        <v>38537</v>
      </c>
      <c r="C1819" t="str">
        <f t="shared" si="28"/>
        <v>VROAK044.98_38537</v>
      </c>
      <c r="D1819">
        <f>COUNTIF(data.SampSummary!$C$2:$C$1407,C1819)</f>
        <v>0</v>
      </c>
    </row>
    <row r="1820" spans="1:4" x14ac:dyDescent="0.25">
      <c r="A1820" t="s">
        <v>2949</v>
      </c>
      <c r="B1820" s="5">
        <v>38537</v>
      </c>
      <c r="C1820" t="str">
        <f t="shared" si="28"/>
        <v>VROAK044.46_38537</v>
      </c>
      <c r="D1820">
        <f>COUNTIF(data.SampSummary!$C$2:$C$1407,C1820)</f>
        <v>0</v>
      </c>
    </row>
    <row r="1821" spans="1:4" x14ac:dyDescent="0.25">
      <c r="A1821" t="s">
        <v>172</v>
      </c>
      <c r="B1821" s="5">
        <v>38537</v>
      </c>
      <c r="C1821" t="str">
        <f t="shared" si="28"/>
        <v>VROAK048.92_38537</v>
      </c>
      <c r="D1821">
        <f>COUNTIF(data.SampSummary!$C$2:$C$1407,C1821)</f>
        <v>0</v>
      </c>
    </row>
    <row r="1822" spans="1:4" x14ac:dyDescent="0.25">
      <c r="A1822" t="s">
        <v>2941</v>
      </c>
      <c r="B1822" s="5">
        <v>38537</v>
      </c>
      <c r="C1822" t="str">
        <f t="shared" si="28"/>
        <v>VROAK050.30_38537</v>
      </c>
      <c r="D1822">
        <f>COUNTIF(data.SampSummary!$C$2:$C$1407,C1822)</f>
        <v>0</v>
      </c>
    </row>
    <row r="1823" spans="1:4" x14ac:dyDescent="0.25">
      <c r="A1823" t="s">
        <v>2947</v>
      </c>
      <c r="B1823" s="5">
        <v>38537</v>
      </c>
      <c r="C1823" t="str">
        <f t="shared" si="28"/>
        <v>VROAK046.10_38537</v>
      </c>
      <c r="D1823">
        <f>COUNTIF(data.SampSummary!$C$2:$C$1407,C1823)</f>
        <v>0</v>
      </c>
    </row>
    <row r="1824" spans="1:4" x14ac:dyDescent="0.25">
      <c r="A1824" t="s">
        <v>2942</v>
      </c>
      <c r="B1824" s="5">
        <v>38538</v>
      </c>
      <c r="C1824" t="str">
        <f t="shared" si="28"/>
        <v>VROAK043.86_38538</v>
      </c>
      <c r="D1824">
        <f>COUNTIF(data.SampSummary!$C$2:$C$1407,C1824)</f>
        <v>0</v>
      </c>
    </row>
    <row r="1825" spans="1:4" x14ac:dyDescent="0.25">
      <c r="A1825" t="s">
        <v>318</v>
      </c>
      <c r="B1825" s="5">
        <v>38538</v>
      </c>
      <c r="C1825" t="str">
        <f t="shared" si="28"/>
        <v>VROAK042.78_38538</v>
      </c>
      <c r="D1825">
        <f>COUNTIF(data.SampSummary!$C$2:$C$1407,C1825)</f>
        <v>0</v>
      </c>
    </row>
    <row r="1826" spans="1:4" x14ac:dyDescent="0.25">
      <c r="A1826" t="s">
        <v>2943</v>
      </c>
      <c r="B1826" s="5">
        <v>38538</v>
      </c>
      <c r="C1826" t="str">
        <f t="shared" si="28"/>
        <v>VROAK041.69_38538</v>
      </c>
      <c r="D1826">
        <f>COUNTIF(data.SampSummary!$C$2:$C$1407,C1826)</f>
        <v>0</v>
      </c>
    </row>
    <row r="1827" spans="1:4" x14ac:dyDescent="0.25">
      <c r="A1827" t="s">
        <v>2944</v>
      </c>
      <c r="B1827" s="5">
        <v>38538</v>
      </c>
      <c r="C1827" t="str">
        <f t="shared" si="28"/>
        <v>VROAK039.92_38538</v>
      </c>
      <c r="D1827">
        <f>COUNTIF(data.SampSummary!$C$2:$C$1407,C1827)</f>
        <v>0</v>
      </c>
    </row>
    <row r="1828" spans="1:4" x14ac:dyDescent="0.25">
      <c r="A1828" t="s">
        <v>2947</v>
      </c>
      <c r="B1828" s="5">
        <v>38538</v>
      </c>
      <c r="C1828" t="str">
        <f t="shared" si="28"/>
        <v>VROAK046.10_38538</v>
      </c>
      <c r="D1828">
        <f>COUNTIF(data.SampSummary!$C$2:$C$1407,C1828)</f>
        <v>0</v>
      </c>
    </row>
    <row r="1829" spans="1:4" x14ac:dyDescent="0.25">
      <c r="A1829" t="s">
        <v>2948</v>
      </c>
      <c r="B1829" s="5">
        <v>38538</v>
      </c>
      <c r="C1829" t="str">
        <f t="shared" si="28"/>
        <v>VROAK044.98_38538</v>
      </c>
      <c r="D1829">
        <f>COUNTIF(data.SampSummary!$C$2:$C$1407,C1829)</f>
        <v>0</v>
      </c>
    </row>
    <row r="1830" spans="1:4" x14ac:dyDescent="0.25">
      <c r="A1830" t="s">
        <v>2949</v>
      </c>
      <c r="B1830" s="5">
        <v>38538</v>
      </c>
      <c r="C1830" t="str">
        <f t="shared" si="28"/>
        <v>VROAK044.46_38538</v>
      </c>
      <c r="D1830">
        <f>COUNTIF(data.SampSummary!$C$2:$C$1407,C1830)</f>
        <v>0</v>
      </c>
    </row>
    <row r="1831" spans="1:4" x14ac:dyDescent="0.25">
      <c r="A1831" t="s">
        <v>172</v>
      </c>
      <c r="B1831" s="5">
        <v>38538</v>
      </c>
      <c r="C1831" t="str">
        <f t="shared" si="28"/>
        <v>VROAK048.92_38538</v>
      </c>
      <c r="D1831">
        <f>COUNTIF(data.SampSummary!$C$2:$C$1407,C1831)</f>
        <v>0</v>
      </c>
    </row>
    <row r="1832" spans="1:4" x14ac:dyDescent="0.25">
      <c r="A1832" t="s">
        <v>2941</v>
      </c>
      <c r="B1832" s="5">
        <v>38538</v>
      </c>
      <c r="C1832" t="str">
        <f t="shared" si="28"/>
        <v>VROAK050.30_38538</v>
      </c>
      <c r="D1832">
        <f>COUNTIF(data.SampSummary!$C$2:$C$1407,C1832)</f>
        <v>0</v>
      </c>
    </row>
    <row r="1833" spans="1:4" x14ac:dyDescent="0.25">
      <c r="A1833" t="s">
        <v>2821</v>
      </c>
      <c r="B1833" s="5">
        <v>38587</v>
      </c>
      <c r="C1833" t="str">
        <f t="shared" si="28"/>
        <v>SCSAB016.28_38587</v>
      </c>
      <c r="D1833">
        <f>COUNTIF(data.SampSummary!$C$2:$C$1407,C1833)</f>
        <v>0</v>
      </c>
    </row>
    <row r="1834" spans="1:4" x14ac:dyDescent="0.25">
      <c r="A1834" t="s">
        <v>2698</v>
      </c>
      <c r="B1834" s="5">
        <v>39983</v>
      </c>
      <c r="C1834" t="str">
        <f t="shared" si="28"/>
        <v>SRTON055.09_39983</v>
      </c>
      <c r="D1834">
        <f>COUNTIF(data.SampSummary!$C$2:$C$1407,C1834)</f>
        <v>0</v>
      </c>
    </row>
    <row r="1835" spans="1:4" x14ac:dyDescent="0.25">
      <c r="A1835" t="s">
        <v>2941</v>
      </c>
      <c r="B1835" s="5">
        <v>39980</v>
      </c>
      <c r="C1835" t="str">
        <f t="shared" si="28"/>
        <v>VROAK050.30_39980</v>
      </c>
      <c r="D1835">
        <f>COUNTIF(data.SampSummary!$C$2:$C$1407,C1835)</f>
        <v>0</v>
      </c>
    </row>
    <row r="1836" spans="1:4" x14ac:dyDescent="0.25">
      <c r="A1836" t="s">
        <v>2904</v>
      </c>
      <c r="B1836" s="5">
        <v>38761</v>
      </c>
      <c r="C1836" t="str">
        <f t="shared" si="28"/>
        <v>SPSPR127.50_38761</v>
      </c>
      <c r="D1836">
        <f>COUNTIF(data.SampSummary!$C$2:$C$1407,C1836)</f>
        <v>0</v>
      </c>
    </row>
    <row r="1837" spans="1:4" x14ac:dyDescent="0.25">
      <c r="A1837" t="s">
        <v>2950</v>
      </c>
      <c r="B1837" s="5">
        <v>40791</v>
      </c>
      <c r="C1837" t="str">
        <f t="shared" si="28"/>
        <v>SRCRS001.74_40791</v>
      </c>
      <c r="D1837">
        <f>COUNTIF(data.SampSummary!$C$2:$C$1407,C1837)</f>
        <v>0</v>
      </c>
    </row>
    <row r="1838" spans="1:4" x14ac:dyDescent="0.25">
      <c r="A1838" t="s">
        <v>2170</v>
      </c>
      <c r="B1838" s="5">
        <v>38818</v>
      </c>
      <c r="C1838" t="str">
        <f t="shared" si="28"/>
        <v>LCNUT020.23_38818</v>
      </c>
      <c r="D1838">
        <f>COUNTIF(data.SampSummary!$C$2:$C$1407,C1838)</f>
        <v>0</v>
      </c>
    </row>
    <row r="1839" spans="1:4" x14ac:dyDescent="0.25">
      <c r="A1839" t="s">
        <v>113</v>
      </c>
      <c r="B1839" s="5">
        <v>38818</v>
      </c>
      <c r="C1839" t="str">
        <f t="shared" si="28"/>
        <v>LCNUT020.72_38818</v>
      </c>
      <c r="D1839">
        <f>COUNTIF(data.SampSummary!$C$2:$C$1407,C1839)</f>
        <v>0</v>
      </c>
    </row>
    <row r="1840" spans="1:4" x14ac:dyDescent="0.25">
      <c r="A1840" t="s">
        <v>2951</v>
      </c>
      <c r="B1840" s="5">
        <v>38819</v>
      </c>
      <c r="C1840" t="str">
        <f t="shared" si="28"/>
        <v>LCNUT015.61_38819</v>
      </c>
      <c r="D1840">
        <f>COUNTIF(data.SampSummary!$C$2:$C$1407,C1840)</f>
        <v>0</v>
      </c>
    </row>
    <row r="1841" spans="1:4" x14ac:dyDescent="0.25">
      <c r="A1841" t="s">
        <v>2886</v>
      </c>
      <c r="B1841" s="5">
        <v>38819</v>
      </c>
      <c r="C1841" t="str">
        <f t="shared" si="28"/>
        <v>LCNUT013.33_38819</v>
      </c>
      <c r="D1841">
        <f>COUNTIF(data.SampSummary!$C$2:$C$1407,C1841)</f>
        <v>0</v>
      </c>
    </row>
    <row r="1842" spans="1:4" x14ac:dyDescent="0.25">
      <c r="A1842" t="s">
        <v>2745</v>
      </c>
      <c r="B1842" s="5">
        <v>38883</v>
      </c>
      <c r="C1842" t="str">
        <f t="shared" si="28"/>
        <v>UGCAV015.55_38883</v>
      </c>
      <c r="D1842">
        <f>COUNTIF(data.SampSummary!$C$2:$C$1407,C1842)</f>
        <v>0</v>
      </c>
    </row>
    <row r="1843" spans="1:4" x14ac:dyDescent="0.25">
      <c r="A1843" t="s">
        <v>2820</v>
      </c>
      <c r="B1843" s="5">
        <v>38883</v>
      </c>
      <c r="C1843" t="str">
        <f t="shared" si="28"/>
        <v>UGNCV000.04_38883</v>
      </c>
      <c r="D1843">
        <f>COUNTIF(data.SampSummary!$C$2:$C$1407,C1843)</f>
        <v>0</v>
      </c>
    </row>
    <row r="1844" spans="1:4" x14ac:dyDescent="0.25">
      <c r="A1844" t="s">
        <v>1530</v>
      </c>
      <c r="B1844" s="5">
        <v>38883</v>
      </c>
      <c r="C1844" t="str">
        <f t="shared" si="28"/>
        <v>UGCAV014.44_38883</v>
      </c>
      <c r="D1844">
        <f>COUNTIF(data.SampSummary!$C$2:$C$1407,C1844)</f>
        <v>0</v>
      </c>
    </row>
    <row r="1845" spans="1:4" x14ac:dyDescent="0.25">
      <c r="A1845" t="s">
        <v>328</v>
      </c>
      <c r="B1845" s="5">
        <v>38965</v>
      </c>
      <c r="C1845" t="str">
        <f t="shared" si="28"/>
        <v>UGSFR019.04_38965</v>
      </c>
      <c r="D1845">
        <f>COUNTIF(data.SampSummary!$C$2:$C$1407,C1845)</f>
        <v>0</v>
      </c>
    </row>
    <row r="1846" spans="1:4" x14ac:dyDescent="0.25">
      <c r="A1846" t="s">
        <v>326</v>
      </c>
      <c r="B1846" s="5">
        <v>38965</v>
      </c>
      <c r="C1846" t="str">
        <f t="shared" si="28"/>
        <v>UGSFR006.42_38965</v>
      </c>
      <c r="D1846">
        <f>COUNTIF(data.SampSummary!$C$2:$C$1407,C1846)</f>
        <v>0</v>
      </c>
    </row>
    <row r="1847" spans="1:4" x14ac:dyDescent="0.25">
      <c r="A1847" t="s">
        <v>2818</v>
      </c>
      <c r="B1847" s="5">
        <v>38966</v>
      </c>
      <c r="C1847" t="str">
        <f t="shared" si="28"/>
        <v>UGGLR505.96_38966</v>
      </c>
      <c r="D1847">
        <f>COUNTIF(data.SampSummary!$C$2:$C$1407,C1847)</f>
        <v>0</v>
      </c>
    </row>
    <row r="1848" spans="1:4" x14ac:dyDescent="0.25">
      <c r="A1848" t="s">
        <v>2115</v>
      </c>
      <c r="B1848" s="5">
        <v>38966</v>
      </c>
      <c r="C1848" t="str">
        <f t="shared" si="28"/>
        <v>UGGLR471.49_38966</v>
      </c>
      <c r="D1848">
        <f>COUNTIF(data.SampSummary!$C$2:$C$1407,C1848)</f>
        <v>0</v>
      </c>
    </row>
    <row r="1849" spans="1:4" x14ac:dyDescent="0.25">
      <c r="A1849" t="s">
        <v>320</v>
      </c>
      <c r="B1849" s="5">
        <v>38966</v>
      </c>
      <c r="C1849" t="str">
        <f t="shared" si="28"/>
        <v>UGGLR452.43_38966</v>
      </c>
      <c r="D1849">
        <f>COUNTIF(data.SampSummary!$C$2:$C$1407,C1849)</f>
        <v>0</v>
      </c>
    </row>
    <row r="1850" spans="1:4" x14ac:dyDescent="0.25">
      <c r="A1850" t="s">
        <v>2952</v>
      </c>
      <c r="B1850" s="5">
        <v>38967</v>
      </c>
      <c r="C1850" t="str">
        <f t="shared" si="28"/>
        <v>MGGLR337.14_38967</v>
      </c>
      <c r="D1850">
        <f>COUNTIF(data.SampSummary!$C$2:$C$1407,C1850)</f>
        <v>0</v>
      </c>
    </row>
    <row r="1851" spans="1:4" x14ac:dyDescent="0.25">
      <c r="A1851" t="s">
        <v>2698</v>
      </c>
      <c r="B1851" s="5">
        <v>39001</v>
      </c>
      <c r="C1851" t="str">
        <f t="shared" si="28"/>
        <v>SRTON055.09_39001</v>
      </c>
      <c r="D1851">
        <f>COUNTIF(data.SampSummary!$C$2:$C$1407,C1851)</f>
        <v>0</v>
      </c>
    </row>
    <row r="1852" spans="1:4" x14ac:dyDescent="0.25">
      <c r="A1852" t="s">
        <v>197</v>
      </c>
      <c r="B1852" s="5">
        <v>39001</v>
      </c>
      <c r="C1852" t="str">
        <f t="shared" si="28"/>
        <v>SRTON053.87_39001</v>
      </c>
      <c r="D1852">
        <f>COUNTIF(data.SampSummary!$C$2:$C$1407,C1852)</f>
        <v>0</v>
      </c>
    </row>
    <row r="1853" spans="1:4" x14ac:dyDescent="0.25">
      <c r="A1853" t="s">
        <v>2953</v>
      </c>
      <c r="B1853" s="5">
        <v>39001</v>
      </c>
      <c r="C1853" t="str">
        <f t="shared" si="28"/>
        <v>SRCRS001.24_39001</v>
      </c>
      <c r="D1853">
        <f>COUNTIF(data.SampSummary!$C$2:$C$1407,C1853)</f>
        <v>0</v>
      </c>
    </row>
    <row r="1854" spans="1:4" x14ac:dyDescent="0.25">
      <c r="A1854" t="s">
        <v>2954</v>
      </c>
      <c r="B1854" s="5">
        <v>39001</v>
      </c>
      <c r="C1854" t="str">
        <f t="shared" si="28"/>
        <v>SRTON057.70_39001</v>
      </c>
      <c r="D1854">
        <f>COUNTIF(data.SampSummary!$C$2:$C$1407,C1854)</f>
        <v>0</v>
      </c>
    </row>
    <row r="1855" spans="1:4" x14ac:dyDescent="0.25">
      <c r="A1855" t="s">
        <v>53</v>
      </c>
      <c r="B1855" s="5">
        <v>39001</v>
      </c>
      <c r="C1855" t="str">
        <f t="shared" si="28"/>
        <v>SRTON059.43_39001</v>
      </c>
      <c r="D1855">
        <f>COUNTIF(data.SampSummary!$C$2:$C$1407,C1855)</f>
        <v>0</v>
      </c>
    </row>
    <row r="1856" spans="1:4" x14ac:dyDescent="0.25">
      <c r="A1856" t="s">
        <v>2955</v>
      </c>
      <c r="B1856" s="5">
        <v>39001</v>
      </c>
      <c r="C1856" t="str">
        <f t="shared" si="28"/>
        <v>SRTON060.50_39001</v>
      </c>
      <c r="D1856">
        <f>COUNTIF(data.SampSummary!$C$2:$C$1407,C1856)</f>
        <v>0</v>
      </c>
    </row>
    <row r="1857" spans="1:4" x14ac:dyDescent="0.25">
      <c r="A1857" t="s">
        <v>17</v>
      </c>
      <c r="B1857" s="5">
        <v>39001</v>
      </c>
      <c r="C1857" t="str">
        <f t="shared" si="28"/>
        <v>SRTON062.28_39001</v>
      </c>
      <c r="D1857">
        <f>COUNTIF(data.SampSummary!$C$2:$C$1407,C1857)</f>
        <v>0</v>
      </c>
    </row>
    <row r="1858" spans="1:4" x14ac:dyDescent="0.25">
      <c r="A1858" t="s">
        <v>2203</v>
      </c>
      <c r="B1858" s="5">
        <v>39001</v>
      </c>
      <c r="C1858" t="str">
        <f t="shared" si="28"/>
        <v>SRTON062.89_39001</v>
      </c>
      <c r="D1858">
        <f>COUNTIF(data.SampSummary!$C$2:$C$1407,C1858)</f>
        <v>0</v>
      </c>
    </row>
    <row r="1859" spans="1:4" x14ac:dyDescent="0.25">
      <c r="A1859" t="s">
        <v>2698</v>
      </c>
      <c r="B1859" s="5">
        <v>39014</v>
      </c>
      <c r="C1859" t="str">
        <f t="shared" ref="C1859:C1922" si="29">A1859&amp;"_"&amp;B1859</f>
        <v>SRTON055.09_39014</v>
      </c>
      <c r="D1859">
        <f>COUNTIF(data.SampSummary!$C$2:$C$1407,C1859)</f>
        <v>0</v>
      </c>
    </row>
    <row r="1860" spans="1:4" x14ac:dyDescent="0.25">
      <c r="A1860" t="s">
        <v>197</v>
      </c>
      <c r="B1860" s="5">
        <v>39014</v>
      </c>
      <c r="C1860" t="str">
        <f t="shared" si="29"/>
        <v>SRTON053.87_39014</v>
      </c>
      <c r="D1860">
        <f>COUNTIF(data.SampSummary!$C$2:$C$1407,C1860)</f>
        <v>0</v>
      </c>
    </row>
    <row r="1861" spans="1:4" x14ac:dyDescent="0.25">
      <c r="A1861" t="s">
        <v>2953</v>
      </c>
      <c r="B1861" s="5">
        <v>39014</v>
      </c>
      <c r="C1861" t="str">
        <f t="shared" si="29"/>
        <v>SRCRS001.24_39014</v>
      </c>
      <c r="D1861">
        <f>COUNTIF(data.SampSummary!$C$2:$C$1407,C1861)</f>
        <v>0</v>
      </c>
    </row>
    <row r="1862" spans="1:4" x14ac:dyDescent="0.25">
      <c r="A1862" t="s">
        <v>2954</v>
      </c>
      <c r="B1862" s="5">
        <v>39014</v>
      </c>
      <c r="C1862" t="str">
        <f t="shared" si="29"/>
        <v>SRTON057.70_39014</v>
      </c>
      <c r="D1862">
        <f>COUNTIF(data.SampSummary!$C$2:$C$1407,C1862)</f>
        <v>0</v>
      </c>
    </row>
    <row r="1863" spans="1:4" x14ac:dyDescent="0.25">
      <c r="A1863" t="s">
        <v>53</v>
      </c>
      <c r="B1863" s="5">
        <v>39014</v>
      </c>
      <c r="C1863" t="str">
        <f t="shared" si="29"/>
        <v>SRTON059.43_39014</v>
      </c>
      <c r="D1863">
        <f>COUNTIF(data.SampSummary!$C$2:$C$1407,C1863)</f>
        <v>0</v>
      </c>
    </row>
    <row r="1864" spans="1:4" x14ac:dyDescent="0.25">
      <c r="A1864" t="s">
        <v>2955</v>
      </c>
      <c r="B1864" s="5">
        <v>39014</v>
      </c>
      <c r="C1864" t="str">
        <f t="shared" si="29"/>
        <v>SRTON060.50_39014</v>
      </c>
      <c r="D1864">
        <f>COUNTIF(data.SampSummary!$C$2:$C$1407,C1864)</f>
        <v>0</v>
      </c>
    </row>
    <row r="1865" spans="1:4" x14ac:dyDescent="0.25">
      <c r="A1865" t="s">
        <v>17</v>
      </c>
      <c r="B1865" s="5">
        <v>39014</v>
      </c>
      <c r="C1865" t="str">
        <f t="shared" si="29"/>
        <v>SRTON062.28_39014</v>
      </c>
      <c r="D1865">
        <f>COUNTIF(data.SampSummary!$C$2:$C$1407,C1865)</f>
        <v>0</v>
      </c>
    </row>
    <row r="1866" spans="1:4" x14ac:dyDescent="0.25">
      <c r="A1866" t="s">
        <v>2203</v>
      </c>
      <c r="B1866" s="5">
        <v>39014</v>
      </c>
      <c r="C1866" t="str">
        <f t="shared" si="29"/>
        <v>SRTON062.89_39014</v>
      </c>
      <c r="D1866">
        <f>COUNTIF(data.SampSummary!$C$2:$C$1407,C1866)</f>
        <v>0</v>
      </c>
    </row>
    <row r="1867" spans="1:4" x14ac:dyDescent="0.25">
      <c r="A1867" t="s">
        <v>221</v>
      </c>
      <c r="B1867" s="5">
        <v>39771</v>
      </c>
      <c r="C1867" t="str">
        <f t="shared" si="29"/>
        <v>MGSYD009.51_39771</v>
      </c>
      <c r="D1867">
        <f>COUNTIF(data.SampSummary!$C$2:$C$1407,C1867)</f>
        <v>1</v>
      </c>
    </row>
    <row r="1868" spans="1:4" x14ac:dyDescent="0.25">
      <c r="A1868" t="s">
        <v>261</v>
      </c>
      <c r="B1868" s="5">
        <v>39758</v>
      </c>
      <c r="C1868" t="str">
        <f t="shared" si="29"/>
        <v>VRWBV012.56_39758</v>
      </c>
      <c r="D1868">
        <f>COUNTIF(data.SampSummary!$C$2:$C$1407,C1868)</f>
        <v>1</v>
      </c>
    </row>
    <row r="1869" spans="1:4" x14ac:dyDescent="0.25">
      <c r="A1869" t="s">
        <v>172</v>
      </c>
      <c r="B1869" s="5">
        <v>39757</v>
      </c>
      <c r="C1869" t="str">
        <f t="shared" si="29"/>
        <v>VROAK048.92_39757</v>
      </c>
      <c r="D1869">
        <f>COUNTIF(data.SampSummary!$C$2:$C$1407,C1869)</f>
        <v>1</v>
      </c>
    </row>
    <row r="1870" spans="1:4" x14ac:dyDescent="0.25">
      <c r="A1870" t="s">
        <v>2930</v>
      </c>
      <c r="B1870" s="5">
        <v>39092</v>
      </c>
      <c r="C1870" t="str">
        <f t="shared" si="29"/>
        <v>VRGRA023.85_39092</v>
      </c>
      <c r="D1870">
        <f>COUNTIF(data.SampSummary!$C$2:$C$1407,C1870)</f>
        <v>0</v>
      </c>
    </row>
    <row r="1871" spans="1:4" x14ac:dyDescent="0.25">
      <c r="A1871" t="s">
        <v>2956</v>
      </c>
      <c r="B1871" s="5">
        <v>39121</v>
      </c>
      <c r="C1871" t="str">
        <f t="shared" si="29"/>
        <v>VROAK040.78_39121</v>
      </c>
      <c r="D1871">
        <f>COUNTIF(data.SampSummary!$C$2:$C$1407,C1871)</f>
        <v>0</v>
      </c>
    </row>
    <row r="1872" spans="1:4" x14ac:dyDescent="0.25">
      <c r="A1872" t="s">
        <v>2957</v>
      </c>
      <c r="B1872" s="5">
        <v>39121</v>
      </c>
      <c r="C1872" t="str">
        <f t="shared" si="29"/>
        <v>VROAK040.62_39121</v>
      </c>
      <c r="D1872">
        <f>COUNTIF(data.SampSummary!$C$2:$C$1407,C1872)</f>
        <v>0</v>
      </c>
    </row>
    <row r="1873" spans="1:4" x14ac:dyDescent="0.25">
      <c r="A1873" t="s">
        <v>192</v>
      </c>
      <c r="B1873" s="5">
        <v>39126</v>
      </c>
      <c r="C1873" t="str">
        <f t="shared" si="29"/>
        <v>SPSPR150.09_39126</v>
      </c>
      <c r="D1873">
        <f>COUNTIF(data.SampSummary!$C$2:$C$1407,C1873)</f>
        <v>0</v>
      </c>
    </row>
    <row r="1874" spans="1:4" x14ac:dyDescent="0.25">
      <c r="A1874" t="s">
        <v>2905</v>
      </c>
      <c r="B1874" s="5">
        <v>39126</v>
      </c>
      <c r="C1874" t="str">
        <f t="shared" si="29"/>
        <v>SPSPR105.49_39126</v>
      </c>
      <c r="D1874">
        <f>COUNTIF(data.SampSummary!$C$2:$C$1407,C1874)</f>
        <v>0</v>
      </c>
    </row>
    <row r="1875" spans="1:4" x14ac:dyDescent="0.25">
      <c r="A1875" t="s">
        <v>2861</v>
      </c>
      <c r="B1875" s="5">
        <v>39126</v>
      </c>
      <c r="C1875" t="str">
        <f t="shared" si="29"/>
        <v>SPSPR101.25_39126</v>
      </c>
      <c r="D1875">
        <f>COUNTIF(data.SampSummary!$C$2:$C$1407,C1875)</f>
        <v>0</v>
      </c>
    </row>
    <row r="1876" spans="1:4" x14ac:dyDescent="0.25">
      <c r="A1876" t="s">
        <v>2936</v>
      </c>
      <c r="B1876" s="5">
        <v>39712</v>
      </c>
      <c r="C1876" t="str">
        <f t="shared" si="29"/>
        <v>LCWAN000.54_39712</v>
      </c>
      <c r="D1876">
        <f>COUNTIF(data.SampSummary!$C$2:$C$1407,C1876)</f>
        <v>0</v>
      </c>
    </row>
    <row r="1877" spans="1:4" x14ac:dyDescent="0.25">
      <c r="A1877" t="s">
        <v>197</v>
      </c>
      <c r="B1877" s="5">
        <v>39694</v>
      </c>
      <c r="C1877" t="str">
        <f t="shared" si="29"/>
        <v>SRTON053.87_39694</v>
      </c>
      <c r="D1877">
        <f>COUNTIF(data.SampSummary!$C$2:$C$1407,C1877)</f>
        <v>0</v>
      </c>
    </row>
    <row r="1878" spans="1:4" x14ac:dyDescent="0.25">
      <c r="A1878" t="s">
        <v>2698</v>
      </c>
      <c r="B1878" s="5">
        <v>39694</v>
      </c>
      <c r="C1878" t="str">
        <f t="shared" si="29"/>
        <v>SRTON055.09_39694</v>
      </c>
      <c r="D1878">
        <f>COUNTIF(data.SampSummary!$C$2:$C$1407,C1878)</f>
        <v>0</v>
      </c>
    </row>
    <row r="1879" spans="1:4" x14ac:dyDescent="0.25">
      <c r="A1879" t="s">
        <v>2203</v>
      </c>
      <c r="B1879" s="5">
        <v>39672</v>
      </c>
      <c r="C1879" t="str">
        <f t="shared" si="29"/>
        <v>SRTON062.89_39672</v>
      </c>
      <c r="D1879">
        <f>COUNTIF(data.SampSummary!$C$2:$C$1407,C1879)</f>
        <v>0</v>
      </c>
    </row>
    <row r="1880" spans="1:4" x14ac:dyDescent="0.25">
      <c r="A1880" t="s">
        <v>2698</v>
      </c>
      <c r="B1880" s="5">
        <v>39672</v>
      </c>
      <c r="C1880" t="str">
        <f t="shared" si="29"/>
        <v>SRTON055.09_39672</v>
      </c>
      <c r="D1880">
        <f>COUNTIF(data.SampSummary!$C$2:$C$1407,C1880)</f>
        <v>0</v>
      </c>
    </row>
    <row r="1881" spans="1:4" x14ac:dyDescent="0.25">
      <c r="A1881" t="s">
        <v>2927</v>
      </c>
      <c r="B1881" s="5">
        <v>39672</v>
      </c>
      <c r="C1881" t="str">
        <f t="shared" si="29"/>
        <v>SRTON056.59_39672</v>
      </c>
      <c r="D1881">
        <f>COUNTIF(data.SampSummary!$C$2:$C$1407,C1881)</f>
        <v>0</v>
      </c>
    </row>
    <row r="1882" spans="1:4" x14ac:dyDescent="0.25">
      <c r="A1882" t="s">
        <v>2904</v>
      </c>
      <c r="B1882" s="5">
        <v>39184</v>
      </c>
      <c r="C1882" t="str">
        <f t="shared" si="29"/>
        <v>SPSPR127.50_39184</v>
      </c>
      <c r="D1882">
        <f>COUNTIF(data.SampSummary!$C$2:$C$1407,C1882)</f>
        <v>0</v>
      </c>
    </row>
    <row r="1883" spans="1:4" x14ac:dyDescent="0.25">
      <c r="A1883" t="s">
        <v>2905</v>
      </c>
      <c r="B1883" s="5">
        <v>39184</v>
      </c>
      <c r="C1883" t="str">
        <f t="shared" si="29"/>
        <v>SPSPR105.49_39184</v>
      </c>
      <c r="D1883">
        <f>COUNTIF(data.SampSummary!$C$2:$C$1407,C1883)</f>
        <v>0</v>
      </c>
    </row>
    <row r="1884" spans="1:4" x14ac:dyDescent="0.25">
      <c r="A1884" t="s">
        <v>2861</v>
      </c>
      <c r="B1884" s="5">
        <v>39184</v>
      </c>
      <c r="C1884" t="str">
        <f t="shared" si="29"/>
        <v>SPSPR101.25_39184</v>
      </c>
      <c r="D1884">
        <f>COUNTIF(data.SampSummary!$C$2:$C$1407,C1884)</f>
        <v>0</v>
      </c>
    </row>
    <row r="1885" spans="1:4" x14ac:dyDescent="0.25">
      <c r="A1885" t="s">
        <v>192</v>
      </c>
      <c r="B1885" s="5">
        <v>39184</v>
      </c>
      <c r="C1885" t="str">
        <f t="shared" si="29"/>
        <v>SPSPR150.09_39184</v>
      </c>
      <c r="D1885">
        <f>COUNTIF(data.SampSummary!$C$2:$C$1407,C1885)</f>
        <v>0</v>
      </c>
    </row>
    <row r="1886" spans="1:4" x14ac:dyDescent="0.25">
      <c r="A1886" t="s">
        <v>17</v>
      </c>
      <c r="B1886" s="5">
        <v>39637</v>
      </c>
      <c r="C1886" t="str">
        <f t="shared" si="29"/>
        <v>SRTON062.28_39637</v>
      </c>
      <c r="D1886">
        <f>COUNTIF(data.SampSummary!$C$2:$C$1407,C1886)</f>
        <v>0</v>
      </c>
    </row>
    <row r="1887" spans="1:4" x14ac:dyDescent="0.25">
      <c r="A1887" t="s">
        <v>2203</v>
      </c>
      <c r="B1887" s="5">
        <v>39636</v>
      </c>
      <c r="C1887" t="str">
        <f t="shared" si="29"/>
        <v>SRTON062.89_39636</v>
      </c>
      <c r="D1887">
        <f>COUNTIF(data.SampSummary!$C$2:$C$1407,C1887)</f>
        <v>0</v>
      </c>
    </row>
    <row r="1888" spans="1:4" x14ac:dyDescent="0.25">
      <c r="A1888" t="s">
        <v>67</v>
      </c>
      <c r="B1888" s="5">
        <v>39240</v>
      </c>
      <c r="C1888" t="str">
        <f t="shared" si="29"/>
        <v>LCHAL010.20_39240</v>
      </c>
      <c r="D1888">
        <f>COUNTIF(data.SampSummary!$C$2:$C$1407,C1888)</f>
        <v>1</v>
      </c>
    </row>
    <row r="1889" spans="1:4" x14ac:dyDescent="0.25">
      <c r="A1889" t="s">
        <v>104</v>
      </c>
      <c r="B1889" s="5">
        <v>40283</v>
      </c>
      <c r="C1889" t="str">
        <f t="shared" si="29"/>
        <v>LCWLR000.92_40283</v>
      </c>
      <c r="D1889">
        <f>COUNTIF(data.SampSummary!$C$2:$C$1407,C1889)</f>
        <v>0</v>
      </c>
    </row>
    <row r="1890" spans="1:4" x14ac:dyDescent="0.25">
      <c r="A1890" t="s">
        <v>2203</v>
      </c>
      <c r="B1890" s="5">
        <v>39624</v>
      </c>
      <c r="C1890" t="str">
        <f t="shared" si="29"/>
        <v>SRTON062.89_39624</v>
      </c>
      <c r="D1890">
        <f>COUNTIF(data.SampSummary!$C$2:$C$1407,C1890)</f>
        <v>0</v>
      </c>
    </row>
    <row r="1891" spans="1:4" x14ac:dyDescent="0.25">
      <c r="A1891" t="s">
        <v>17</v>
      </c>
      <c r="B1891" s="5">
        <v>39624</v>
      </c>
      <c r="C1891" t="str">
        <f t="shared" si="29"/>
        <v>SRTON062.28_39624</v>
      </c>
      <c r="D1891">
        <f>COUNTIF(data.SampSummary!$C$2:$C$1407,C1891)</f>
        <v>0</v>
      </c>
    </row>
    <row r="1892" spans="1:4" x14ac:dyDescent="0.25">
      <c r="A1892" t="s">
        <v>51</v>
      </c>
      <c r="B1892" s="5">
        <v>39624</v>
      </c>
      <c r="C1892" t="str">
        <f t="shared" si="29"/>
        <v>SRTON061.37_39624</v>
      </c>
      <c r="D1892">
        <f>COUNTIF(data.SampSummary!$C$2:$C$1407,C1892)</f>
        <v>0</v>
      </c>
    </row>
    <row r="1893" spans="1:4" x14ac:dyDescent="0.25">
      <c r="A1893" t="s">
        <v>2958</v>
      </c>
      <c r="B1893" s="5">
        <v>39624</v>
      </c>
      <c r="C1893" t="str">
        <f t="shared" si="29"/>
        <v>SRTON060.28_39624</v>
      </c>
      <c r="D1893">
        <f>COUNTIF(data.SampSummary!$C$2:$C$1407,C1893)</f>
        <v>0</v>
      </c>
    </row>
    <row r="1894" spans="1:4" x14ac:dyDescent="0.25">
      <c r="A1894" t="s">
        <v>170</v>
      </c>
      <c r="B1894" s="5">
        <v>39624</v>
      </c>
      <c r="C1894" t="str">
        <f t="shared" si="29"/>
        <v>SRTON058.63_39624</v>
      </c>
      <c r="D1894">
        <f>COUNTIF(data.SampSummary!$C$2:$C$1407,C1894)</f>
        <v>0</v>
      </c>
    </row>
    <row r="1895" spans="1:4" x14ac:dyDescent="0.25">
      <c r="A1895" t="s">
        <v>2954</v>
      </c>
      <c r="B1895" s="5">
        <v>39624</v>
      </c>
      <c r="C1895" t="str">
        <f t="shared" si="29"/>
        <v>SRTON057.70_39624</v>
      </c>
      <c r="D1895">
        <f>COUNTIF(data.SampSummary!$C$2:$C$1407,C1895)</f>
        <v>0</v>
      </c>
    </row>
    <row r="1896" spans="1:4" x14ac:dyDescent="0.25">
      <c r="A1896" t="s">
        <v>2928</v>
      </c>
      <c r="B1896" s="5">
        <v>39623</v>
      </c>
      <c r="C1896" t="str">
        <f t="shared" si="29"/>
        <v>SRCRS006.20_39623</v>
      </c>
      <c r="D1896">
        <f>COUNTIF(data.SampSummary!$C$2:$C$1407,C1896)</f>
        <v>0</v>
      </c>
    </row>
    <row r="1897" spans="1:4" x14ac:dyDescent="0.25">
      <c r="A1897" t="s">
        <v>2445</v>
      </c>
      <c r="B1897" s="5">
        <v>39623</v>
      </c>
      <c r="C1897" t="str">
        <f t="shared" si="29"/>
        <v>SRCRS002.25_39623</v>
      </c>
      <c r="D1897">
        <f>COUNTIF(data.SampSummary!$C$2:$C$1407,C1897)</f>
        <v>0</v>
      </c>
    </row>
    <row r="1898" spans="1:4" x14ac:dyDescent="0.25">
      <c r="A1898" t="s">
        <v>2950</v>
      </c>
      <c r="B1898" s="5">
        <v>39623</v>
      </c>
      <c r="C1898" t="str">
        <f t="shared" si="29"/>
        <v>SRCRS001.74_39623</v>
      </c>
      <c r="D1898">
        <f>COUNTIF(data.SampSummary!$C$2:$C$1407,C1898)</f>
        <v>0</v>
      </c>
    </row>
    <row r="1899" spans="1:4" x14ac:dyDescent="0.25">
      <c r="A1899" t="s">
        <v>2953</v>
      </c>
      <c r="B1899" s="5">
        <v>39623</v>
      </c>
      <c r="C1899" t="str">
        <f t="shared" si="29"/>
        <v>SRCRS001.24_39623</v>
      </c>
      <c r="D1899">
        <f>COUNTIF(data.SampSummary!$C$2:$C$1407,C1899)</f>
        <v>0</v>
      </c>
    </row>
    <row r="1900" spans="1:4" x14ac:dyDescent="0.25">
      <c r="A1900" t="s">
        <v>2929</v>
      </c>
      <c r="B1900" s="5">
        <v>39623</v>
      </c>
      <c r="C1900" t="str">
        <f t="shared" si="29"/>
        <v>SRCRS000.08_39623</v>
      </c>
      <c r="D1900">
        <f>COUNTIF(data.SampSummary!$C$2:$C$1407,C1900)</f>
        <v>0</v>
      </c>
    </row>
    <row r="1901" spans="1:4" x14ac:dyDescent="0.25">
      <c r="A1901" t="s">
        <v>2927</v>
      </c>
      <c r="B1901" s="5">
        <v>39623</v>
      </c>
      <c r="C1901" t="str">
        <f t="shared" si="29"/>
        <v>SRTON056.59_39623</v>
      </c>
      <c r="D1901">
        <f>COUNTIF(data.SampSummary!$C$2:$C$1407,C1901)</f>
        <v>0</v>
      </c>
    </row>
    <row r="1902" spans="1:4" x14ac:dyDescent="0.25">
      <c r="A1902" t="s">
        <v>2698</v>
      </c>
      <c r="B1902" s="5">
        <v>39623</v>
      </c>
      <c r="C1902" t="str">
        <f t="shared" si="29"/>
        <v>SRTON055.09_39623</v>
      </c>
      <c r="D1902">
        <f>COUNTIF(data.SampSummary!$C$2:$C$1407,C1902)</f>
        <v>0</v>
      </c>
    </row>
    <row r="1903" spans="1:4" x14ac:dyDescent="0.25">
      <c r="A1903" t="s">
        <v>2814</v>
      </c>
      <c r="B1903" s="5">
        <v>40211</v>
      </c>
      <c r="C1903" t="str">
        <f t="shared" si="29"/>
        <v>LCSIL000.06_40211</v>
      </c>
      <c r="D1903">
        <f>COUNTIF(data.SampSummary!$C$2:$C$1407,C1903)</f>
        <v>0</v>
      </c>
    </row>
    <row r="1904" spans="1:4" x14ac:dyDescent="0.25">
      <c r="A1904" t="s">
        <v>197</v>
      </c>
      <c r="B1904" s="5">
        <v>39623</v>
      </c>
      <c r="C1904" t="str">
        <f t="shared" si="29"/>
        <v>SRTON053.87_39623</v>
      </c>
      <c r="D1904">
        <f>COUNTIF(data.SampSummary!$C$2:$C$1407,C1904)</f>
        <v>0</v>
      </c>
    </row>
    <row r="1905" spans="1:4" x14ac:dyDescent="0.25">
      <c r="A1905" t="s">
        <v>1530</v>
      </c>
      <c r="B1905" s="5">
        <v>39611</v>
      </c>
      <c r="C1905" t="str">
        <f t="shared" si="29"/>
        <v>UGCAV014.44_39611</v>
      </c>
      <c r="D1905">
        <f>COUNTIF(data.SampSummary!$C$2:$C$1407,C1905)</f>
        <v>0</v>
      </c>
    </row>
    <row r="1906" spans="1:4" x14ac:dyDescent="0.25">
      <c r="A1906" t="s">
        <v>52</v>
      </c>
      <c r="B1906" s="5">
        <v>39611</v>
      </c>
      <c r="C1906" t="str">
        <f t="shared" si="29"/>
        <v>UGCAV016.84_39611</v>
      </c>
      <c r="D1906">
        <f>COUNTIF(data.SampSummary!$C$2:$C$1407,C1906)</f>
        <v>0</v>
      </c>
    </row>
    <row r="1907" spans="1:4" x14ac:dyDescent="0.25">
      <c r="A1907" t="s">
        <v>17</v>
      </c>
      <c r="B1907" s="5">
        <v>40087</v>
      </c>
      <c r="C1907" t="str">
        <f t="shared" si="29"/>
        <v>SRTON062.28_40087</v>
      </c>
      <c r="D1907">
        <f>COUNTIF(data.SampSummary!$C$2:$C$1407,C1907)</f>
        <v>0</v>
      </c>
    </row>
    <row r="1908" spans="1:4" x14ac:dyDescent="0.25">
      <c r="A1908" t="s">
        <v>197</v>
      </c>
      <c r="B1908" s="5">
        <v>40086</v>
      </c>
      <c r="C1908" t="str">
        <f t="shared" si="29"/>
        <v>SRTON053.87_40086</v>
      </c>
      <c r="D1908">
        <f>COUNTIF(data.SampSummary!$C$2:$C$1407,C1908)</f>
        <v>0</v>
      </c>
    </row>
    <row r="1909" spans="1:4" x14ac:dyDescent="0.25">
      <c r="A1909" t="s">
        <v>2959</v>
      </c>
      <c r="B1909" s="5">
        <v>39603</v>
      </c>
      <c r="C1909" t="str">
        <f t="shared" si="29"/>
        <v>VRSYM022.45_39603</v>
      </c>
      <c r="D1909">
        <f>COUNTIF(data.SampSummary!$C$2:$C$1407,C1909)</f>
        <v>0</v>
      </c>
    </row>
    <row r="1910" spans="1:4" x14ac:dyDescent="0.25">
      <c r="A1910" t="s">
        <v>2203</v>
      </c>
      <c r="B1910" s="5">
        <v>39596</v>
      </c>
      <c r="C1910" t="str">
        <f t="shared" si="29"/>
        <v>SRTON062.89_39596</v>
      </c>
      <c r="D1910">
        <f>COUNTIF(data.SampSummary!$C$2:$C$1407,C1910)</f>
        <v>0</v>
      </c>
    </row>
    <row r="1911" spans="1:4" x14ac:dyDescent="0.25">
      <c r="A1911" t="s">
        <v>17</v>
      </c>
      <c r="B1911" s="5">
        <v>39596</v>
      </c>
      <c r="C1911" t="str">
        <f t="shared" si="29"/>
        <v>SRTON062.28_39596</v>
      </c>
      <c r="D1911">
        <f>COUNTIF(data.SampSummary!$C$2:$C$1407,C1911)</f>
        <v>0</v>
      </c>
    </row>
    <row r="1912" spans="1:4" x14ac:dyDescent="0.25">
      <c r="A1912" t="s">
        <v>51</v>
      </c>
      <c r="B1912" s="5">
        <v>39596</v>
      </c>
      <c r="C1912" t="str">
        <f t="shared" si="29"/>
        <v>SRTON061.37_39596</v>
      </c>
      <c r="D1912">
        <f>COUNTIF(data.SampSummary!$C$2:$C$1407,C1912)</f>
        <v>0</v>
      </c>
    </row>
    <row r="1913" spans="1:4" x14ac:dyDescent="0.25">
      <c r="A1913" t="s">
        <v>2958</v>
      </c>
      <c r="B1913" s="5">
        <v>39596</v>
      </c>
      <c r="C1913" t="str">
        <f t="shared" si="29"/>
        <v>SRTON060.28_39596</v>
      </c>
      <c r="D1913">
        <f>COUNTIF(data.SampSummary!$C$2:$C$1407,C1913)</f>
        <v>0</v>
      </c>
    </row>
    <row r="1914" spans="1:4" x14ac:dyDescent="0.25">
      <c r="A1914" t="s">
        <v>170</v>
      </c>
      <c r="B1914" s="5">
        <v>39596</v>
      </c>
      <c r="C1914" t="str">
        <f t="shared" si="29"/>
        <v>SRTON058.63_39596</v>
      </c>
      <c r="D1914">
        <f>COUNTIF(data.SampSummary!$C$2:$C$1407,C1914)</f>
        <v>0</v>
      </c>
    </row>
    <row r="1915" spans="1:4" x14ac:dyDescent="0.25">
      <c r="A1915" t="s">
        <v>2954</v>
      </c>
      <c r="B1915" s="5">
        <v>39596</v>
      </c>
      <c r="C1915" t="str">
        <f t="shared" si="29"/>
        <v>SRTON057.70_39596</v>
      </c>
      <c r="D1915">
        <f>COUNTIF(data.SampSummary!$C$2:$C$1407,C1915)</f>
        <v>0</v>
      </c>
    </row>
    <row r="1916" spans="1:4" x14ac:dyDescent="0.25">
      <c r="A1916" t="s">
        <v>2928</v>
      </c>
      <c r="B1916" s="5">
        <v>39596</v>
      </c>
      <c r="C1916" t="str">
        <f t="shared" si="29"/>
        <v>SRCRS006.20_39596</v>
      </c>
      <c r="D1916">
        <f>COUNTIF(data.SampSummary!$C$2:$C$1407,C1916)</f>
        <v>0</v>
      </c>
    </row>
    <row r="1917" spans="1:4" x14ac:dyDescent="0.25">
      <c r="A1917" t="s">
        <v>2445</v>
      </c>
      <c r="B1917" s="5">
        <v>39595</v>
      </c>
      <c r="C1917" t="str">
        <f t="shared" si="29"/>
        <v>SRCRS002.25_39595</v>
      </c>
      <c r="D1917">
        <f>COUNTIF(data.SampSummary!$C$2:$C$1407,C1917)</f>
        <v>0</v>
      </c>
    </row>
    <row r="1918" spans="1:4" x14ac:dyDescent="0.25">
      <c r="A1918" t="s">
        <v>2950</v>
      </c>
      <c r="B1918" s="5">
        <v>39595</v>
      </c>
      <c r="C1918" t="str">
        <f t="shared" si="29"/>
        <v>SRCRS001.74_39595</v>
      </c>
      <c r="D1918">
        <f>COUNTIF(data.SampSummary!$C$2:$C$1407,C1918)</f>
        <v>0</v>
      </c>
    </row>
    <row r="1919" spans="1:4" x14ac:dyDescent="0.25">
      <c r="A1919" t="s">
        <v>2953</v>
      </c>
      <c r="B1919" s="5">
        <v>39595</v>
      </c>
      <c r="C1919" t="str">
        <f t="shared" si="29"/>
        <v>SRCRS001.24_39595</v>
      </c>
      <c r="D1919">
        <f>COUNTIF(data.SampSummary!$C$2:$C$1407,C1919)</f>
        <v>0</v>
      </c>
    </row>
    <row r="1920" spans="1:4" x14ac:dyDescent="0.25">
      <c r="A1920" t="s">
        <v>2927</v>
      </c>
      <c r="B1920" s="5">
        <v>39595</v>
      </c>
      <c r="C1920" t="str">
        <f t="shared" si="29"/>
        <v>SRTON056.59_39595</v>
      </c>
      <c r="D1920">
        <f>COUNTIF(data.SampSummary!$C$2:$C$1407,C1920)</f>
        <v>0</v>
      </c>
    </row>
    <row r="1921" spans="1:4" x14ac:dyDescent="0.25">
      <c r="A1921" t="s">
        <v>2929</v>
      </c>
      <c r="B1921" s="5">
        <v>39595</v>
      </c>
      <c r="C1921" t="str">
        <f t="shared" si="29"/>
        <v>SRCRS000.08_39595</v>
      </c>
      <c r="D1921">
        <f>COUNTIF(data.SampSummary!$C$2:$C$1407,C1921)</f>
        <v>0</v>
      </c>
    </row>
    <row r="1922" spans="1:4" x14ac:dyDescent="0.25">
      <c r="A1922" t="s">
        <v>2698</v>
      </c>
      <c r="B1922" s="5">
        <v>39595</v>
      </c>
      <c r="C1922" t="str">
        <f t="shared" si="29"/>
        <v>SRTON055.09_39595</v>
      </c>
      <c r="D1922">
        <f>COUNTIF(data.SampSummary!$C$2:$C$1407,C1922)</f>
        <v>0</v>
      </c>
    </row>
    <row r="1923" spans="1:4" x14ac:dyDescent="0.25">
      <c r="A1923" t="s">
        <v>197</v>
      </c>
      <c r="B1923" s="5">
        <v>39595</v>
      </c>
      <c r="C1923" t="str">
        <f t="shared" ref="C1923:C1986" si="30">A1923&amp;"_"&amp;B1923</f>
        <v>SRTON053.87_39595</v>
      </c>
      <c r="D1923">
        <f>COUNTIF(data.SampSummary!$C$2:$C$1407,C1923)</f>
        <v>0</v>
      </c>
    </row>
    <row r="1924" spans="1:4" x14ac:dyDescent="0.25">
      <c r="A1924" t="s">
        <v>104</v>
      </c>
      <c r="B1924" s="5">
        <v>39589</v>
      </c>
      <c r="C1924" t="str">
        <f t="shared" si="30"/>
        <v>LCWLR000.92_39589</v>
      </c>
      <c r="D1924">
        <f>COUNTIF(data.SampSummary!$C$2:$C$1407,C1924)</f>
        <v>0</v>
      </c>
    </row>
    <row r="1925" spans="1:4" x14ac:dyDescent="0.25">
      <c r="A1925" t="s">
        <v>68</v>
      </c>
      <c r="B1925" s="5">
        <v>39589</v>
      </c>
      <c r="C1925" t="str">
        <f t="shared" si="30"/>
        <v>LCSLR001.42_39589</v>
      </c>
      <c r="D1925">
        <f>COUNTIF(data.SampSummary!$C$2:$C$1407,C1925)</f>
        <v>0</v>
      </c>
    </row>
    <row r="1926" spans="1:4" x14ac:dyDescent="0.25">
      <c r="A1926" t="s">
        <v>2817</v>
      </c>
      <c r="B1926" s="5">
        <v>39589</v>
      </c>
      <c r="C1926" t="str">
        <f t="shared" si="30"/>
        <v>LCLCR346.01_39589</v>
      </c>
      <c r="D1926">
        <f>COUNTIF(data.SampSummary!$C$2:$C$1407,C1926)</f>
        <v>0</v>
      </c>
    </row>
    <row r="1927" spans="1:4" x14ac:dyDescent="0.25">
      <c r="A1927" t="s">
        <v>2960</v>
      </c>
      <c r="B1927" s="5">
        <v>39588</v>
      </c>
      <c r="C1927" t="str">
        <f t="shared" si="30"/>
        <v>LCNUT026.83_39588</v>
      </c>
      <c r="D1927">
        <f>COUNTIF(data.SampSummary!$C$2:$C$1407,C1927)</f>
        <v>0</v>
      </c>
    </row>
    <row r="1928" spans="1:4" x14ac:dyDescent="0.25">
      <c r="A1928" t="s">
        <v>2886</v>
      </c>
      <c r="B1928" s="5">
        <v>39588</v>
      </c>
      <c r="C1928" t="str">
        <f t="shared" si="30"/>
        <v>LCNUT013.33_39588</v>
      </c>
      <c r="D1928">
        <f>COUNTIF(data.SampSummary!$C$2:$C$1407,C1928)</f>
        <v>0</v>
      </c>
    </row>
    <row r="1929" spans="1:4" x14ac:dyDescent="0.25">
      <c r="A1929" t="s">
        <v>2901</v>
      </c>
      <c r="B1929" s="5">
        <v>39588</v>
      </c>
      <c r="C1929" t="str">
        <f t="shared" si="30"/>
        <v>LCLCR340.65_39588</v>
      </c>
      <c r="D1929">
        <f>COUNTIF(data.SampSummary!$C$2:$C$1407,C1929)</f>
        <v>0</v>
      </c>
    </row>
    <row r="1930" spans="1:4" x14ac:dyDescent="0.25">
      <c r="A1930" t="s">
        <v>2961</v>
      </c>
      <c r="B1930" s="5">
        <v>39588</v>
      </c>
      <c r="C1930" t="str">
        <f t="shared" si="30"/>
        <v>LCNUT000.01_39588</v>
      </c>
      <c r="D1930">
        <f>COUNTIF(data.SampSummary!$C$2:$C$1407,C1930)</f>
        <v>0</v>
      </c>
    </row>
    <row r="1931" spans="1:4" x14ac:dyDescent="0.25">
      <c r="A1931" t="s">
        <v>128</v>
      </c>
      <c r="B1931" s="5">
        <v>39588</v>
      </c>
      <c r="C1931" t="str">
        <f t="shared" si="30"/>
        <v>LCLCR340.02_39588</v>
      </c>
      <c r="D1931">
        <f>COUNTIF(data.SampSummary!$C$2:$C$1407,C1931)</f>
        <v>0</v>
      </c>
    </row>
    <row r="1932" spans="1:4" x14ac:dyDescent="0.25">
      <c r="A1932" t="s">
        <v>2203</v>
      </c>
      <c r="B1932" s="5">
        <v>39570</v>
      </c>
      <c r="C1932" t="str">
        <f t="shared" si="30"/>
        <v>SRTON062.89_39570</v>
      </c>
      <c r="D1932">
        <f>COUNTIF(data.SampSummary!$C$2:$C$1407,C1932)</f>
        <v>0</v>
      </c>
    </row>
    <row r="1933" spans="1:4" x14ac:dyDescent="0.25">
      <c r="A1933" t="s">
        <v>17</v>
      </c>
      <c r="B1933" s="5">
        <v>39570</v>
      </c>
      <c r="C1933" t="str">
        <f t="shared" si="30"/>
        <v>SRTON062.28_39570</v>
      </c>
      <c r="D1933">
        <f>COUNTIF(data.SampSummary!$C$2:$C$1407,C1933)</f>
        <v>0</v>
      </c>
    </row>
    <row r="1934" spans="1:4" x14ac:dyDescent="0.25">
      <c r="A1934" t="s">
        <v>51</v>
      </c>
      <c r="B1934" s="5">
        <v>39570</v>
      </c>
      <c r="C1934" t="str">
        <f t="shared" si="30"/>
        <v>SRTON061.37_39570</v>
      </c>
      <c r="D1934">
        <f>COUNTIF(data.SampSummary!$C$2:$C$1407,C1934)</f>
        <v>0</v>
      </c>
    </row>
    <row r="1935" spans="1:4" x14ac:dyDescent="0.25">
      <c r="A1935" t="s">
        <v>2958</v>
      </c>
      <c r="B1935" s="5">
        <v>39570</v>
      </c>
      <c r="C1935" t="str">
        <f t="shared" si="30"/>
        <v>SRTON060.28_39570</v>
      </c>
      <c r="D1935">
        <f>COUNTIF(data.SampSummary!$C$2:$C$1407,C1935)</f>
        <v>0</v>
      </c>
    </row>
    <row r="1936" spans="1:4" x14ac:dyDescent="0.25">
      <c r="A1936" t="s">
        <v>170</v>
      </c>
      <c r="B1936" s="5">
        <v>39570</v>
      </c>
      <c r="C1936" t="str">
        <f t="shared" si="30"/>
        <v>SRTON058.63_39570</v>
      </c>
      <c r="D1936">
        <f>COUNTIF(data.SampSummary!$C$2:$C$1407,C1936)</f>
        <v>0</v>
      </c>
    </row>
    <row r="1937" spans="1:4" x14ac:dyDescent="0.25">
      <c r="A1937" t="s">
        <v>2954</v>
      </c>
      <c r="B1937" s="5">
        <v>39570</v>
      </c>
      <c r="C1937" t="str">
        <f t="shared" si="30"/>
        <v>SRTON057.70_39570</v>
      </c>
      <c r="D1937">
        <f>COUNTIF(data.SampSummary!$C$2:$C$1407,C1937)</f>
        <v>0</v>
      </c>
    </row>
    <row r="1938" spans="1:4" x14ac:dyDescent="0.25">
      <c r="A1938" t="s">
        <v>2928</v>
      </c>
      <c r="B1938" s="5">
        <v>39569</v>
      </c>
      <c r="C1938" t="str">
        <f t="shared" si="30"/>
        <v>SRCRS006.20_39569</v>
      </c>
      <c r="D1938">
        <f>COUNTIF(data.SampSummary!$C$2:$C$1407,C1938)</f>
        <v>0</v>
      </c>
    </row>
    <row r="1939" spans="1:4" x14ac:dyDescent="0.25">
      <c r="A1939" t="s">
        <v>2445</v>
      </c>
      <c r="B1939" s="5">
        <v>39569</v>
      </c>
      <c r="C1939" t="str">
        <f t="shared" si="30"/>
        <v>SRCRS002.25_39569</v>
      </c>
      <c r="D1939">
        <f>COUNTIF(data.SampSummary!$C$2:$C$1407,C1939)</f>
        <v>0</v>
      </c>
    </row>
    <row r="1940" spans="1:4" x14ac:dyDescent="0.25">
      <c r="A1940" t="s">
        <v>2950</v>
      </c>
      <c r="B1940" s="5">
        <v>39569</v>
      </c>
      <c r="C1940" t="str">
        <f t="shared" si="30"/>
        <v>SRCRS001.74_39569</v>
      </c>
      <c r="D1940">
        <f>COUNTIF(data.SampSummary!$C$2:$C$1407,C1940)</f>
        <v>0</v>
      </c>
    </row>
    <row r="1941" spans="1:4" x14ac:dyDescent="0.25">
      <c r="A1941" t="s">
        <v>2953</v>
      </c>
      <c r="B1941" s="5">
        <v>39569</v>
      </c>
      <c r="C1941" t="str">
        <f t="shared" si="30"/>
        <v>SRCRS001.24_39569</v>
      </c>
      <c r="D1941">
        <f>COUNTIF(data.SampSummary!$C$2:$C$1407,C1941)</f>
        <v>0</v>
      </c>
    </row>
    <row r="1942" spans="1:4" x14ac:dyDescent="0.25">
      <c r="A1942" t="s">
        <v>2929</v>
      </c>
      <c r="B1942" s="5">
        <v>39569</v>
      </c>
      <c r="C1942" t="str">
        <f t="shared" si="30"/>
        <v>SRCRS000.08_39569</v>
      </c>
      <c r="D1942">
        <f>COUNTIF(data.SampSummary!$C$2:$C$1407,C1942)</f>
        <v>0</v>
      </c>
    </row>
    <row r="1943" spans="1:4" x14ac:dyDescent="0.25">
      <c r="A1943" t="s">
        <v>2927</v>
      </c>
      <c r="B1943" s="5">
        <v>39569</v>
      </c>
      <c r="C1943" t="str">
        <f t="shared" si="30"/>
        <v>SRTON056.59_39569</v>
      </c>
      <c r="D1943">
        <f>COUNTIF(data.SampSummary!$C$2:$C$1407,C1943)</f>
        <v>0</v>
      </c>
    </row>
    <row r="1944" spans="1:4" x14ac:dyDescent="0.25">
      <c r="A1944" t="s">
        <v>2698</v>
      </c>
      <c r="B1944" s="5">
        <v>39569</v>
      </c>
      <c r="C1944" t="str">
        <f t="shared" si="30"/>
        <v>SRTON055.09_39569</v>
      </c>
      <c r="D1944">
        <f>COUNTIF(data.SampSummary!$C$2:$C$1407,C1944)</f>
        <v>0</v>
      </c>
    </row>
    <row r="1945" spans="1:4" x14ac:dyDescent="0.25">
      <c r="A1945" t="s">
        <v>197</v>
      </c>
      <c r="B1945" s="5">
        <v>39569</v>
      </c>
      <c r="C1945" t="str">
        <f t="shared" si="30"/>
        <v>SRTON053.87_39569</v>
      </c>
      <c r="D1945">
        <f>COUNTIF(data.SampSummary!$C$2:$C$1407,C1945)</f>
        <v>0</v>
      </c>
    </row>
    <row r="1946" spans="1:4" x14ac:dyDescent="0.25">
      <c r="A1946" t="s">
        <v>2962</v>
      </c>
      <c r="B1946" s="5">
        <v>39562</v>
      </c>
      <c r="C1946" t="str">
        <f t="shared" si="30"/>
        <v>VROAK050.55_39562</v>
      </c>
      <c r="D1946">
        <f>COUNTIF(data.SampSummary!$C$2:$C$1407,C1946)</f>
        <v>0</v>
      </c>
    </row>
    <row r="1947" spans="1:4" x14ac:dyDescent="0.25">
      <c r="A1947" t="s">
        <v>172</v>
      </c>
      <c r="B1947" s="5">
        <v>39562</v>
      </c>
      <c r="C1947" t="str">
        <f t="shared" si="30"/>
        <v>VROAK048.92_39562</v>
      </c>
      <c r="D1947">
        <f>COUNTIF(data.SampSummary!$C$2:$C$1407,C1947)</f>
        <v>0</v>
      </c>
    </row>
    <row r="1948" spans="1:4" x14ac:dyDescent="0.25">
      <c r="A1948" t="s">
        <v>2963</v>
      </c>
      <c r="B1948" s="5">
        <v>39562</v>
      </c>
      <c r="C1948" t="str">
        <f t="shared" si="30"/>
        <v>VRWOK000.10_39562</v>
      </c>
      <c r="D1948">
        <f>COUNTIF(data.SampSummary!$C$2:$C$1407,C1948)</f>
        <v>0</v>
      </c>
    </row>
    <row r="1949" spans="1:4" x14ac:dyDescent="0.25">
      <c r="A1949" t="s">
        <v>2948</v>
      </c>
      <c r="B1949" s="5">
        <v>39562</v>
      </c>
      <c r="C1949" t="str">
        <f t="shared" si="30"/>
        <v>VROAK044.98_39562</v>
      </c>
      <c r="D1949">
        <f>COUNTIF(data.SampSummary!$C$2:$C$1407,C1949)</f>
        <v>0</v>
      </c>
    </row>
    <row r="1950" spans="1:4" x14ac:dyDescent="0.25">
      <c r="A1950" t="s">
        <v>2940</v>
      </c>
      <c r="B1950" s="5">
        <v>39562</v>
      </c>
      <c r="C1950" t="str">
        <f t="shared" si="30"/>
        <v>VROAK043.79_39562</v>
      </c>
      <c r="D1950">
        <f>COUNTIF(data.SampSummary!$C$2:$C$1407,C1950)</f>
        <v>0</v>
      </c>
    </row>
    <row r="1951" spans="1:4" x14ac:dyDescent="0.25">
      <c r="A1951" t="s">
        <v>2936</v>
      </c>
      <c r="B1951" s="5">
        <v>39553</v>
      </c>
      <c r="C1951" t="str">
        <f t="shared" si="30"/>
        <v>LCWAN000.54_39553</v>
      </c>
      <c r="D1951">
        <f>COUNTIF(data.SampSummary!$C$2:$C$1407,C1951)</f>
        <v>0</v>
      </c>
    </row>
    <row r="1952" spans="1:4" x14ac:dyDescent="0.25">
      <c r="A1952" t="s">
        <v>2813</v>
      </c>
      <c r="B1952" s="5">
        <v>39553</v>
      </c>
      <c r="C1952" t="str">
        <f t="shared" si="30"/>
        <v>LCWAN002.19_39553</v>
      </c>
      <c r="D1952">
        <f>COUNTIF(data.SampSummary!$C$2:$C$1407,C1952)</f>
        <v>0</v>
      </c>
    </row>
    <row r="1953" spans="1:4" x14ac:dyDescent="0.25">
      <c r="A1953" t="s">
        <v>2932</v>
      </c>
      <c r="B1953" s="5">
        <v>39553</v>
      </c>
      <c r="C1953" t="str">
        <f t="shared" si="30"/>
        <v>LCWAN002.60_39553</v>
      </c>
      <c r="D1953">
        <f>COUNTIF(data.SampSummary!$C$2:$C$1407,C1953)</f>
        <v>0</v>
      </c>
    </row>
    <row r="1954" spans="1:4" x14ac:dyDescent="0.25">
      <c r="A1954" t="s">
        <v>2934</v>
      </c>
      <c r="B1954" s="5">
        <v>39553</v>
      </c>
      <c r="C1954" t="str">
        <f t="shared" si="30"/>
        <v>LCWAN004.71_39553</v>
      </c>
      <c r="D1954">
        <f>COUNTIF(data.SampSummary!$C$2:$C$1407,C1954)</f>
        <v>0</v>
      </c>
    </row>
    <row r="1955" spans="1:4" x14ac:dyDescent="0.25">
      <c r="A1955" t="s">
        <v>2933</v>
      </c>
      <c r="B1955" s="5">
        <v>39553</v>
      </c>
      <c r="C1955" t="str">
        <f t="shared" si="30"/>
        <v>LCBIL005.75_39553</v>
      </c>
      <c r="D1955">
        <f>COUNTIF(data.SampSummary!$C$2:$C$1407,C1955)</f>
        <v>0</v>
      </c>
    </row>
    <row r="1956" spans="1:4" x14ac:dyDescent="0.25">
      <c r="A1956" t="s">
        <v>104</v>
      </c>
      <c r="B1956" s="5">
        <v>39535</v>
      </c>
      <c r="C1956" t="str">
        <f t="shared" si="30"/>
        <v>LCWLR000.92_39535</v>
      </c>
      <c r="D1956">
        <f>COUNTIF(data.SampSummary!$C$2:$C$1407,C1956)</f>
        <v>0</v>
      </c>
    </row>
    <row r="1957" spans="1:4" x14ac:dyDescent="0.25">
      <c r="A1957" t="s">
        <v>68</v>
      </c>
      <c r="B1957" s="5">
        <v>39535</v>
      </c>
      <c r="C1957" t="str">
        <f t="shared" si="30"/>
        <v>LCSLR001.42_39535</v>
      </c>
      <c r="D1957">
        <f>COUNTIF(data.SampSummary!$C$2:$C$1407,C1957)</f>
        <v>0</v>
      </c>
    </row>
    <row r="1958" spans="1:4" x14ac:dyDescent="0.25">
      <c r="A1958" t="s">
        <v>2817</v>
      </c>
      <c r="B1958" s="5">
        <v>39535</v>
      </c>
      <c r="C1958" t="str">
        <f t="shared" si="30"/>
        <v>LCLCR346.01_39535</v>
      </c>
      <c r="D1958">
        <f>COUNTIF(data.SampSummary!$C$2:$C$1407,C1958)</f>
        <v>0</v>
      </c>
    </row>
    <row r="1959" spans="1:4" x14ac:dyDescent="0.25">
      <c r="A1959" t="s">
        <v>2960</v>
      </c>
      <c r="B1959" s="5">
        <v>39534</v>
      </c>
      <c r="C1959" t="str">
        <f t="shared" si="30"/>
        <v>LCNUT026.83_39534</v>
      </c>
      <c r="D1959">
        <f>COUNTIF(data.SampSummary!$C$2:$C$1407,C1959)</f>
        <v>0</v>
      </c>
    </row>
    <row r="1960" spans="1:4" x14ac:dyDescent="0.25">
      <c r="A1960" t="s">
        <v>2886</v>
      </c>
      <c r="B1960" s="5">
        <v>39534</v>
      </c>
      <c r="C1960" t="str">
        <f t="shared" si="30"/>
        <v>LCNUT013.33_39534</v>
      </c>
      <c r="D1960">
        <f>COUNTIF(data.SampSummary!$C$2:$C$1407,C1960)</f>
        <v>0</v>
      </c>
    </row>
    <row r="1961" spans="1:4" x14ac:dyDescent="0.25">
      <c r="A1961" t="s">
        <v>128</v>
      </c>
      <c r="B1961" s="5">
        <v>39534</v>
      </c>
      <c r="C1961" t="str">
        <f t="shared" si="30"/>
        <v>LCLCR340.02_39534</v>
      </c>
      <c r="D1961">
        <f>COUNTIF(data.SampSummary!$C$2:$C$1407,C1961)</f>
        <v>0</v>
      </c>
    </row>
    <row r="1962" spans="1:4" x14ac:dyDescent="0.25">
      <c r="A1962" t="s">
        <v>2901</v>
      </c>
      <c r="B1962" s="5">
        <v>39534</v>
      </c>
      <c r="C1962" t="str">
        <f t="shared" si="30"/>
        <v>LCLCR340.65_39534</v>
      </c>
      <c r="D1962">
        <f>COUNTIF(data.SampSummary!$C$2:$C$1407,C1962)</f>
        <v>0</v>
      </c>
    </row>
    <row r="1963" spans="1:4" x14ac:dyDescent="0.25">
      <c r="A1963" t="s">
        <v>2964</v>
      </c>
      <c r="B1963" s="5">
        <v>40674</v>
      </c>
      <c r="C1963" t="str">
        <f t="shared" si="30"/>
        <v>LCCHC060.09_40674</v>
      </c>
      <c r="D1963">
        <f>COUNTIF(data.SampSummary!$C$2:$C$1407,C1963)</f>
        <v>0</v>
      </c>
    </row>
    <row r="1964" spans="1:4" x14ac:dyDescent="0.25">
      <c r="A1964" t="s">
        <v>2955</v>
      </c>
      <c r="B1964" s="5">
        <v>39526</v>
      </c>
      <c r="C1964" t="str">
        <f t="shared" si="30"/>
        <v>SRTON060.50_39526</v>
      </c>
      <c r="D1964">
        <f>COUNTIF(data.SampSummary!$C$2:$C$1407,C1964)</f>
        <v>0</v>
      </c>
    </row>
    <row r="1965" spans="1:4" x14ac:dyDescent="0.25">
      <c r="A1965" t="s">
        <v>2958</v>
      </c>
      <c r="B1965" s="5">
        <v>39526</v>
      </c>
      <c r="C1965" t="str">
        <f t="shared" si="30"/>
        <v>SRTON060.28_39526</v>
      </c>
      <c r="D1965">
        <f>COUNTIF(data.SampSummary!$C$2:$C$1407,C1965)</f>
        <v>0</v>
      </c>
    </row>
    <row r="1966" spans="1:4" x14ac:dyDescent="0.25">
      <c r="A1966" t="s">
        <v>2886</v>
      </c>
      <c r="B1966" s="5">
        <v>39520</v>
      </c>
      <c r="C1966" t="str">
        <f t="shared" si="30"/>
        <v>LCNUT013.33_39520</v>
      </c>
      <c r="D1966">
        <f>COUNTIF(data.SampSummary!$C$2:$C$1407,C1966)</f>
        <v>0</v>
      </c>
    </row>
    <row r="1967" spans="1:4" x14ac:dyDescent="0.25">
      <c r="A1967" t="s">
        <v>2960</v>
      </c>
      <c r="B1967" s="5">
        <v>39520</v>
      </c>
      <c r="C1967" t="str">
        <f t="shared" si="30"/>
        <v>LCNUT026.83_39520</v>
      </c>
      <c r="D1967">
        <f>COUNTIF(data.SampSummary!$C$2:$C$1407,C1967)</f>
        <v>0</v>
      </c>
    </row>
    <row r="1968" spans="1:4" x14ac:dyDescent="0.25">
      <c r="A1968" t="s">
        <v>2961</v>
      </c>
      <c r="B1968" s="5">
        <v>39520</v>
      </c>
      <c r="C1968" t="str">
        <f t="shared" si="30"/>
        <v>LCNUT000.01_39520</v>
      </c>
      <c r="D1968">
        <f>COUNTIF(data.SampSummary!$C$2:$C$1407,C1968)</f>
        <v>0</v>
      </c>
    </row>
    <row r="1969" spans="1:4" x14ac:dyDescent="0.25">
      <c r="A1969" t="s">
        <v>68</v>
      </c>
      <c r="B1969" s="5">
        <v>39520</v>
      </c>
      <c r="C1969" t="str">
        <f t="shared" si="30"/>
        <v>LCSLR001.42_39520</v>
      </c>
      <c r="D1969">
        <f>COUNTIF(data.SampSummary!$C$2:$C$1407,C1969)</f>
        <v>0</v>
      </c>
    </row>
    <row r="1970" spans="1:4" x14ac:dyDescent="0.25">
      <c r="A1970" t="s">
        <v>128</v>
      </c>
      <c r="B1970" s="5">
        <v>39520</v>
      </c>
      <c r="C1970" t="str">
        <f t="shared" si="30"/>
        <v>LCLCR340.02_39520</v>
      </c>
      <c r="D1970">
        <f>COUNTIF(data.SampSummary!$C$2:$C$1407,C1970)</f>
        <v>0</v>
      </c>
    </row>
    <row r="1971" spans="1:4" x14ac:dyDescent="0.25">
      <c r="A1971" t="s">
        <v>104</v>
      </c>
      <c r="B1971" s="5">
        <v>39520</v>
      </c>
      <c r="C1971" t="str">
        <f t="shared" si="30"/>
        <v>LCWLR000.92_39520</v>
      </c>
      <c r="D1971">
        <f>COUNTIF(data.SampSummary!$C$2:$C$1407,C1971)</f>
        <v>0</v>
      </c>
    </row>
    <row r="1972" spans="1:4" x14ac:dyDescent="0.25">
      <c r="A1972" t="s">
        <v>2901</v>
      </c>
      <c r="B1972" s="5">
        <v>39520</v>
      </c>
      <c r="C1972" t="str">
        <f t="shared" si="30"/>
        <v>LCLCR340.65_39520</v>
      </c>
      <c r="D1972">
        <f>COUNTIF(data.SampSummary!$C$2:$C$1407,C1972)</f>
        <v>0</v>
      </c>
    </row>
    <row r="1973" spans="1:4" x14ac:dyDescent="0.25">
      <c r="A1973" t="s">
        <v>2950</v>
      </c>
      <c r="B1973" s="5">
        <v>39511</v>
      </c>
      <c r="C1973" t="str">
        <f t="shared" si="30"/>
        <v>SRCRS001.74_39511</v>
      </c>
      <c r="D1973">
        <f>COUNTIF(data.SampSummary!$C$2:$C$1407,C1973)</f>
        <v>0</v>
      </c>
    </row>
    <row r="1974" spans="1:4" x14ac:dyDescent="0.25">
      <c r="A1974" t="s">
        <v>2953</v>
      </c>
      <c r="B1974" s="5">
        <v>39511</v>
      </c>
      <c r="C1974" t="str">
        <f t="shared" si="30"/>
        <v>SRCRS001.24_39511</v>
      </c>
      <c r="D1974">
        <f>COUNTIF(data.SampSummary!$C$2:$C$1407,C1974)</f>
        <v>0</v>
      </c>
    </row>
    <row r="1975" spans="1:4" x14ac:dyDescent="0.25">
      <c r="A1975" t="s">
        <v>51</v>
      </c>
      <c r="B1975" s="5">
        <v>39511</v>
      </c>
      <c r="C1975" t="str">
        <f t="shared" si="30"/>
        <v>SRTON061.37_39511</v>
      </c>
      <c r="D1975">
        <f>COUNTIF(data.SampSummary!$C$2:$C$1407,C1975)</f>
        <v>0</v>
      </c>
    </row>
    <row r="1976" spans="1:4" x14ac:dyDescent="0.25">
      <c r="A1976" t="s">
        <v>2955</v>
      </c>
      <c r="B1976" s="5">
        <v>39511</v>
      </c>
      <c r="C1976" t="str">
        <f t="shared" si="30"/>
        <v>SRTON060.50_39511</v>
      </c>
      <c r="D1976">
        <f>COUNTIF(data.SampSummary!$C$2:$C$1407,C1976)</f>
        <v>0</v>
      </c>
    </row>
    <row r="1977" spans="1:4" x14ac:dyDescent="0.25">
      <c r="A1977" t="s">
        <v>2816</v>
      </c>
      <c r="B1977" s="5">
        <v>39510</v>
      </c>
      <c r="C1977" t="str">
        <f t="shared" si="30"/>
        <v>LCLCR324.92_39510</v>
      </c>
      <c r="D1977">
        <f>COUNTIF(data.SampSummary!$C$2:$C$1407,C1977)</f>
        <v>0</v>
      </c>
    </row>
    <row r="1978" spans="1:4" x14ac:dyDescent="0.25">
      <c r="A1978" t="s">
        <v>2953</v>
      </c>
      <c r="B1978" s="5">
        <v>41507</v>
      </c>
      <c r="C1978" t="str">
        <f t="shared" si="30"/>
        <v>SRCRS001.24_41507</v>
      </c>
      <c r="D1978">
        <f>COUNTIF(data.SampSummary!$C$2:$C$1407,C1978)</f>
        <v>0</v>
      </c>
    </row>
    <row r="1979" spans="1:4" x14ac:dyDescent="0.25">
      <c r="A1979" t="s">
        <v>2953</v>
      </c>
      <c r="B1979" s="5">
        <v>41463</v>
      </c>
      <c r="C1979" t="str">
        <f t="shared" si="30"/>
        <v>SRCRS001.24_41463</v>
      </c>
      <c r="D1979">
        <f>COUNTIF(data.SampSummary!$C$2:$C$1407,C1979)</f>
        <v>0</v>
      </c>
    </row>
    <row r="1980" spans="1:4" x14ac:dyDescent="0.25">
      <c r="A1980" t="s">
        <v>2962</v>
      </c>
      <c r="B1980" s="5">
        <v>39387</v>
      </c>
      <c r="C1980" t="str">
        <f t="shared" si="30"/>
        <v>VROAK050.55_39387</v>
      </c>
      <c r="D1980">
        <f>COUNTIF(data.SampSummary!$C$2:$C$1407,C1980)</f>
        <v>0</v>
      </c>
    </row>
    <row r="1981" spans="1:4" x14ac:dyDescent="0.25">
      <c r="A1981" t="s">
        <v>2965</v>
      </c>
      <c r="B1981" s="5">
        <v>39387</v>
      </c>
      <c r="C1981" t="str">
        <f t="shared" si="30"/>
        <v>VROAK049.20_39387</v>
      </c>
      <c r="D1981">
        <f>COUNTIF(data.SampSummary!$C$2:$C$1407,C1981)</f>
        <v>0</v>
      </c>
    </row>
    <row r="1982" spans="1:4" x14ac:dyDescent="0.25">
      <c r="A1982" t="s">
        <v>172</v>
      </c>
      <c r="B1982" s="5">
        <v>39387</v>
      </c>
      <c r="C1982" t="str">
        <f t="shared" si="30"/>
        <v>VROAK048.92_39387</v>
      </c>
      <c r="D1982">
        <f>COUNTIF(data.SampSummary!$C$2:$C$1407,C1982)</f>
        <v>0</v>
      </c>
    </row>
    <row r="1983" spans="1:4" x14ac:dyDescent="0.25">
      <c r="A1983" t="s">
        <v>182</v>
      </c>
      <c r="B1983" s="5">
        <v>39364</v>
      </c>
      <c r="C1983" t="str">
        <f t="shared" si="30"/>
        <v>VRBON002.71_39364</v>
      </c>
      <c r="D1983">
        <f>COUNTIF(data.SampSummary!$C$2:$C$1407,C1983)</f>
        <v>0</v>
      </c>
    </row>
    <row r="1984" spans="1:4" x14ac:dyDescent="0.25">
      <c r="A1984" t="s">
        <v>201</v>
      </c>
      <c r="B1984" s="5">
        <v>40408</v>
      </c>
      <c r="C1984" t="str">
        <f t="shared" si="30"/>
        <v>SPSPR006.75_40408</v>
      </c>
      <c r="D1984">
        <f>COUNTIF(data.SampSummary!$C$2:$C$1407,C1984)</f>
        <v>0</v>
      </c>
    </row>
    <row r="1985" spans="1:4" x14ac:dyDescent="0.25">
      <c r="A1985" t="s">
        <v>2954</v>
      </c>
      <c r="B1985" s="5">
        <v>41906</v>
      </c>
      <c r="C1985" t="str">
        <f t="shared" si="30"/>
        <v>SRTON057.70_41906</v>
      </c>
      <c r="D1985">
        <f>COUNTIF(data.SampSummary!$C$2:$C$1407,C1985)</f>
        <v>0</v>
      </c>
    </row>
    <row r="1986" spans="1:4" x14ac:dyDescent="0.25">
      <c r="A1986" t="s">
        <v>2898</v>
      </c>
      <c r="B1986" s="5">
        <v>39989</v>
      </c>
      <c r="C1986" t="str">
        <f t="shared" si="30"/>
        <v>UGSFR012.54_39989</v>
      </c>
      <c r="D1986">
        <f>COUNTIF(data.SampSummary!$C$2:$C$1407,C1986)</f>
        <v>0</v>
      </c>
    </row>
    <row r="1987" spans="1:4" x14ac:dyDescent="0.25">
      <c r="A1987" t="s">
        <v>238</v>
      </c>
      <c r="B1987" s="5">
        <v>39989</v>
      </c>
      <c r="C1987" t="str">
        <f t="shared" ref="C1987:C2050" si="31">A1987&amp;"_"&amp;B1987</f>
        <v>UGBLR008.19_39989</v>
      </c>
      <c r="D1987">
        <f>COUNTIF(data.SampSummary!$C$2:$C$1407,C1987)</f>
        <v>0</v>
      </c>
    </row>
    <row r="1988" spans="1:4" x14ac:dyDescent="0.25">
      <c r="A1988" t="s">
        <v>197</v>
      </c>
      <c r="B1988" s="5">
        <v>39983</v>
      </c>
      <c r="C1988" t="str">
        <f t="shared" si="31"/>
        <v>SRTON053.87_39983</v>
      </c>
      <c r="D1988">
        <f>COUNTIF(data.SampSummary!$C$2:$C$1407,C1988)</f>
        <v>0</v>
      </c>
    </row>
    <row r="1989" spans="1:4" x14ac:dyDescent="0.25">
      <c r="A1989" t="s">
        <v>2954</v>
      </c>
      <c r="B1989" s="5">
        <v>39983</v>
      </c>
      <c r="C1989" t="str">
        <f t="shared" si="31"/>
        <v>SRTON057.70_39983</v>
      </c>
      <c r="D1989">
        <f>COUNTIF(data.SampSummary!$C$2:$C$1407,C1989)</f>
        <v>0</v>
      </c>
    </row>
    <row r="1990" spans="1:4" x14ac:dyDescent="0.25">
      <c r="A1990" t="s">
        <v>170</v>
      </c>
      <c r="B1990" s="5">
        <v>39983</v>
      </c>
      <c r="C1990" t="str">
        <f t="shared" si="31"/>
        <v>SRTON058.63_39983</v>
      </c>
      <c r="D1990">
        <f>COUNTIF(data.SampSummary!$C$2:$C$1407,C1990)</f>
        <v>0</v>
      </c>
    </row>
    <row r="1991" spans="1:4" x14ac:dyDescent="0.25">
      <c r="A1991" t="s">
        <v>2953</v>
      </c>
      <c r="B1991" s="5">
        <v>39983</v>
      </c>
      <c r="C1991" t="str">
        <f t="shared" si="31"/>
        <v>SRCRS001.24_39983</v>
      </c>
      <c r="D1991">
        <f>COUNTIF(data.SampSummary!$C$2:$C$1407,C1991)</f>
        <v>0</v>
      </c>
    </row>
    <row r="1992" spans="1:4" x14ac:dyDescent="0.25">
      <c r="A1992" t="s">
        <v>2445</v>
      </c>
      <c r="B1992" s="5">
        <v>39983</v>
      </c>
      <c r="C1992" t="str">
        <f t="shared" si="31"/>
        <v>SRCRS002.25_39983</v>
      </c>
      <c r="D1992">
        <f>COUNTIF(data.SampSummary!$C$2:$C$1407,C1992)</f>
        <v>0</v>
      </c>
    </row>
    <row r="1993" spans="1:4" x14ac:dyDescent="0.25">
      <c r="A1993" t="s">
        <v>304</v>
      </c>
      <c r="B1993" s="5">
        <v>39980</v>
      </c>
      <c r="C1993" t="str">
        <f t="shared" si="31"/>
        <v>VRSPN002.04_39980</v>
      </c>
      <c r="D1993">
        <f>COUNTIF(data.SampSummary!$C$2:$C$1407,C1993)</f>
        <v>0</v>
      </c>
    </row>
    <row r="1994" spans="1:4" x14ac:dyDescent="0.25">
      <c r="A1994" t="s">
        <v>2940</v>
      </c>
      <c r="B1994" s="5">
        <v>39980</v>
      </c>
      <c r="C1994" t="str">
        <f t="shared" si="31"/>
        <v>VROAK043.79_39980</v>
      </c>
      <c r="D1994">
        <f>COUNTIF(data.SampSummary!$C$2:$C$1407,C1994)</f>
        <v>0</v>
      </c>
    </row>
    <row r="1995" spans="1:4" x14ac:dyDescent="0.25">
      <c r="A1995" t="s">
        <v>2946</v>
      </c>
      <c r="B1995" s="5">
        <v>39980</v>
      </c>
      <c r="C1995" t="str">
        <f t="shared" si="31"/>
        <v>VROAK035.79_39980</v>
      </c>
      <c r="D1995">
        <f>COUNTIF(data.SampSummary!$C$2:$C$1407,C1995)</f>
        <v>0</v>
      </c>
    </row>
    <row r="1996" spans="1:4" x14ac:dyDescent="0.25">
      <c r="A1996" t="s">
        <v>2963</v>
      </c>
      <c r="B1996" s="5">
        <v>39980</v>
      </c>
      <c r="C1996" t="str">
        <f t="shared" si="31"/>
        <v>VRWOK000.10_39980</v>
      </c>
      <c r="D1996">
        <f>COUNTIF(data.SampSummary!$C$2:$C$1407,C1996)</f>
        <v>0</v>
      </c>
    </row>
    <row r="1997" spans="1:4" x14ac:dyDescent="0.25">
      <c r="A1997" t="s">
        <v>2966</v>
      </c>
      <c r="B1997" s="5">
        <v>39980</v>
      </c>
      <c r="C1997" t="str">
        <f t="shared" si="31"/>
        <v>VROAK038.67_39980</v>
      </c>
      <c r="D1997">
        <f>COUNTIF(data.SampSummary!$C$2:$C$1407,C1997)</f>
        <v>0</v>
      </c>
    </row>
    <row r="1998" spans="1:4" x14ac:dyDescent="0.25">
      <c r="A1998" t="s">
        <v>2698</v>
      </c>
      <c r="B1998" s="5">
        <v>41891</v>
      </c>
      <c r="C1998" t="str">
        <f t="shared" si="31"/>
        <v>SRTON055.09_41891</v>
      </c>
      <c r="D1998">
        <f>COUNTIF(data.SampSummary!$C$2:$C$1407,C1998)</f>
        <v>0</v>
      </c>
    </row>
    <row r="1999" spans="1:4" x14ac:dyDescent="0.25">
      <c r="A1999" t="s">
        <v>2927</v>
      </c>
      <c r="B1999" s="5">
        <v>41891</v>
      </c>
      <c r="C1999" t="str">
        <f t="shared" si="31"/>
        <v>SRTON056.59_41891</v>
      </c>
      <c r="D1999">
        <f>COUNTIF(data.SampSummary!$C$2:$C$1407,C1999)</f>
        <v>0</v>
      </c>
    </row>
    <row r="2000" spans="1:4" x14ac:dyDescent="0.25">
      <c r="A2000" t="s">
        <v>2203</v>
      </c>
      <c r="B2000" s="5">
        <v>39932</v>
      </c>
      <c r="C2000" t="str">
        <f t="shared" si="31"/>
        <v>SRTON062.89_39932</v>
      </c>
      <c r="D2000">
        <f>COUNTIF(data.SampSummary!$C$2:$C$1407,C2000)</f>
        <v>0</v>
      </c>
    </row>
    <row r="2001" spans="1:4" x14ac:dyDescent="0.25">
      <c r="A2001" t="s">
        <v>2953</v>
      </c>
      <c r="B2001" s="5">
        <v>39932</v>
      </c>
      <c r="C2001" t="str">
        <f t="shared" si="31"/>
        <v>SRCRS001.24_39932</v>
      </c>
      <c r="D2001">
        <f>COUNTIF(data.SampSummary!$C$2:$C$1407,C2001)</f>
        <v>0</v>
      </c>
    </row>
    <row r="2002" spans="1:4" x14ac:dyDescent="0.25">
      <c r="A2002" t="s">
        <v>197</v>
      </c>
      <c r="B2002" s="5">
        <v>39932</v>
      </c>
      <c r="C2002" t="str">
        <f t="shared" si="31"/>
        <v>SRTON053.87_39932</v>
      </c>
      <c r="D2002">
        <f>COUNTIF(data.SampSummary!$C$2:$C$1407,C2002)</f>
        <v>0</v>
      </c>
    </row>
    <row r="2003" spans="1:4" x14ac:dyDescent="0.25">
      <c r="A2003" t="s">
        <v>2698</v>
      </c>
      <c r="B2003" s="5">
        <v>39932</v>
      </c>
      <c r="C2003" t="str">
        <f t="shared" si="31"/>
        <v>SRTON055.09_39932</v>
      </c>
      <c r="D2003">
        <f>COUNTIF(data.SampSummary!$C$2:$C$1407,C2003)</f>
        <v>0</v>
      </c>
    </row>
    <row r="2004" spans="1:4" x14ac:dyDescent="0.25">
      <c r="A2004" t="s">
        <v>2953</v>
      </c>
      <c r="B2004" s="5">
        <v>41856</v>
      </c>
      <c r="C2004" t="str">
        <f t="shared" si="31"/>
        <v>SRCRS001.24_41856</v>
      </c>
      <c r="D2004">
        <f>COUNTIF(data.SampSummary!$C$2:$C$1407,C2004)</f>
        <v>0</v>
      </c>
    </row>
    <row r="2005" spans="1:4" x14ac:dyDescent="0.25">
      <c r="A2005" t="s">
        <v>51</v>
      </c>
      <c r="B2005" s="5">
        <v>40827</v>
      </c>
      <c r="C2005" t="str">
        <f t="shared" si="31"/>
        <v>SRTON061.37_40827</v>
      </c>
      <c r="D2005">
        <f>COUNTIF(data.SampSummary!$C$2:$C$1407,C2005)</f>
        <v>0</v>
      </c>
    </row>
    <row r="2006" spans="1:4" x14ac:dyDescent="0.25">
      <c r="A2006" t="s">
        <v>17</v>
      </c>
      <c r="B2006" s="5">
        <v>40827</v>
      </c>
      <c r="C2006" t="str">
        <f t="shared" si="31"/>
        <v>SRTON062.28_40827</v>
      </c>
      <c r="D2006">
        <f>COUNTIF(data.SampSummary!$C$2:$C$1407,C2006)</f>
        <v>0</v>
      </c>
    </row>
    <row r="2007" spans="1:4" x14ac:dyDescent="0.25">
      <c r="A2007" t="s">
        <v>2960</v>
      </c>
      <c r="B2007" s="5">
        <v>39897</v>
      </c>
      <c r="C2007" t="str">
        <f t="shared" si="31"/>
        <v>LCNUT026.83_39897</v>
      </c>
      <c r="D2007">
        <f>COUNTIF(data.SampSummary!$C$2:$C$1407,C2007)</f>
        <v>0</v>
      </c>
    </row>
    <row r="2008" spans="1:4" x14ac:dyDescent="0.25">
      <c r="A2008" t="s">
        <v>2817</v>
      </c>
      <c r="B2008" s="5">
        <v>39897</v>
      </c>
      <c r="C2008" t="str">
        <f t="shared" si="31"/>
        <v>LCLCR346.01_39897</v>
      </c>
      <c r="D2008">
        <f>COUNTIF(data.SampSummary!$C$2:$C$1407,C2008)</f>
        <v>0</v>
      </c>
    </row>
    <row r="2009" spans="1:4" x14ac:dyDescent="0.25">
      <c r="A2009" t="s">
        <v>68</v>
      </c>
      <c r="B2009" s="5">
        <v>39897</v>
      </c>
      <c r="C2009" t="str">
        <f t="shared" si="31"/>
        <v>LCSLR001.42_39897</v>
      </c>
      <c r="D2009">
        <f>COUNTIF(data.SampSummary!$C$2:$C$1407,C2009)</f>
        <v>0</v>
      </c>
    </row>
    <row r="2010" spans="1:4" x14ac:dyDescent="0.25">
      <c r="A2010" t="s">
        <v>104</v>
      </c>
      <c r="B2010" s="5">
        <v>39897</v>
      </c>
      <c r="C2010" t="str">
        <f t="shared" si="31"/>
        <v>LCWLR000.92_39897</v>
      </c>
      <c r="D2010">
        <f>COUNTIF(data.SampSummary!$C$2:$C$1407,C2010)</f>
        <v>0</v>
      </c>
    </row>
    <row r="2011" spans="1:4" x14ac:dyDescent="0.25">
      <c r="A2011" t="s">
        <v>170</v>
      </c>
      <c r="B2011" s="5">
        <v>40793</v>
      </c>
      <c r="C2011" t="str">
        <f t="shared" si="31"/>
        <v>SRTON058.63_40793</v>
      </c>
      <c r="D2011">
        <f>COUNTIF(data.SampSummary!$C$2:$C$1407,C2011)</f>
        <v>0</v>
      </c>
    </row>
    <row r="2012" spans="1:4" x14ac:dyDescent="0.25">
      <c r="A2012" t="s">
        <v>2958</v>
      </c>
      <c r="B2012" s="5">
        <v>40793</v>
      </c>
      <c r="C2012" t="str">
        <f t="shared" si="31"/>
        <v>SRTON060.28_40793</v>
      </c>
      <c r="D2012">
        <f>COUNTIF(data.SampSummary!$C$2:$C$1407,C2012)</f>
        <v>0</v>
      </c>
    </row>
    <row r="2013" spans="1:4" x14ac:dyDescent="0.25">
      <c r="A2013" t="s">
        <v>2901</v>
      </c>
      <c r="B2013" s="5">
        <v>39896</v>
      </c>
      <c r="C2013" t="str">
        <f t="shared" si="31"/>
        <v>LCLCR340.65_39896</v>
      </c>
      <c r="D2013">
        <f>COUNTIF(data.SampSummary!$C$2:$C$1407,C2013)</f>
        <v>0</v>
      </c>
    </row>
    <row r="2014" spans="1:4" x14ac:dyDescent="0.25">
      <c r="A2014" t="s">
        <v>2886</v>
      </c>
      <c r="B2014" s="5">
        <v>39896</v>
      </c>
      <c r="C2014" t="str">
        <f t="shared" si="31"/>
        <v>LCNUT013.33_39896</v>
      </c>
      <c r="D2014">
        <f>COUNTIF(data.SampSummary!$C$2:$C$1407,C2014)</f>
        <v>0</v>
      </c>
    </row>
    <row r="2015" spans="1:4" x14ac:dyDescent="0.25">
      <c r="A2015" t="s">
        <v>197</v>
      </c>
      <c r="B2015" s="5">
        <v>39891</v>
      </c>
      <c r="C2015" t="str">
        <f t="shared" si="31"/>
        <v>SRTON053.87_39891</v>
      </c>
      <c r="D2015">
        <f>COUNTIF(data.SampSummary!$C$2:$C$1407,C2015)</f>
        <v>0</v>
      </c>
    </row>
    <row r="2016" spans="1:4" x14ac:dyDescent="0.25">
      <c r="A2016" t="s">
        <v>2954</v>
      </c>
      <c r="B2016" s="5">
        <v>39891</v>
      </c>
      <c r="C2016" t="str">
        <f t="shared" si="31"/>
        <v>SRTON057.70_39891</v>
      </c>
      <c r="D2016">
        <f>COUNTIF(data.SampSummary!$C$2:$C$1407,C2016)</f>
        <v>0</v>
      </c>
    </row>
    <row r="2017" spans="1:4" x14ac:dyDescent="0.25">
      <c r="A2017" t="s">
        <v>2203</v>
      </c>
      <c r="B2017" s="5">
        <v>39891</v>
      </c>
      <c r="C2017" t="str">
        <f t="shared" si="31"/>
        <v>SRTON062.89_39891</v>
      </c>
      <c r="D2017">
        <f>COUNTIF(data.SampSummary!$C$2:$C$1407,C2017)</f>
        <v>0</v>
      </c>
    </row>
    <row r="2018" spans="1:4" x14ac:dyDescent="0.25">
      <c r="A2018" t="s">
        <v>2967</v>
      </c>
      <c r="B2018" s="5">
        <v>39800</v>
      </c>
      <c r="C2018" t="str">
        <f t="shared" si="31"/>
        <v>VROAK017.30_39800</v>
      </c>
      <c r="D2018">
        <f>COUNTIF(data.SampSummary!$C$2:$C$1407,C2018)</f>
        <v>0</v>
      </c>
    </row>
    <row r="2019" spans="1:4" x14ac:dyDescent="0.25">
      <c r="A2019" t="s">
        <v>2946</v>
      </c>
      <c r="B2019" s="5">
        <v>39800</v>
      </c>
      <c r="C2019" t="str">
        <f t="shared" si="31"/>
        <v>VROAK035.79_39800</v>
      </c>
      <c r="D2019">
        <f>COUNTIF(data.SampSummary!$C$2:$C$1407,C2019)</f>
        <v>0</v>
      </c>
    </row>
    <row r="2020" spans="1:4" x14ac:dyDescent="0.25">
      <c r="A2020" t="s">
        <v>2940</v>
      </c>
      <c r="B2020" s="5">
        <v>39800</v>
      </c>
      <c r="C2020" t="str">
        <f t="shared" si="31"/>
        <v>VROAK043.79_39800</v>
      </c>
      <c r="D2020">
        <f>COUNTIF(data.SampSummary!$C$2:$C$1407,C2020)</f>
        <v>0</v>
      </c>
    </row>
    <row r="2021" spans="1:4" x14ac:dyDescent="0.25">
      <c r="A2021" t="s">
        <v>304</v>
      </c>
      <c r="B2021" s="5">
        <v>39800</v>
      </c>
      <c r="C2021" t="str">
        <f t="shared" si="31"/>
        <v>VRSPN002.04_39800</v>
      </c>
      <c r="D2021">
        <f>COUNTIF(data.SampSummary!$C$2:$C$1407,C2021)</f>
        <v>0</v>
      </c>
    </row>
    <row r="2022" spans="1:4" x14ac:dyDescent="0.25">
      <c r="A2022" t="s">
        <v>2943</v>
      </c>
      <c r="B2022" s="5">
        <v>39800</v>
      </c>
      <c r="C2022" t="str">
        <f t="shared" si="31"/>
        <v>VROAK041.69_39800</v>
      </c>
      <c r="D2022">
        <f>COUNTIF(data.SampSummary!$C$2:$C$1407,C2022)</f>
        <v>0</v>
      </c>
    </row>
    <row r="2023" spans="1:4" x14ac:dyDescent="0.25">
      <c r="A2023" t="s">
        <v>81</v>
      </c>
      <c r="B2023" s="5">
        <v>39799</v>
      </c>
      <c r="C2023" t="str">
        <f t="shared" si="31"/>
        <v>SPCRC013.37_39799</v>
      </c>
      <c r="D2023">
        <f>COUNTIF(data.SampSummary!$C$2:$C$1407,C2023)</f>
        <v>1</v>
      </c>
    </row>
    <row r="2024" spans="1:4" x14ac:dyDescent="0.25">
      <c r="A2024" t="s">
        <v>69</v>
      </c>
      <c r="B2024" s="5">
        <v>39770</v>
      </c>
      <c r="C2024" t="str">
        <f t="shared" si="31"/>
        <v>SRWRK007.97_39770</v>
      </c>
      <c r="D2024">
        <f>COUNTIF(data.SampSummary!$C$2:$C$1407,C2024)</f>
        <v>1</v>
      </c>
    </row>
    <row r="2025" spans="1:4" x14ac:dyDescent="0.25">
      <c r="A2025" t="s">
        <v>347</v>
      </c>
      <c r="B2025" s="5">
        <v>39770</v>
      </c>
      <c r="C2025" t="str">
        <f t="shared" si="31"/>
        <v>SRCGN009.78_39770</v>
      </c>
      <c r="D2025">
        <f>COUNTIF(data.SampSummary!$C$2:$C$1407,C2025)</f>
        <v>1</v>
      </c>
    </row>
    <row r="2026" spans="1:4" x14ac:dyDescent="0.25">
      <c r="A2026" t="s">
        <v>182</v>
      </c>
      <c r="B2026" s="5">
        <v>39765</v>
      </c>
      <c r="C2026" t="str">
        <f t="shared" si="31"/>
        <v>VRBON002.71_39765</v>
      </c>
      <c r="D2026">
        <f>COUNTIF(data.SampSummary!$C$2:$C$1407,C2026)</f>
        <v>0</v>
      </c>
    </row>
    <row r="2027" spans="1:4" x14ac:dyDescent="0.25">
      <c r="A2027" t="s">
        <v>37</v>
      </c>
      <c r="B2027" s="5">
        <v>39757</v>
      </c>
      <c r="C2027" t="str">
        <f t="shared" si="31"/>
        <v>VRWOK000.82_39757</v>
      </c>
      <c r="D2027">
        <f>COUNTIF(data.SampSummary!$C$2:$C$1407,C2027)</f>
        <v>1</v>
      </c>
    </row>
    <row r="2028" spans="1:4" x14ac:dyDescent="0.25">
      <c r="A2028" t="s">
        <v>319</v>
      </c>
      <c r="B2028" s="5">
        <v>39756</v>
      </c>
      <c r="C2028" t="str">
        <f t="shared" si="31"/>
        <v>VRSYW000.77_39756</v>
      </c>
      <c r="D2028">
        <f>COUNTIF(data.SampSummary!$C$2:$C$1407,C2028)</f>
        <v>0</v>
      </c>
    </row>
    <row r="2029" spans="1:4" x14ac:dyDescent="0.25">
      <c r="A2029" t="s">
        <v>220</v>
      </c>
      <c r="B2029" s="5">
        <v>39721</v>
      </c>
      <c r="C2029" t="str">
        <f t="shared" si="31"/>
        <v>SRWPN004.47_39721</v>
      </c>
      <c r="D2029">
        <f>COUNTIF(data.SampSummary!$C$2:$C$1407,C2029)</f>
        <v>1</v>
      </c>
    </row>
    <row r="2030" spans="1:4" x14ac:dyDescent="0.25">
      <c r="A2030" t="s">
        <v>2813</v>
      </c>
      <c r="B2030" s="5">
        <v>39712</v>
      </c>
      <c r="C2030" t="str">
        <f t="shared" si="31"/>
        <v>LCWAN002.19_39712</v>
      </c>
      <c r="D2030">
        <f>COUNTIF(data.SampSummary!$C$2:$C$1407,C2030)</f>
        <v>0</v>
      </c>
    </row>
    <row r="2031" spans="1:4" x14ac:dyDescent="0.25">
      <c r="A2031" t="s">
        <v>2932</v>
      </c>
      <c r="B2031" s="5">
        <v>39712</v>
      </c>
      <c r="C2031" t="str">
        <f t="shared" si="31"/>
        <v>LCWAN002.60_39712</v>
      </c>
      <c r="D2031">
        <f>COUNTIF(data.SampSummary!$C$2:$C$1407,C2031)</f>
        <v>0</v>
      </c>
    </row>
    <row r="2032" spans="1:4" x14ac:dyDescent="0.25">
      <c r="A2032" t="s">
        <v>2934</v>
      </c>
      <c r="B2032" s="5">
        <v>39712</v>
      </c>
      <c r="C2032" t="str">
        <f t="shared" si="31"/>
        <v>LCWAN004.71_39712</v>
      </c>
      <c r="D2032">
        <f>COUNTIF(data.SampSummary!$C$2:$C$1407,C2032)</f>
        <v>0</v>
      </c>
    </row>
    <row r="2033" spans="1:4" x14ac:dyDescent="0.25">
      <c r="A2033" t="s">
        <v>2933</v>
      </c>
      <c r="B2033" s="5">
        <v>39712</v>
      </c>
      <c r="C2033" t="str">
        <f t="shared" si="31"/>
        <v>LCBIL005.75_39712</v>
      </c>
      <c r="D2033">
        <f>COUNTIF(data.SampSummary!$C$2:$C$1407,C2033)</f>
        <v>0</v>
      </c>
    </row>
    <row r="2034" spans="1:4" x14ac:dyDescent="0.25">
      <c r="A2034" t="s">
        <v>2928</v>
      </c>
      <c r="B2034" s="5">
        <v>39695</v>
      </c>
      <c r="C2034" t="str">
        <f t="shared" si="31"/>
        <v>SRCRS006.20_39695</v>
      </c>
      <c r="D2034">
        <f>COUNTIF(data.SampSummary!$C$2:$C$1407,C2034)</f>
        <v>0</v>
      </c>
    </row>
    <row r="2035" spans="1:4" x14ac:dyDescent="0.25">
      <c r="A2035" t="s">
        <v>2954</v>
      </c>
      <c r="B2035" s="5">
        <v>39695</v>
      </c>
      <c r="C2035" t="str">
        <f t="shared" si="31"/>
        <v>SRTON057.70_39695</v>
      </c>
      <c r="D2035">
        <f>COUNTIF(data.SampSummary!$C$2:$C$1407,C2035)</f>
        <v>0</v>
      </c>
    </row>
    <row r="2036" spans="1:4" x14ac:dyDescent="0.25">
      <c r="A2036" t="s">
        <v>170</v>
      </c>
      <c r="B2036" s="5">
        <v>39695</v>
      </c>
      <c r="C2036" t="str">
        <f t="shared" si="31"/>
        <v>SRTON058.63_39695</v>
      </c>
      <c r="D2036">
        <f>COUNTIF(data.SampSummary!$C$2:$C$1407,C2036)</f>
        <v>0</v>
      </c>
    </row>
    <row r="2037" spans="1:4" x14ac:dyDescent="0.25">
      <c r="A2037" t="s">
        <v>2958</v>
      </c>
      <c r="B2037" s="5">
        <v>39695</v>
      </c>
      <c r="C2037" t="str">
        <f t="shared" si="31"/>
        <v>SRTON060.28_39695</v>
      </c>
      <c r="D2037">
        <f>COUNTIF(data.SampSummary!$C$2:$C$1407,C2037)</f>
        <v>0</v>
      </c>
    </row>
    <row r="2038" spans="1:4" x14ac:dyDescent="0.25">
      <c r="A2038" t="s">
        <v>51</v>
      </c>
      <c r="B2038" s="5">
        <v>39695</v>
      </c>
      <c r="C2038" t="str">
        <f t="shared" si="31"/>
        <v>SRTON061.37_39695</v>
      </c>
      <c r="D2038">
        <f>COUNTIF(data.SampSummary!$C$2:$C$1407,C2038)</f>
        <v>0</v>
      </c>
    </row>
    <row r="2039" spans="1:4" x14ac:dyDescent="0.25">
      <c r="A2039" t="s">
        <v>17</v>
      </c>
      <c r="B2039" s="5">
        <v>39695</v>
      </c>
      <c r="C2039" t="str">
        <f t="shared" si="31"/>
        <v>SRTON062.28_39695</v>
      </c>
      <c r="D2039">
        <f>COUNTIF(data.SampSummary!$C$2:$C$1407,C2039)</f>
        <v>0</v>
      </c>
    </row>
    <row r="2040" spans="1:4" x14ac:dyDescent="0.25">
      <c r="A2040" t="s">
        <v>2203</v>
      </c>
      <c r="B2040" s="5">
        <v>39695</v>
      </c>
      <c r="C2040" t="str">
        <f t="shared" si="31"/>
        <v>SRTON062.89_39695</v>
      </c>
      <c r="D2040">
        <f>COUNTIF(data.SampSummary!$C$2:$C$1407,C2040)</f>
        <v>0</v>
      </c>
    </row>
    <row r="2041" spans="1:4" x14ac:dyDescent="0.25">
      <c r="A2041" t="s">
        <v>2927</v>
      </c>
      <c r="B2041" s="5">
        <v>39694</v>
      </c>
      <c r="C2041" t="str">
        <f t="shared" si="31"/>
        <v>SRTON056.59_39694</v>
      </c>
      <c r="D2041">
        <f>COUNTIF(data.SampSummary!$C$2:$C$1407,C2041)</f>
        <v>0</v>
      </c>
    </row>
    <row r="2042" spans="1:4" x14ac:dyDescent="0.25">
      <c r="A2042" t="s">
        <v>2929</v>
      </c>
      <c r="B2042" s="5">
        <v>39694</v>
      </c>
      <c r="C2042" t="str">
        <f t="shared" si="31"/>
        <v>SRCRS000.08_39694</v>
      </c>
      <c r="D2042">
        <f>COUNTIF(data.SampSummary!$C$2:$C$1407,C2042)</f>
        <v>0</v>
      </c>
    </row>
    <row r="2043" spans="1:4" x14ac:dyDescent="0.25">
      <c r="A2043" t="s">
        <v>2953</v>
      </c>
      <c r="B2043" s="5">
        <v>39694</v>
      </c>
      <c r="C2043" t="str">
        <f t="shared" si="31"/>
        <v>SRCRS001.24_39694</v>
      </c>
      <c r="D2043">
        <f>COUNTIF(data.SampSummary!$C$2:$C$1407,C2043)</f>
        <v>0</v>
      </c>
    </row>
    <row r="2044" spans="1:4" x14ac:dyDescent="0.25">
      <c r="A2044" t="s">
        <v>2950</v>
      </c>
      <c r="B2044" s="5">
        <v>39694</v>
      </c>
      <c r="C2044" t="str">
        <f t="shared" si="31"/>
        <v>SRCRS001.74_39694</v>
      </c>
      <c r="D2044">
        <f>COUNTIF(data.SampSummary!$C$2:$C$1407,C2044)</f>
        <v>0</v>
      </c>
    </row>
    <row r="2045" spans="1:4" x14ac:dyDescent="0.25">
      <c r="A2045" t="s">
        <v>2445</v>
      </c>
      <c r="B2045" s="5">
        <v>39694</v>
      </c>
      <c r="C2045" t="str">
        <f t="shared" si="31"/>
        <v>SRCRS002.25_39694</v>
      </c>
      <c r="D2045">
        <f>COUNTIF(data.SampSummary!$C$2:$C$1407,C2045)</f>
        <v>0</v>
      </c>
    </row>
    <row r="2046" spans="1:4" x14ac:dyDescent="0.25">
      <c r="A2046" t="s">
        <v>2968</v>
      </c>
      <c r="B2046" s="5">
        <v>39694</v>
      </c>
      <c r="C2046" t="str">
        <f t="shared" si="31"/>
        <v>SRTON031.72_39694</v>
      </c>
      <c r="D2046">
        <f>COUNTIF(data.SampSummary!$C$2:$C$1407,C2046)</f>
        <v>0</v>
      </c>
    </row>
    <row r="2047" spans="1:4" x14ac:dyDescent="0.25">
      <c r="A2047" t="s">
        <v>2928</v>
      </c>
      <c r="B2047" s="5">
        <v>39673</v>
      </c>
      <c r="C2047" t="str">
        <f t="shared" si="31"/>
        <v>SRCRS006.20_39673</v>
      </c>
      <c r="D2047">
        <f>COUNTIF(data.SampSummary!$C$2:$C$1407,C2047)</f>
        <v>0</v>
      </c>
    </row>
    <row r="2048" spans="1:4" x14ac:dyDescent="0.25">
      <c r="A2048" t="s">
        <v>2954</v>
      </c>
      <c r="B2048" s="5">
        <v>39673</v>
      </c>
      <c r="C2048" t="str">
        <f t="shared" si="31"/>
        <v>SRTON057.70_39673</v>
      </c>
      <c r="D2048">
        <f>COUNTIF(data.SampSummary!$C$2:$C$1407,C2048)</f>
        <v>0</v>
      </c>
    </row>
    <row r="2049" spans="1:4" x14ac:dyDescent="0.25">
      <c r="A2049" t="s">
        <v>170</v>
      </c>
      <c r="B2049" s="5">
        <v>39673</v>
      </c>
      <c r="C2049" t="str">
        <f t="shared" si="31"/>
        <v>SRTON058.63_39673</v>
      </c>
      <c r="D2049">
        <f>COUNTIF(data.SampSummary!$C$2:$C$1407,C2049)</f>
        <v>0</v>
      </c>
    </row>
    <row r="2050" spans="1:4" x14ac:dyDescent="0.25">
      <c r="A2050" t="s">
        <v>2958</v>
      </c>
      <c r="B2050" s="5">
        <v>39673</v>
      </c>
      <c r="C2050" t="str">
        <f t="shared" si="31"/>
        <v>SRTON060.28_39673</v>
      </c>
      <c r="D2050">
        <f>COUNTIF(data.SampSummary!$C$2:$C$1407,C2050)</f>
        <v>0</v>
      </c>
    </row>
    <row r="2051" spans="1:4" x14ac:dyDescent="0.25">
      <c r="A2051" t="s">
        <v>51</v>
      </c>
      <c r="B2051" s="5">
        <v>39673</v>
      </c>
      <c r="C2051" t="str">
        <f t="shared" ref="C2051:C2114" si="32">A2051&amp;"_"&amp;B2051</f>
        <v>SRTON061.37_39673</v>
      </c>
      <c r="D2051">
        <f>COUNTIF(data.SampSummary!$C$2:$C$1407,C2051)</f>
        <v>0</v>
      </c>
    </row>
    <row r="2052" spans="1:4" x14ac:dyDescent="0.25">
      <c r="A2052" t="s">
        <v>17</v>
      </c>
      <c r="B2052" s="5">
        <v>39673</v>
      </c>
      <c r="C2052" t="str">
        <f t="shared" si="32"/>
        <v>SRTON062.28_39673</v>
      </c>
      <c r="D2052">
        <f>COUNTIF(data.SampSummary!$C$2:$C$1407,C2052)</f>
        <v>0</v>
      </c>
    </row>
    <row r="2053" spans="1:4" x14ac:dyDescent="0.25">
      <c r="A2053" t="s">
        <v>197</v>
      </c>
      <c r="B2053" s="5">
        <v>39672</v>
      </c>
      <c r="C2053" t="str">
        <f t="shared" si="32"/>
        <v>SRTON053.87_39672</v>
      </c>
      <c r="D2053">
        <f>COUNTIF(data.SampSummary!$C$2:$C$1407,C2053)</f>
        <v>0</v>
      </c>
    </row>
    <row r="2054" spans="1:4" x14ac:dyDescent="0.25">
      <c r="A2054" t="s">
        <v>2929</v>
      </c>
      <c r="B2054" s="5">
        <v>39672</v>
      </c>
      <c r="C2054" t="str">
        <f t="shared" si="32"/>
        <v>SRCRS000.08_39672</v>
      </c>
      <c r="D2054">
        <f>COUNTIF(data.SampSummary!$C$2:$C$1407,C2054)</f>
        <v>0</v>
      </c>
    </row>
    <row r="2055" spans="1:4" x14ac:dyDescent="0.25">
      <c r="A2055" t="s">
        <v>2953</v>
      </c>
      <c r="B2055" s="5">
        <v>39672</v>
      </c>
      <c r="C2055" t="str">
        <f t="shared" si="32"/>
        <v>SRCRS001.24_39672</v>
      </c>
      <c r="D2055">
        <f>COUNTIF(data.SampSummary!$C$2:$C$1407,C2055)</f>
        <v>0</v>
      </c>
    </row>
    <row r="2056" spans="1:4" x14ac:dyDescent="0.25">
      <c r="A2056" t="s">
        <v>2950</v>
      </c>
      <c r="B2056" s="5">
        <v>39672</v>
      </c>
      <c r="C2056" t="str">
        <f t="shared" si="32"/>
        <v>SRCRS001.74_39672</v>
      </c>
      <c r="D2056">
        <f>COUNTIF(data.SampSummary!$C$2:$C$1407,C2056)</f>
        <v>0</v>
      </c>
    </row>
    <row r="2057" spans="1:4" x14ac:dyDescent="0.25">
      <c r="A2057" t="s">
        <v>2445</v>
      </c>
      <c r="B2057" s="5">
        <v>39672</v>
      </c>
      <c r="C2057" t="str">
        <f t="shared" si="32"/>
        <v>SRCRS002.25_39672</v>
      </c>
      <c r="D2057">
        <f>COUNTIF(data.SampSummary!$C$2:$C$1407,C2057)</f>
        <v>0</v>
      </c>
    </row>
    <row r="2058" spans="1:4" x14ac:dyDescent="0.25">
      <c r="A2058" t="s">
        <v>197</v>
      </c>
      <c r="B2058" s="5">
        <v>41409</v>
      </c>
      <c r="C2058" t="str">
        <f t="shared" si="32"/>
        <v>SRTON053.87_41409</v>
      </c>
      <c r="D2058">
        <f>COUNTIF(data.SampSummary!$C$2:$C$1407,C2058)</f>
        <v>0</v>
      </c>
    </row>
    <row r="2059" spans="1:4" x14ac:dyDescent="0.25">
      <c r="A2059" t="s">
        <v>2954</v>
      </c>
      <c r="B2059" s="5">
        <v>41409</v>
      </c>
      <c r="C2059" t="str">
        <f t="shared" si="32"/>
        <v>SRTON057.70_41409</v>
      </c>
      <c r="D2059">
        <f>COUNTIF(data.SampSummary!$C$2:$C$1407,C2059)</f>
        <v>0</v>
      </c>
    </row>
    <row r="2060" spans="1:4" x14ac:dyDescent="0.25">
      <c r="A2060" t="s">
        <v>51</v>
      </c>
      <c r="B2060" s="5">
        <v>41410</v>
      </c>
      <c r="C2060" t="str">
        <f t="shared" si="32"/>
        <v>SRTON061.37_41410</v>
      </c>
      <c r="D2060">
        <f>COUNTIF(data.SampSummary!$C$2:$C$1407,C2060)</f>
        <v>0</v>
      </c>
    </row>
    <row r="2061" spans="1:4" x14ac:dyDescent="0.25">
      <c r="A2061" t="s">
        <v>17</v>
      </c>
      <c r="B2061" s="5">
        <v>41410</v>
      </c>
      <c r="C2061" t="str">
        <f t="shared" si="32"/>
        <v>SRTON062.28_41410</v>
      </c>
      <c r="D2061">
        <f>COUNTIF(data.SampSummary!$C$2:$C$1407,C2061)</f>
        <v>0</v>
      </c>
    </row>
    <row r="2062" spans="1:4" x14ac:dyDescent="0.25">
      <c r="A2062" t="s">
        <v>2929</v>
      </c>
      <c r="B2062" s="5">
        <v>41422</v>
      </c>
      <c r="C2062" t="str">
        <f t="shared" si="32"/>
        <v>SRCRS000.08_41422</v>
      </c>
      <c r="D2062">
        <f>COUNTIF(data.SampSummary!$C$2:$C$1407,C2062)</f>
        <v>0</v>
      </c>
    </row>
    <row r="2063" spans="1:4" x14ac:dyDescent="0.25">
      <c r="A2063" t="s">
        <v>2445</v>
      </c>
      <c r="B2063" s="5">
        <v>41409</v>
      </c>
      <c r="C2063" t="str">
        <f t="shared" si="32"/>
        <v>SRCRS002.25_41409</v>
      </c>
      <c r="D2063">
        <f>COUNTIF(data.SampSummary!$C$2:$C$1407,C2063)</f>
        <v>0</v>
      </c>
    </row>
    <row r="2064" spans="1:4" x14ac:dyDescent="0.25">
      <c r="A2064" t="s">
        <v>2445</v>
      </c>
      <c r="B2064" s="5">
        <v>41422</v>
      </c>
      <c r="C2064" t="str">
        <f t="shared" si="32"/>
        <v>SRCRS002.25_41422</v>
      </c>
      <c r="D2064">
        <f>COUNTIF(data.SampSummary!$C$2:$C$1407,C2064)</f>
        <v>0</v>
      </c>
    </row>
    <row r="2065" spans="1:4" x14ac:dyDescent="0.25">
      <c r="A2065" t="s">
        <v>2936</v>
      </c>
      <c r="B2065" s="5">
        <v>39644</v>
      </c>
      <c r="C2065" t="str">
        <f t="shared" si="32"/>
        <v>LCWAN000.54_39644</v>
      </c>
      <c r="D2065">
        <f>COUNTIF(data.SampSummary!$C$2:$C$1407,C2065)</f>
        <v>0</v>
      </c>
    </row>
    <row r="2066" spans="1:4" x14ac:dyDescent="0.25">
      <c r="A2066" t="s">
        <v>2934</v>
      </c>
      <c r="B2066" s="5">
        <v>39644</v>
      </c>
      <c r="C2066" t="str">
        <f t="shared" si="32"/>
        <v>LCWAN004.71_39644</v>
      </c>
      <c r="D2066">
        <f>COUNTIF(data.SampSummary!$C$2:$C$1407,C2066)</f>
        <v>0</v>
      </c>
    </row>
    <row r="2067" spans="1:4" x14ac:dyDescent="0.25">
      <c r="A2067" t="s">
        <v>2933</v>
      </c>
      <c r="B2067" s="5">
        <v>39644</v>
      </c>
      <c r="C2067" t="str">
        <f t="shared" si="32"/>
        <v>LCBIL005.75_39644</v>
      </c>
      <c r="D2067">
        <f>COUNTIF(data.SampSummary!$C$2:$C$1407,C2067)</f>
        <v>0</v>
      </c>
    </row>
    <row r="2068" spans="1:4" x14ac:dyDescent="0.25">
      <c r="A2068" t="s">
        <v>2932</v>
      </c>
      <c r="B2068" s="5">
        <v>39644</v>
      </c>
      <c r="C2068" t="str">
        <f t="shared" si="32"/>
        <v>LCWAN002.60_39644</v>
      </c>
      <c r="D2068">
        <f>COUNTIF(data.SampSummary!$C$2:$C$1407,C2068)</f>
        <v>0</v>
      </c>
    </row>
    <row r="2069" spans="1:4" x14ac:dyDescent="0.25">
      <c r="A2069" t="s">
        <v>2813</v>
      </c>
      <c r="B2069" s="5">
        <v>39644</v>
      </c>
      <c r="C2069" t="str">
        <f t="shared" si="32"/>
        <v>LCWAN002.19_39644</v>
      </c>
      <c r="D2069">
        <f>COUNTIF(data.SampSummary!$C$2:$C$1407,C2069)</f>
        <v>0</v>
      </c>
    </row>
    <row r="2070" spans="1:4" x14ac:dyDescent="0.25">
      <c r="A2070" t="s">
        <v>2895</v>
      </c>
      <c r="B2070" s="5">
        <v>40619</v>
      </c>
      <c r="C2070" t="str">
        <f t="shared" si="32"/>
        <v>LCLCR336.89_40619</v>
      </c>
      <c r="D2070">
        <f>COUNTIF(data.SampSummary!$C$2:$C$1407,C2070)</f>
        <v>0</v>
      </c>
    </row>
    <row r="2071" spans="1:4" x14ac:dyDescent="0.25">
      <c r="A2071" t="s">
        <v>2969</v>
      </c>
      <c r="B2071" s="5">
        <v>40619</v>
      </c>
      <c r="C2071" t="str">
        <f t="shared" si="32"/>
        <v>LCLCR335.52_40619</v>
      </c>
      <c r="D2071">
        <f>COUNTIF(data.SampSummary!$C$2:$C$1407,C2071)</f>
        <v>0</v>
      </c>
    </row>
    <row r="2072" spans="1:4" x14ac:dyDescent="0.25">
      <c r="A2072" t="s">
        <v>2927</v>
      </c>
      <c r="B2072" s="5">
        <v>41436</v>
      </c>
      <c r="C2072" t="str">
        <f t="shared" si="32"/>
        <v>SRTON056.59_41436</v>
      </c>
      <c r="D2072">
        <f>COUNTIF(data.SampSummary!$C$2:$C$1407,C2072)</f>
        <v>0</v>
      </c>
    </row>
    <row r="2073" spans="1:4" x14ac:dyDescent="0.25">
      <c r="A2073" t="s">
        <v>2928</v>
      </c>
      <c r="B2073" s="5">
        <v>39637</v>
      </c>
      <c r="C2073" t="str">
        <f t="shared" si="32"/>
        <v>SRCRS006.20_39637</v>
      </c>
      <c r="D2073">
        <f>COUNTIF(data.SampSummary!$C$2:$C$1407,C2073)</f>
        <v>0</v>
      </c>
    </row>
    <row r="2074" spans="1:4" x14ac:dyDescent="0.25">
      <c r="A2074" t="s">
        <v>2954</v>
      </c>
      <c r="B2074" s="5">
        <v>39637</v>
      </c>
      <c r="C2074" t="str">
        <f t="shared" si="32"/>
        <v>SRTON057.70_39637</v>
      </c>
      <c r="D2074">
        <f>COUNTIF(data.SampSummary!$C$2:$C$1407,C2074)</f>
        <v>0</v>
      </c>
    </row>
    <row r="2075" spans="1:4" x14ac:dyDescent="0.25">
      <c r="A2075" t="s">
        <v>170</v>
      </c>
      <c r="B2075" s="5">
        <v>39637</v>
      </c>
      <c r="C2075" t="str">
        <f t="shared" si="32"/>
        <v>SRTON058.63_39637</v>
      </c>
      <c r="D2075">
        <f>COUNTIF(data.SampSummary!$C$2:$C$1407,C2075)</f>
        <v>0</v>
      </c>
    </row>
    <row r="2076" spans="1:4" x14ac:dyDescent="0.25">
      <c r="A2076" t="s">
        <v>2958</v>
      </c>
      <c r="B2076" s="5">
        <v>39637</v>
      </c>
      <c r="C2076" t="str">
        <f t="shared" si="32"/>
        <v>SRTON060.28_39637</v>
      </c>
      <c r="D2076">
        <f>COUNTIF(data.SampSummary!$C$2:$C$1407,C2076)</f>
        <v>0</v>
      </c>
    </row>
    <row r="2077" spans="1:4" x14ac:dyDescent="0.25">
      <c r="A2077" t="s">
        <v>51</v>
      </c>
      <c r="B2077" s="5">
        <v>39637</v>
      </c>
      <c r="C2077" t="str">
        <f t="shared" si="32"/>
        <v>SRTON061.37_39637</v>
      </c>
      <c r="D2077">
        <f>COUNTIF(data.SampSummary!$C$2:$C$1407,C2077)</f>
        <v>0</v>
      </c>
    </row>
    <row r="2078" spans="1:4" x14ac:dyDescent="0.25">
      <c r="A2078" t="s">
        <v>197</v>
      </c>
      <c r="B2078" s="5">
        <v>39636</v>
      </c>
      <c r="C2078" t="str">
        <f t="shared" si="32"/>
        <v>SRTON053.87_39636</v>
      </c>
      <c r="D2078">
        <f>COUNTIF(data.SampSummary!$C$2:$C$1407,C2078)</f>
        <v>0</v>
      </c>
    </row>
    <row r="2079" spans="1:4" x14ac:dyDescent="0.25">
      <c r="A2079" t="s">
        <v>2698</v>
      </c>
      <c r="B2079" s="5">
        <v>39636</v>
      </c>
      <c r="C2079" t="str">
        <f t="shared" si="32"/>
        <v>SRTON055.09_39636</v>
      </c>
      <c r="D2079">
        <f>COUNTIF(data.SampSummary!$C$2:$C$1407,C2079)</f>
        <v>0</v>
      </c>
    </row>
    <row r="2080" spans="1:4" x14ac:dyDescent="0.25">
      <c r="A2080" t="s">
        <v>2927</v>
      </c>
      <c r="B2080" s="5">
        <v>39636</v>
      </c>
      <c r="C2080" t="str">
        <f t="shared" si="32"/>
        <v>SRTON056.59_39636</v>
      </c>
      <c r="D2080">
        <f>COUNTIF(data.SampSummary!$C$2:$C$1407,C2080)</f>
        <v>0</v>
      </c>
    </row>
    <row r="2081" spans="1:4" x14ac:dyDescent="0.25">
      <c r="A2081" t="s">
        <v>2929</v>
      </c>
      <c r="B2081" s="5">
        <v>39636</v>
      </c>
      <c r="C2081" t="str">
        <f t="shared" si="32"/>
        <v>SRCRS000.08_39636</v>
      </c>
      <c r="D2081">
        <f>COUNTIF(data.SampSummary!$C$2:$C$1407,C2081)</f>
        <v>0</v>
      </c>
    </row>
    <row r="2082" spans="1:4" x14ac:dyDescent="0.25">
      <c r="A2082" t="s">
        <v>2953</v>
      </c>
      <c r="B2082" s="5">
        <v>39636</v>
      </c>
      <c r="C2082" t="str">
        <f t="shared" si="32"/>
        <v>SRCRS001.24_39636</v>
      </c>
      <c r="D2082">
        <f>COUNTIF(data.SampSummary!$C$2:$C$1407,C2082)</f>
        <v>0</v>
      </c>
    </row>
    <row r="2083" spans="1:4" x14ac:dyDescent="0.25">
      <c r="A2083" t="s">
        <v>2950</v>
      </c>
      <c r="B2083" s="5">
        <v>39636</v>
      </c>
      <c r="C2083" t="str">
        <f t="shared" si="32"/>
        <v>SRCRS001.74_39636</v>
      </c>
      <c r="D2083">
        <f>COUNTIF(data.SampSummary!$C$2:$C$1407,C2083)</f>
        <v>0</v>
      </c>
    </row>
    <row r="2084" spans="1:4" x14ac:dyDescent="0.25">
      <c r="A2084" t="s">
        <v>2445</v>
      </c>
      <c r="B2084" s="5">
        <v>39636</v>
      </c>
      <c r="C2084" t="str">
        <f t="shared" si="32"/>
        <v>SRCRS002.25_39636</v>
      </c>
      <c r="D2084">
        <f>COUNTIF(data.SampSummary!$C$2:$C$1407,C2084)</f>
        <v>0</v>
      </c>
    </row>
    <row r="2085" spans="1:4" x14ac:dyDescent="0.25">
      <c r="A2085" t="s">
        <v>2927</v>
      </c>
      <c r="B2085" s="5">
        <v>41451</v>
      </c>
      <c r="C2085" t="str">
        <f t="shared" si="32"/>
        <v>SRTON056.59_41451</v>
      </c>
      <c r="D2085">
        <f>COUNTIF(data.SampSummary!$C$2:$C$1407,C2085)</f>
        <v>0</v>
      </c>
    </row>
    <row r="2086" spans="1:4" x14ac:dyDescent="0.25">
      <c r="A2086" t="s">
        <v>2954</v>
      </c>
      <c r="B2086" s="5">
        <v>41452</v>
      </c>
      <c r="C2086" t="str">
        <f t="shared" si="32"/>
        <v>SRTON057.70_41452</v>
      </c>
      <c r="D2086">
        <f>COUNTIF(data.SampSummary!$C$2:$C$1407,C2086)</f>
        <v>0</v>
      </c>
    </row>
    <row r="2087" spans="1:4" x14ac:dyDescent="0.25">
      <c r="A2087" t="s">
        <v>170</v>
      </c>
      <c r="B2087" s="5">
        <v>41452</v>
      </c>
      <c r="C2087" t="str">
        <f t="shared" si="32"/>
        <v>SRTON058.63_41452</v>
      </c>
      <c r="D2087">
        <f>COUNTIF(data.SampSummary!$C$2:$C$1407,C2087)</f>
        <v>0</v>
      </c>
    </row>
    <row r="2088" spans="1:4" x14ac:dyDescent="0.25">
      <c r="A2088" t="s">
        <v>17</v>
      </c>
      <c r="B2088" s="5">
        <v>41452</v>
      </c>
      <c r="C2088" t="str">
        <f t="shared" si="32"/>
        <v>SRTON062.28_41452</v>
      </c>
      <c r="D2088">
        <f>COUNTIF(data.SampSummary!$C$2:$C$1407,C2088)</f>
        <v>0</v>
      </c>
    </row>
    <row r="2089" spans="1:4" x14ac:dyDescent="0.25">
      <c r="A2089" t="s">
        <v>2203</v>
      </c>
      <c r="B2089" s="5">
        <v>41452</v>
      </c>
      <c r="C2089" t="str">
        <f t="shared" si="32"/>
        <v>SRTON062.89_41452</v>
      </c>
      <c r="D2089">
        <f>COUNTIF(data.SampSummary!$C$2:$C$1407,C2089)</f>
        <v>0</v>
      </c>
    </row>
    <row r="2090" spans="1:4" x14ac:dyDescent="0.25">
      <c r="A2090" t="s">
        <v>2953</v>
      </c>
      <c r="B2090" s="5">
        <v>41492</v>
      </c>
      <c r="C2090" t="str">
        <f t="shared" si="32"/>
        <v>SRCRS001.24_41492</v>
      </c>
      <c r="D2090">
        <f>COUNTIF(data.SampSummary!$C$2:$C$1407,C2090)</f>
        <v>0</v>
      </c>
    </row>
    <row r="2091" spans="1:4" x14ac:dyDescent="0.25">
      <c r="A2091" t="s">
        <v>219</v>
      </c>
      <c r="B2091" s="5">
        <v>40344</v>
      </c>
      <c r="C2091" t="str">
        <f t="shared" si="32"/>
        <v>CGVGR052.23_40344</v>
      </c>
      <c r="D2091">
        <f>COUNTIF(data.SampSummary!$C$2:$C$1407,C2091)</f>
        <v>1</v>
      </c>
    </row>
    <row r="2092" spans="1:4" x14ac:dyDescent="0.25">
      <c r="A2092" t="s">
        <v>207</v>
      </c>
      <c r="B2092" s="5">
        <v>40344</v>
      </c>
      <c r="C2092" t="str">
        <f t="shared" si="32"/>
        <v>CGVGR039.41_40344</v>
      </c>
      <c r="D2092">
        <f>COUNTIF(data.SampSummary!$C$2:$C$1407,C2092)</f>
        <v>1</v>
      </c>
    </row>
    <row r="2093" spans="1:4" x14ac:dyDescent="0.25">
      <c r="A2093" t="s">
        <v>2970</v>
      </c>
      <c r="B2093" s="5">
        <v>40332</v>
      </c>
      <c r="C2093" t="str">
        <f t="shared" si="32"/>
        <v>LCLCR323.69_40332</v>
      </c>
      <c r="D2093">
        <f>COUNTIF(data.SampSummary!$C$2:$C$1407,C2093)</f>
        <v>0</v>
      </c>
    </row>
    <row r="2094" spans="1:4" x14ac:dyDescent="0.25">
      <c r="A2094" t="s">
        <v>104</v>
      </c>
      <c r="B2094" s="5">
        <v>40331</v>
      </c>
      <c r="C2094" t="str">
        <f t="shared" si="32"/>
        <v>LCWLR000.92_40331</v>
      </c>
      <c r="D2094">
        <f>COUNTIF(data.SampSummary!$C$2:$C$1407,C2094)</f>
        <v>0</v>
      </c>
    </row>
    <row r="2095" spans="1:4" x14ac:dyDescent="0.25">
      <c r="A2095" t="s">
        <v>2971</v>
      </c>
      <c r="B2095" s="5">
        <v>40331</v>
      </c>
      <c r="C2095" t="str">
        <f t="shared" si="32"/>
        <v>LCSLR000.91_40331</v>
      </c>
      <c r="D2095">
        <f>COUNTIF(data.SampSummary!$C$2:$C$1407,C2095)</f>
        <v>0</v>
      </c>
    </row>
    <row r="2096" spans="1:4" x14ac:dyDescent="0.25">
      <c r="A2096" t="s">
        <v>2838</v>
      </c>
      <c r="B2096" s="5">
        <v>40330</v>
      </c>
      <c r="C2096" t="str">
        <f t="shared" si="32"/>
        <v>LCSIL024.83_40330</v>
      </c>
      <c r="D2096">
        <f>COUNTIF(data.SampSummary!$C$2:$C$1407,C2096)</f>
        <v>0</v>
      </c>
    </row>
    <row r="2097" spans="1:4" x14ac:dyDescent="0.25">
      <c r="A2097" t="s">
        <v>2929</v>
      </c>
      <c r="B2097" s="5">
        <v>41463</v>
      </c>
      <c r="C2097" t="str">
        <f t="shared" si="32"/>
        <v>SRCRS000.08_41463</v>
      </c>
      <c r="D2097">
        <f>COUNTIF(data.SampSummary!$C$2:$C$1407,C2097)</f>
        <v>0</v>
      </c>
    </row>
    <row r="2098" spans="1:4" x14ac:dyDescent="0.25">
      <c r="A2098" t="s">
        <v>2951</v>
      </c>
      <c r="B2098" s="5">
        <v>40295</v>
      </c>
      <c r="C2098" t="str">
        <f t="shared" si="32"/>
        <v>LCNUT015.61_40295</v>
      </c>
      <c r="D2098">
        <f>COUNTIF(data.SampSummary!$C$2:$C$1407,C2098)</f>
        <v>0</v>
      </c>
    </row>
    <row r="2099" spans="1:4" x14ac:dyDescent="0.25">
      <c r="A2099" t="s">
        <v>2972</v>
      </c>
      <c r="B2099" s="5">
        <v>40295</v>
      </c>
      <c r="C2099" t="str">
        <f t="shared" si="32"/>
        <v>LCLCR344.58_40295</v>
      </c>
      <c r="D2099">
        <f>COUNTIF(data.SampSummary!$C$2:$C$1407,C2099)</f>
        <v>0</v>
      </c>
    </row>
    <row r="2100" spans="1:4" x14ac:dyDescent="0.25">
      <c r="A2100" t="s">
        <v>68</v>
      </c>
      <c r="B2100" s="5">
        <v>40295</v>
      </c>
      <c r="C2100" t="str">
        <f t="shared" si="32"/>
        <v>LCSLR001.42_40295</v>
      </c>
      <c r="D2100">
        <f>COUNTIF(data.SampSummary!$C$2:$C$1407,C2100)</f>
        <v>0</v>
      </c>
    </row>
    <row r="2101" spans="1:4" x14ac:dyDescent="0.25">
      <c r="A2101" t="s">
        <v>104</v>
      </c>
      <c r="B2101" s="5">
        <v>40295</v>
      </c>
      <c r="C2101" t="str">
        <f t="shared" si="32"/>
        <v>LCWLR000.92_40295</v>
      </c>
      <c r="D2101">
        <f>COUNTIF(data.SampSummary!$C$2:$C$1407,C2101)</f>
        <v>0</v>
      </c>
    </row>
    <row r="2102" spans="1:4" x14ac:dyDescent="0.25">
      <c r="A2102" t="s">
        <v>2901</v>
      </c>
      <c r="B2102" s="5">
        <v>40294</v>
      </c>
      <c r="C2102" t="str">
        <f t="shared" si="32"/>
        <v>LCLCR340.65_40294</v>
      </c>
      <c r="D2102">
        <f>COUNTIF(data.SampSummary!$C$2:$C$1407,C2102)</f>
        <v>0</v>
      </c>
    </row>
    <row r="2103" spans="1:4" x14ac:dyDescent="0.25">
      <c r="A2103" t="s">
        <v>2970</v>
      </c>
      <c r="B2103" s="5">
        <v>40294</v>
      </c>
      <c r="C2103" t="str">
        <f t="shared" si="32"/>
        <v>LCLCR323.69_40294</v>
      </c>
      <c r="D2103">
        <f>COUNTIF(data.SampSummary!$C$2:$C$1407,C2103)</f>
        <v>0</v>
      </c>
    </row>
    <row r="2104" spans="1:4" x14ac:dyDescent="0.25">
      <c r="A2104" t="s">
        <v>2926</v>
      </c>
      <c r="B2104" s="5">
        <v>40294</v>
      </c>
      <c r="C2104" t="str">
        <f t="shared" si="32"/>
        <v>LCLCR336.76_40294</v>
      </c>
      <c r="D2104">
        <f>COUNTIF(data.SampSummary!$C$2:$C$1407,C2104)</f>
        <v>0</v>
      </c>
    </row>
    <row r="2105" spans="1:4" x14ac:dyDescent="0.25">
      <c r="A2105" t="s">
        <v>2973</v>
      </c>
      <c r="B2105" s="5">
        <v>40294</v>
      </c>
      <c r="C2105" t="str">
        <f t="shared" si="32"/>
        <v>LCNUT000.95_40294</v>
      </c>
      <c r="D2105">
        <f>COUNTIF(data.SampSummary!$C$2:$C$1407,C2105)</f>
        <v>0</v>
      </c>
    </row>
    <row r="2106" spans="1:4" x14ac:dyDescent="0.25">
      <c r="A2106" t="s">
        <v>2203</v>
      </c>
      <c r="B2106" s="5">
        <v>40430</v>
      </c>
      <c r="C2106" t="str">
        <f t="shared" si="32"/>
        <v>SRTON062.89_40430</v>
      </c>
      <c r="D2106">
        <f>COUNTIF(data.SampSummary!$C$2:$C$1407,C2106)</f>
        <v>0</v>
      </c>
    </row>
    <row r="2107" spans="1:4" x14ac:dyDescent="0.25">
      <c r="A2107" t="s">
        <v>2951</v>
      </c>
      <c r="B2107" s="5">
        <v>40283</v>
      </c>
      <c r="C2107" t="str">
        <f t="shared" si="32"/>
        <v>LCNUT015.61_40283</v>
      </c>
      <c r="D2107">
        <f>COUNTIF(data.SampSummary!$C$2:$C$1407,C2107)</f>
        <v>0</v>
      </c>
    </row>
    <row r="2108" spans="1:4" x14ac:dyDescent="0.25">
      <c r="A2108" t="s">
        <v>2817</v>
      </c>
      <c r="B2108" s="5">
        <v>40283</v>
      </c>
      <c r="C2108" t="str">
        <f t="shared" si="32"/>
        <v>LCLCR346.01_40283</v>
      </c>
      <c r="D2108">
        <f>COUNTIF(data.SampSummary!$C$2:$C$1407,C2108)</f>
        <v>0</v>
      </c>
    </row>
    <row r="2109" spans="1:4" x14ac:dyDescent="0.25">
      <c r="A2109" t="s">
        <v>68</v>
      </c>
      <c r="B2109" s="5">
        <v>40283</v>
      </c>
      <c r="C2109" t="str">
        <f t="shared" si="32"/>
        <v>LCSLR001.42_40283</v>
      </c>
      <c r="D2109">
        <f>COUNTIF(data.SampSummary!$C$2:$C$1407,C2109)</f>
        <v>0</v>
      </c>
    </row>
    <row r="2110" spans="1:4" x14ac:dyDescent="0.25">
      <c r="A2110" t="s">
        <v>2816</v>
      </c>
      <c r="B2110" s="5">
        <v>40282</v>
      </c>
      <c r="C2110" t="str">
        <f t="shared" si="32"/>
        <v>LCLCR324.92_40282</v>
      </c>
      <c r="D2110">
        <f>COUNTIF(data.SampSummary!$C$2:$C$1407,C2110)</f>
        <v>0</v>
      </c>
    </row>
    <row r="2111" spans="1:4" x14ac:dyDescent="0.25">
      <c r="A2111" t="s">
        <v>2901</v>
      </c>
      <c r="B2111" s="5">
        <v>40282</v>
      </c>
      <c r="C2111" t="str">
        <f t="shared" si="32"/>
        <v>LCLCR340.65_40282</v>
      </c>
      <c r="D2111">
        <f>COUNTIF(data.SampSummary!$C$2:$C$1407,C2111)</f>
        <v>0</v>
      </c>
    </row>
    <row r="2112" spans="1:4" x14ac:dyDescent="0.25">
      <c r="A2112" t="s">
        <v>2970</v>
      </c>
      <c r="B2112" s="5">
        <v>40282</v>
      </c>
      <c r="C2112" t="str">
        <f t="shared" si="32"/>
        <v>LCLCR323.69_40282</v>
      </c>
      <c r="D2112">
        <f>COUNTIF(data.SampSummary!$C$2:$C$1407,C2112)</f>
        <v>0</v>
      </c>
    </row>
    <row r="2113" spans="1:4" x14ac:dyDescent="0.25">
      <c r="A2113" t="s">
        <v>2926</v>
      </c>
      <c r="B2113" s="5">
        <v>40282</v>
      </c>
      <c r="C2113" t="str">
        <f t="shared" si="32"/>
        <v>LCLCR336.76_40282</v>
      </c>
      <c r="D2113">
        <f>COUNTIF(data.SampSummary!$C$2:$C$1407,C2113)</f>
        <v>0</v>
      </c>
    </row>
    <row r="2114" spans="1:4" x14ac:dyDescent="0.25">
      <c r="A2114" t="s">
        <v>2974</v>
      </c>
      <c r="B2114" s="5">
        <v>40282</v>
      </c>
      <c r="C2114" t="str">
        <f t="shared" si="32"/>
        <v>LCNUT002.22_40282</v>
      </c>
      <c r="D2114">
        <f>COUNTIF(data.SampSummary!$C$2:$C$1407,C2114)</f>
        <v>0</v>
      </c>
    </row>
    <row r="2115" spans="1:4" x14ac:dyDescent="0.25">
      <c r="A2115" t="s">
        <v>2814</v>
      </c>
      <c r="B2115" s="5">
        <v>40254</v>
      </c>
      <c r="C2115" t="str">
        <f t="shared" ref="C2115:C2178" si="33">A2115&amp;"_"&amp;B2115</f>
        <v>LCSIL000.06_40254</v>
      </c>
      <c r="D2115">
        <f>COUNTIF(data.SampSummary!$C$2:$C$1407,C2115)</f>
        <v>0</v>
      </c>
    </row>
    <row r="2116" spans="1:4" x14ac:dyDescent="0.25">
      <c r="A2116" t="s">
        <v>2812</v>
      </c>
      <c r="B2116" s="5">
        <v>40254</v>
      </c>
      <c r="C2116" t="str">
        <f t="shared" si="33"/>
        <v>LCLCR226.31_40254</v>
      </c>
      <c r="D2116">
        <f>COUNTIF(data.SampSummary!$C$2:$C$1407,C2116)</f>
        <v>0</v>
      </c>
    </row>
    <row r="2117" spans="1:4" x14ac:dyDescent="0.25">
      <c r="A2117" t="s">
        <v>2812</v>
      </c>
      <c r="B2117" s="5">
        <v>40221</v>
      </c>
      <c r="C2117" t="str">
        <f t="shared" si="33"/>
        <v>LCLCR226.31_40221</v>
      </c>
      <c r="D2117">
        <f>COUNTIF(data.SampSummary!$C$2:$C$1407,C2117)</f>
        <v>0</v>
      </c>
    </row>
    <row r="2118" spans="1:4" x14ac:dyDescent="0.25">
      <c r="A2118" t="s">
        <v>2841</v>
      </c>
      <c r="B2118" s="5">
        <v>40221</v>
      </c>
      <c r="C2118" t="str">
        <f t="shared" si="33"/>
        <v>LCLCR206.75_40221</v>
      </c>
      <c r="D2118">
        <f>COUNTIF(data.SampSummary!$C$2:$C$1407,C2118)</f>
        <v>0</v>
      </c>
    </row>
    <row r="2119" spans="1:4" x14ac:dyDescent="0.25">
      <c r="A2119" t="s">
        <v>2841</v>
      </c>
      <c r="B2119" s="5">
        <v>40211</v>
      </c>
      <c r="C2119" t="str">
        <f t="shared" si="33"/>
        <v>LCLCR206.75_40211</v>
      </c>
      <c r="D2119">
        <f>COUNTIF(data.SampSummary!$C$2:$C$1407,C2119)</f>
        <v>0</v>
      </c>
    </row>
    <row r="2120" spans="1:4" x14ac:dyDescent="0.25">
      <c r="A2120" t="s">
        <v>2812</v>
      </c>
      <c r="B2120" s="5">
        <v>40211</v>
      </c>
      <c r="C2120" t="str">
        <f t="shared" si="33"/>
        <v>LCLCR226.31_40211</v>
      </c>
      <c r="D2120">
        <f>COUNTIF(data.SampSummary!$C$2:$C$1407,C2120)</f>
        <v>0</v>
      </c>
    </row>
    <row r="2121" spans="1:4" x14ac:dyDescent="0.25">
      <c r="A2121" t="s">
        <v>2958</v>
      </c>
      <c r="B2121" s="5">
        <v>40372</v>
      </c>
      <c r="C2121" t="str">
        <f t="shared" si="33"/>
        <v>SRTON060.28_40372</v>
      </c>
      <c r="D2121">
        <f>COUNTIF(data.SampSummary!$C$2:$C$1407,C2121)</f>
        <v>0</v>
      </c>
    </row>
    <row r="2122" spans="1:4" x14ac:dyDescent="0.25">
      <c r="A2122" t="s">
        <v>2901</v>
      </c>
      <c r="B2122" s="5">
        <v>40092</v>
      </c>
      <c r="C2122" t="str">
        <f t="shared" si="33"/>
        <v>LCLCR340.65_40092</v>
      </c>
      <c r="D2122">
        <f>COUNTIF(data.SampSummary!$C$2:$C$1407,C2122)</f>
        <v>0</v>
      </c>
    </row>
    <row r="2123" spans="1:4" x14ac:dyDescent="0.25">
      <c r="A2123" t="s">
        <v>2817</v>
      </c>
      <c r="B2123" s="5">
        <v>40091</v>
      </c>
      <c r="C2123" t="str">
        <f t="shared" si="33"/>
        <v>LCLCR346.01_40091</v>
      </c>
      <c r="D2123">
        <f>COUNTIF(data.SampSummary!$C$2:$C$1407,C2123)</f>
        <v>0</v>
      </c>
    </row>
    <row r="2124" spans="1:4" x14ac:dyDescent="0.25">
      <c r="A2124" t="s">
        <v>104</v>
      </c>
      <c r="B2124" s="5">
        <v>40091</v>
      </c>
      <c r="C2124" t="str">
        <f t="shared" si="33"/>
        <v>LCWLR000.92_40091</v>
      </c>
      <c r="D2124">
        <f>COUNTIF(data.SampSummary!$C$2:$C$1407,C2124)</f>
        <v>0</v>
      </c>
    </row>
    <row r="2125" spans="1:4" x14ac:dyDescent="0.25">
      <c r="A2125" t="s">
        <v>68</v>
      </c>
      <c r="B2125" s="5">
        <v>40091</v>
      </c>
      <c r="C2125" t="str">
        <f t="shared" si="33"/>
        <v>LCSLR001.42_40091</v>
      </c>
      <c r="D2125">
        <f>COUNTIF(data.SampSummary!$C$2:$C$1407,C2125)</f>
        <v>0</v>
      </c>
    </row>
    <row r="2126" spans="1:4" x14ac:dyDescent="0.25">
      <c r="A2126" t="s">
        <v>2445</v>
      </c>
      <c r="B2126" s="5">
        <v>40086</v>
      </c>
      <c r="C2126" t="str">
        <f t="shared" si="33"/>
        <v>SRCRS002.25_40086</v>
      </c>
      <c r="D2126">
        <f>COUNTIF(data.SampSummary!$C$2:$C$1407,C2126)</f>
        <v>0</v>
      </c>
    </row>
    <row r="2127" spans="1:4" x14ac:dyDescent="0.25">
      <c r="A2127" t="s">
        <v>2953</v>
      </c>
      <c r="B2127" s="5">
        <v>40086</v>
      </c>
      <c r="C2127" t="str">
        <f t="shared" si="33"/>
        <v>SRCRS001.24_40086</v>
      </c>
      <c r="D2127">
        <f>COUNTIF(data.SampSummary!$C$2:$C$1407,C2127)</f>
        <v>0</v>
      </c>
    </row>
    <row r="2128" spans="1:4" x14ac:dyDescent="0.25">
      <c r="A2128" t="s">
        <v>2698</v>
      </c>
      <c r="B2128" s="5">
        <v>40086</v>
      </c>
      <c r="C2128" t="str">
        <f t="shared" si="33"/>
        <v>SRTON055.09_40086</v>
      </c>
      <c r="D2128">
        <f>COUNTIF(data.SampSummary!$C$2:$C$1407,C2128)</f>
        <v>0</v>
      </c>
    </row>
    <row r="2129" spans="1:4" x14ac:dyDescent="0.25">
      <c r="A2129" t="s">
        <v>2954</v>
      </c>
      <c r="B2129" s="5">
        <v>40086</v>
      </c>
      <c r="C2129" t="str">
        <f t="shared" si="33"/>
        <v>SRTON057.70_40086</v>
      </c>
      <c r="D2129">
        <f>COUNTIF(data.SampSummary!$C$2:$C$1407,C2129)</f>
        <v>0</v>
      </c>
    </row>
    <row r="2130" spans="1:4" x14ac:dyDescent="0.25">
      <c r="A2130" t="s">
        <v>170</v>
      </c>
      <c r="B2130" s="5">
        <v>40086</v>
      </c>
      <c r="C2130" t="str">
        <f t="shared" si="33"/>
        <v>SRTON058.63_40086</v>
      </c>
      <c r="D2130">
        <f>COUNTIF(data.SampSummary!$C$2:$C$1407,C2130)</f>
        <v>0</v>
      </c>
    </row>
    <row r="2131" spans="1:4" x14ac:dyDescent="0.25">
      <c r="A2131" t="s">
        <v>2812</v>
      </c>
      <c r="B2131" s="5">
        <v>40080</v>
      </c>
      <c r="C2131" t="str">
        <f t="shared" si="33"/>
        <v>LCLCR226.31_40080</v>
      </c>
      <c r="D2131">
        <f>COUNTIF(data.SampSummary!$C$2:$C$1407,C2131)</f>
        <v>0</v>
      </c>
    </row>
    <row r="2132" spans="1:4" x14ac:dyDescent="0.25">
      <c r="A2132" t="s">
        <v>331</v>
      </c>
      <c r="B2132" s="5">
        <v>40051</v>
      </c>
      <c r="C2132" t="str">
        <f t="shared" si="33"/>
        <v>SRTON032.62_40051</v>
      </c>
      <c r="D2132">
        <f>COUNTIF(data.SampSummary!$C$2:$C$1407,C2132)</f>
        <v>0</v>
      </c>
    </row>
    <row r="2133" spans="1:4" x14ac:dyDescent="0.25">
      <c r="A2133" t="s">
        <v>2975</v>
      </c>
      <c r="B2133" s="5">
        <v>40051</v>
      </c>
      <c r="C2133" t="str">
        <f t="shared" si="33"/>
        <v>LCWAN000.56_40051</v>
      </c>
      <c r="D2133">
        <f>COUNTIF(data.SampSummary!$C$2:$C$1407,C2133)</f>
        <v>0</v>
      </c>
    </row>
    <row r="2134" spans="1:4" x14ac:dyDescent="0.25">
      <c r="A2134" t="s">
        <v>2203</v>
      </c>
      <c r="B2134" s="5">
        <v>40039</v>
      </c>
      <c r="C2134" t="str">
        <f t="shared" si="33"/>
        <v>SRTON062.89_40039</v>
      </c>
      <c r="D2134">
        <f>COUNTIF(data.SampSummary!$C$2:$C$1407,C2134)</f>
        <v>0</v>
      </c>
    </row>
    <row r="2135" spans="1:4" x14ac:dyDescent="0.25">
      <c r="A2135" t="s">
        <v>17</v>
      </c>
      <c r="B2135" s="5">
        <v>40039</v>
      </c>
      <c r="C2135" t="str">
        <f t="shared" si="33"/>
        <v>SRTON062.28_40039</v>
      </c>
      <c r="D2135">
        <f>COUNTIF(data.SampSummary!$C$2:$C$1407,C2135)</f>
        <v>0</v>
      </c>
    </row>
    <row r="2136" spans="1:4" x14ac:dyDescent="0.25">
      <c r="A2136" t="s">
        <v>51</v>
      </c>
      <c r="B2136" s="5">
        <v>40039</v>
      </c>
      <c r="C2136" t="str">
        <f t="shared" si="33"/>
        <v>SRTON061.37_40039</v>
      </c>
      <c r="D2136">
        <f>COUNTIF(data.SampSummary!$C$2:$C$1407,C2136)</f>
        <v>0</v>
      </c>
    </row>
    <row r="2137" spans="1:4" x14ac:dyDescent="0.25">
      <c r="A2137" t="s">
        <v>2958</v>
      </c>
      <c r="B2137" s="5">
        <v>40039</v>
      </c>
      <c r="C2137" t="str">
        <f t="shared" si="33"/>
        <v>SRTON060.28_40039</v>
      </c>
      <c r="D2137">
        <f>COUNTIF(data.SampSummary!$C$2:$C$1407,C2137)</f>
        <v>0</v>
      </c>
    </row>
    <row r="2138" spans="1:4" x14ac:dyDescent="0.25">
      <c r="A2138" t="s">
        <v>170</v>
      </c>
      <c r="B2138" s="5">
        <v>40039</v>
      </c>
      <c r="C2138" t="str">
        <f t="shared" si="33"/>
        <v>SRTON058.63_40039</v>
      </c>
      <c r="D2138">
        <f>COUNTIF(data.SampSummary!$C$2:$C$1407,C2138)</f>
        <v>0</v>
      </c>
    </row>
    <row r="2139" spans="1:4" x14ac:dyDescent="0.25">
      <c r="A2139" t="s">
        <v>2954</v>
      </c>
      <c r="B2139" s="5">
        <v>40039</v>
      </c>
      <c r="C2139" t="str">
        <f t="shared" si="33"/>
        <v>SRTON057.70_40039</v>
      </c>
      <c r="D2139">
        <f>COUNTIF(data.SampSummary!$C$2:$C$1407,C2139)</f>
        <v>0</v>
      </c>
    </row>
    <row r="2140" spans="1:4" x14ac:dyDescent="0.25">
      <c r="A2140" t="s">
        <v>2928</v>
      </c>
      <c r="B2140" s="5">
        <v>40039</v>
      </c>
      <c r="C2140" t="str">
        <f t="shared" si="33"/>
        <v>SRCRS006.20_40039</v>
      </c>
      <c r="D2140">
        <f>COUNTIF(data.SampSummary!$C$2:$C$1407,C2140)</f>
        <v>0</v>
      </c>
    </row>
    <row r="2141" spans="1:4" x14ac:dyDescent="0.25">
      <c r="A2141" t="s">
        <v>2445</v>
      </c>
      <c r="B2141" s="5">
        <v>40039</v>
      </c>
      <c r="C2141" t="str">
        <f t="shared" si="33"/>
        <v>SRCRS002.25_40039</v>
      </c>
      <c r="D2141">
        <f>COUNTIF(data.SampSummary!$C$2:$C$1407,C2141)</f>
        <v>0</v>
      </c>
    </row>
    <row r="2142" spans="1:4" x14ac:dyDescent="0.25">
      <c r="A2142" t="s">
        <v>2929</v>
      </c>
      <c r="B2142" s="5">
        <v>40038</v>
      </c>
      <c r="C2142" t="str">
        <f t="shared" si="33"/>
        <v>SRCRS000.08_40038</v>
      </c>
      <c r="D2142">
        <f>COUNTIF(data.SampSummary!$C$2:$C$1407,C2142)</f>
        <v>0</v>
      </c>
    </row>
    <row r="2143" spans="1:4" x14ac:dyDescent="0.25">
      <c r="A2143" t="s">
        <v>2698</v>
      </c>
      <c r="B2143" s="5">
        <v>40038</v>
      </c>
      <c r="C2143" t="str">
        <f t="shared" si="33"/>
        <v>SRTON055.09_40038</v>
      </c>
      <c r="D2143">
        <f>COUNTIF(data.SampSummary!$C$2:$C$1407,C2143)</f>
        <v>0</v>
      </c>
    </row>
    <row r="2144" spans="1:4" x14ac:dyDescent="0.25">
      <c r="A2144" t="s">
        <v>197</v>
      </c>
      <c r="B2144" s="5">
        <v>40038</v>
      </c>
      <c r="C2144" t="str">
        <f t="shared" si="33"/>
        <v>SRTON053.87_40038</v>
      </c>
      <c r="D2144">
        <f>COUNTIF(data.SampSummary!$C$2:$C$1407,C2144)</f>
        <v>0</v>
      </c>
    </row>
    <row r="2145" spans="1:4" x14ac:dyDescent="0.25">
      <c r="A2145" t="s">
        <v>2927</v>
      </c>
      <c r="B2145" s="5">
        <v>40038</v>
      </c>
      <c r="C2145" t="str">
        <f t="shared" si="33"/>
        <v>SRTON056.59_40038</v>
      </c>
      <c r="D2145">
        <f>COUNTIF(data.SampSummary!$C$2:$C$1407,C2145)</f>
        <v>0</v>
      </c>
    </row>
    <row r="2146" spans="1:4" x14ac:dyDescent="0.25">
      <c r="A2146" t="s">
        <v>2953</v>
      </c>
      <c r="B2146" s="5">
        <v>40038</v>
      </c>
      <c r="C2146" t="str">
        <f t="shared" si="33"/>
        <v>SRCRS001.24_40038</v>
      </c>
      <c r="D2146">
        <f>COUNTIF(data.SampSummary!$C$2:$C$1407,C2146)</f>
        <v>0</v>
      </c>
    </row>
    <row r="2147" spans="1:4" x14ac:dyDescent="0.25">
      <c r="A2147" t="s">
        <v>2950</v>
      </c>
      <c r="B2147" s="5">
        <v>40038</v>
      </c>
      <c r="C2147" t="str">
        <f t="shared" si="33"/>
        <v>SRCRS001.74_40038</v>
      </c>
      <c r="D2147">
        <f>COUNTIF(data.SampSummary!$C$2:$C$1407,C2147)</f>
        <v>0</v>
      </c>
    </row>
    <row r="2148" spans="1:4" x14ac:dyDescent="0.25">
      <c r="A2148" t="s">
        <v>2836</v>
      </c>
      <c r="B2148" s="5">
        <v>41652</v>
      </c>
      <c r="C2148" t="str">
        <f t="shared" si="33"/>
        <v>CLGLR010.53_41652</v>
      </c>
      <c r="D2148">
        <f>COUNTIF(data.SampSummary!$C$2:$C$1407,C2148)</f>
        <v>0</v>
      </c>
    </row>
    <row r="2149" spans="1:4" x14ac:dyDescent="0.25">
      <c r="A2149" t="s">
        <v>81</v>
      </c>
      <c r="B2149" s="5">
        <v>40004</v>
      </c>
      <c r="C2149" t="str">
        <f t="shared" si="33"/>
        <v>SPCRC013.37_40004</v>
      </c>
      <c r="D2149">
        <f>COUNTIF(data.SampSummary!$C$2:$C$1407,C2149)</f>
        <v>1</v>
      </c>
    </row>
    <row r="2150" spans="1:4" x14ac:dyDescent="0.25">
      <c r="A2150" t="s">
        <v>2812</v>
      </c>
      <c r="B2150" s="5">
        <v>40001</v>
      </c>
      <c r="C2150" t="str">
        <f t="shared" si="33"/>
        <v>LCLCR226.31_40001</v>
      </c>
      <c r="D2150">
        <f>COUNTIF(data.SampSummary!$C$2:$C$1407,C2150)</f>
        <v>0</v>
      </c>
    </row>
    <row r="2151" spans="1:4" x14ac:dyDescent="0.25">
      <c r="A2151" t="s">
        <v>186</v>
      </c>
      <c r="B2151" s="5">
        <v>40716</v>
      </c>
      <c r="C2151" t="str">
        <f t="shared" si="33"/>
        <v>VREVR034.80_40716</v>
      </c>
      <c r="D2151">
        <f>COUNTIF(data.SampSummary!$C$2:$C$1407,C2151)</f>
        <v>0</v>
      </c>
    </row>
    <row r="2152" spans="1:4" x14ac:dyDescent="0.25">
      <c r="A2152" t="s">
        <v>197</v>
      </c>
      <c r="B2152" s="5">
        <v>41891</v>
      </c>
      <c r="C2152" t="str">
        <f t="shared" si="33"/>
        <v>SRTON053.87_41891</v>
      </c>
      <c r="D2152">
        <f>COUNTIF(data.SampSummary!$C$2:$C$1407,C2152)</f>
        <v>0</v>
      </c>
    </row>
    <row r="2153" spans="1:4" x14ac:dyDescent="0.25">
      <c r="A2153" t="s">
        <v>2976</v>
      </c>
      <c r="B2153" s="5">
        <v>40674</v>
      </c>
      <c r="C2153" t="str">
        <f t="shared" si="33"/>
        <v>LCWCY005.01_40674</v>
      </c>
      <c r="D2153">
        <f>COUNTIF(data.SampSummary!$C$2:$C$1407,C2153)</f>
        <v>0</v>
      </c>
    </row>
    <row r="2154" spans="1:4" x14ac:dyDescent="0.25">
      <c r="A2154" t="s">
        <v>170</v>
      </c>
      <c r="B2154" s="5">
        <v>41878</v>
      </c>
      <c r="C2154" t="str">
        <f t="shared" si="33"/>
        <v>SRTON058.63_41878</v>
      </c>
      <c r="D2154">
        <f>COUNTIF(data.SampSummary!$C$2:$C$1407,C2154)</f>
        <v>0</v>
      </c>
    </row>
    <row r="2155" spans="1:4" x14ac:dyDescent="0.25">
      <c r="A2155" t="s">
        <v>2203</v>
      </c>
      <c r="B2155" s="5">
        <v>41543</v>
      </c>
      <c r="C2155" t="str">
        <f t="shared" si="33"/>
        <v>SRTON062.89_41543</v>
      </c>
      <c r="D2155">
        <f>COUNTIF(data.SampSummary!$C$2:$C$1407,C2155)</f>
        <v>0</v>
      </c>
    </row>
    <row r="2156" spans="1:4" x14ac:dyDescent="0.25">
      <c r="A2156" t="s">
        <v>2445</v>
      </c>
      <c r="B2156" s="5">
        <v>41877</v>
      </c>
      <c r="C2156" t="str">
        <f t="shared" si="33"/>
        <v>SRCRS002.25_41877</v>
      </c>
      <c r="D2156">
        <f>COUNTIF(data.SampSummary!$C$2:$C$1407,C2156)</f>
        <v>0</v>
      </c>
    </row>
    <row r="2157" spans="1:4" x14ac:dyDescent="0.25">
      <c r="A2157" t="s">
        <v>2698</v>
      </c>
      <c r="B2157" s="5">
        <v>41542</v>
      </c>
      <c r="C2157" t="str">
        <f t="shared" si="33"/>
        <v>SRTON055.09_41542</v>
      </c>
      <c r="D2157">
        <f>COUNTIF(data.SampSummary!$C$2:$C$1407,C2157)</f>
        <v>0</v>
      </c>
    </row>
    <row r="2158" spans="1:4" x14ac:dyDescent="0.25">
      <c r="A2158" t="s">
        <v>2927</v>
      </c>
      <c r="B2158" s="5">
        <v>41542</v>
      </c>
      <c r="C2158" t="str">
        <f t="shared" si="33"/>
        <v>SRTON056.59_41542</v>
      </c>
      <c r="D2158">
        <f>COUNTIF(data.SampSummary!$C$2:$C$1407,C2158)</f>
        <v>0</v>
      </c>
    </row>
    <row r="2159" spans="1:4" x14ac:dyDescent="0.25">
      <c r="A2159" t="s">
        <v>2445</v>
      </c>
      <c r="B2159" s="5">
        <v>41542</v>
      </c>
      <c r="C2159" t="str">
        <f t="shared" si="33"/>
        <v>SRCRS002.25_41542</v>
      </c>
      <c r="D2159">
        <f>COUNTIF(data.SampSummary!$C$2:$C$1407,C2159)</f>
        <v>0</v>
      </c>
    </row>
    <row r="2160" spans="1:4" x14ac:dyDescent="0.25">
      <c r="A2160" t="s">
        <v>2950</v>
      </c>
      <c r="B2160" s="5">
        <v>41856</v>
      </c>
      <c r="C2160" t="str">
        <f t="shared" si="33"/>
        <v>SRCRS001.74_41856</v>
      </c>
      <c r="D2160">
        <f>COUNTIF(data.SampSummary!$C$2:$C$1407,C2160)</f>
        <v>0</v>
      </c>
    </row>
    <row r="2161" spans="1:4" x14ac:dyDescent="0.25">
      <c r="A2161" t="s">
        <v>2698</v>
      </c>
      <c r="B2161" s="5">
        <v>41842</v>
      </c>
      <c r="C2161" t="str">
        <f t="shared" si="33"/>
        <v>SRTON055.09_41842</v>
      </c>
      <c r="D2161">
        <f>COUNTIF(data.SampSummary!$C$2:$C$1407,C2161)</f>
        <v>0</v>
      </c>
    </row>
    <row r="2162" spans="1:4" x14ac:dyDescent="0.25">
      <c r="A2162" t="s">
        <v>2977</v>
      </c>
      <c r="B2162" s="5">
        <v>40619</v>
      </c>
      <c r="C2162" t="str">
        <f t="shared" si="33"/>
        <v>LCLCR336.15_40619</v>
      </c>
      <c r="D2162">
        <f>COUNTIF(data.SampSummary!$C$2:$C$1407,C2162)</f>
        <v>0</v>
      </c>
    </row>
    <row r="2163" spans="1:4" x14ac:dyDescent="0.25">
      <c r="A2163" t="s">
        <v>2926</v>
      </c>
      <c r="B2163" s="5">
        <v>40619</v>
      </c>
      <c r="C2163" t="str">
        <f t="shared" si="33"/>
        <v>LCLCR336.76_40619</v>
      </c>
      <c r="D2163">
        <f>COUNTIF(data.SampSummary!$C$2:$C$1407,C2163)</f>
        <v>0</v>
      </c>
    </row>
    <row r="2164" spans="1:4" x14ac:dyDescent="0.25">
      <c r="A2164" t="s">
        <v>51</v>
      </c>
      <c r="B2164" s="5">
        <v>41528</v>
      </c>
      <c r="C2164" t="str">
        <f t="shared" si="33"/>
        <v>SRTON061.37_41528</v>
      </c>
      <c r="D2164">
        <f>COUNTIF(data.SampSummary!$C$2:$C$1407,C2164)</f>
        <v>0</v>
      </c>
    </row>
    <row r="2165" spans="1:4" x14ac:dyDescent="0.25">
      <c r="A2165" t="s">
        <v>2927</v>
      </c>
      <c r="B2165" s="5">
        <v>41527</v>
      </c>
      <c r="C2165" t="str">
        <f t="shared" si="33"/>
        <v>SRTON056.59_41527</v>
      </c>
      <c r="D2165">
        <f>COUNTIF(data.SampSummary!$C$2:$C$1407,C2165)</f>
        <v>0</v>
      </c>
    </row>
    <row r="2166" spans="1:4" x14ac:dyDescent="0.25">
      <c r="A2166" t="s">
        <v>2929</v>
      </c>
      <c r="B2166" s="5">
        <v>41527</v>
      </c>
      <c r="C2166" t="str">
        <f t="shared" si="33"/>
        <v>SRCRS000.08_41527</v>
      </c>
      <c r="D2166">
        <f>COUNTIF(data.SampSummary!$C$2:$C$1407,C2166)</f>
        <v>0</v>
      </c>
    </row>
    <row r="2167" spans="1:4" x14ac:dyDescent="0.25">
      <c r="A2167" t="s">
        <v>2950</v>
      </c>
      <c r="B2167" s="5">
        <v>40792</v>
      </c>
      <c r="C2167" t="str">
        <f t="shared" si="33"/>
        <v>SRCRS001.74_40792</v>
      </c>
      <c r="D2167">
        <f>COUNTIF(data.SampSummary!$C$2:$C$1407,C2167)</f>
        <v>0</v>
      </c>
    </row>
    <row r="2168" spans="1:4" x14ac:dyDescent="0.25">
      <c r="A2168" t="s">
        <v>2929</v>
      </c>
      <c r="B2168" s="5">
        <v>40792</v>
      </c>
      <c r="C2168" t="str">
        <f t="shared" si="33"/>
        <v>SRCRS000.08_40792</v>
      </c>
      <c r="D2168">
        <f>COUNTIF(data.SampSummary!$C$2:$C$1407,C2168)</f>
        <v>0</v>
      </c>
    </row>
    <row r="2169" spans="1:4" x14ac:dyDescent="0.25">
      <c r="A2169" t="s">
        <v>2836</v>
      </c>
      <c r="B2169" s="5">
        <v>41512</v>
      </c>
      <c r="C2169" t="str">
        <f t="shared" si="33"/>
        <v>CLGLR010.53_41512</v>
      </c>
      <c r="D2169">
        <f>COUNTIF(data.SampSummary!$C$2:$C$1407,C2169)</f>
        <v>0</v>
      </c>
    </row>
    <row r="2170" spans="1:4" x14ac:dyDescent="0.25">
      <c r="A2170" t="s">
        <v>2976</v>
      </c>
      <c r="B2170" s="5">
        <v>40522</v>
      </c>
      <c r="C2170" t="str">
        <f t="shared" si="33"/>
        <v>LCWCY005.01_40522</v>
      </c>
      <c r="D2170">
        <f>COUNTIF(data.SampSummary!$C$2:$C$1407,C2170)</f>
        <v>0</v>
      </c>
    </row>
    <row r="2171" spans="1:4" x14ac:dyDescent="0.25">
      <c r="A2171" t="s">
        <v>197</v>
      </c>
      <c r="B2171" s="5">
        <v>41507</v>
      </c>
      <c r="C2171" t="str">
        <f t="shared" si="33"/>
        <v>SRTON053.87_41507</v>
      </c>
      <c r="D2171">
        <f>COUNTIF(data.SampSummary!$C$2:$C$1407,C2171)</f>
        <v>0</v>
      </c>
    </row>
    <row r="2172" spans="1:4" x14ac:dyDescent="0.25">
      <c r="A2172" t="s">
        <v>2445</v>
      </c>
      <c r="B2172" s="5">
        <v>41507</v>
      </c>
      <c r="C2172" t="str">
        <f t="shared" si="33"/>
        <v>SRCRS002.25_41507</v>
      </c>
      <c r="D2172">
        <f>COUNTIF(data.SampSummary!$C$2:$C$1407,C2172)</f>
        <v>0</v>
      </c>
    </row>
    <row r="2173" spans="1:4" x14ac:dyDescent="0.25">
      <c r="A2173" t="s">
        <v>1817</v>
      </c>
      <c r="B2173" s="5">
        <v>40501</v>
      </c>
      <c r="C2173" t="str">
        <f t="shared" si="33"/>
        <v>MGCVE037.68_40501</v>
      </c>
      <c r="D2173">
        <f>COUNTIF(data.SampSummary!$C$2:$C$1407,C2173)</f>
        <v>0</v>
      </c>
    </row>
    <row r="2174" spans="1:4" x14ac:dyDescent="0.25">
      <c r="A2174" t="s">
        <v>17</v>
      </c>
      <c r="B2174" s="5">
        <v>41493</v>
      </c>
      <c r="C2174" t="str">
        <f t="shared" si="33"/>
        <v>SRTON062.28_41493</v>
      </c>
      <c r="D2174">
        <f>COUNTIF(data.SampSummary!$C$2:$C$1407,C2174)</f>
        <v>0</v>
      </c>
    </row>
    <row r="2175" spans="1:4" x14ac:dyDescent="0.25">
      <c r="A2175" t="s">
        <v>2203</v>
      </c>
      <c r="B2175" s="5">
        <v>41493</v>
      </c>
      <c r="C2175" t="str">
        <f t="shared" si="33"/>
        <v>SRTON062.89_41493</v>
      </c>
      <c r="D2175">
        <f>COUNTIF(data.SampSummary!$C$2:$C$1407,C2175)</f>
        <v>0</v>
      </c>
    </row>
    <row r="2176" spans="1:4" x14ac:dyDescent="0.25">
      <c r="A2176" t="s">
        <v>2978</v>
      </c>
      <c r="B2176" s="5">
        <v>40492</v>
      </c>
      <c r="C2176" t="str">
        <f t="shared" si="33"/>
        <v>SRGOD012.05_40492</v>
      </c>
      <c r="D2176">
        <f>COUNTIF(data.SampSummary!$C$2:$C$1407,C2176)</f>
        <v>0</v>
      </c>
    </row>
    <row r="2177" spans="1:4" x14ac:dyDescent="0.25">
      <c r="A2177" t="s">
        <v>2628</v>
      </c>
      <c r="B2177" s="5">
        <v>40492</v>
      </c>
      <c r="C2177" t="str">
        <f t="shared" si="33"/>
        <v>SRCRS002.82_40492</v>
      </c>
      <c r="D2177">
        <f>COUNTIF(data.SampSummary!$C$2:$C$1407,C2177)</f>
        <v>0</v>
      </c>
    </row>
    <row r="2178" spans="1:4" x14ac:dyDescent="0.25">
      <c r="A2178" t="s">
        <v>170</v>
      </c>
      <c r="B2178" s="5">
        <v>41480</v>
      </c>
      <c r="C2178" t="str">
        <f t="shared" si="33"/>
        <v>SRTON058.63_41480</v>
      </c>
      <c r="D2178">
        <f>COUNTIF(data.SampSummary!$C$2:$C$1407,C2178)</f>
        <v>0</v>
      </c>
    </row>
    <row r="2179" spans="1:4" x14ac:dyDescent="0.25">
      <c r="A2179" t="s">
        <v>197</v>
      </c>
      <c r="B2179" s="5">
        <v>41479</v>
      </c>
      <c r="C2179" t="str">
        <f t="shared" ref="C2179:C2242" si="34">A2179&amp;"_"&amp;B2179</f>
        <v>SRTON053.87_41479</v>
      </c>
      <c r="D2179">
        <f>COUNTIF(data.SampSummary!$C$2:$C$1407,C2179)</f>
        <v>0</v>
      </c>
    </row>
    <row r="2180" spans="1:4" x14ac:dyDescent="0.25">
      <c r="A2180" t="s">
        <v>2929</v>
      </c>
      <c r="B2180" s="5">
        <v>41479</v>
      </c>
      <c r="C2180" t="str">
        <f t="shared" si="34"/>
        <v>SRCRS000.08_41479</v>
      </c>
      <c r="D2180">
        <f>COUNTIF(data.SampSummary!$C$2:$C$1407,C2180)</f>
        <v>0</v>
      </c>
    </row>
    <row r="2181" spans="1:4" x14ac:dyDescent="0.25">
      <c r="A2181" t="s">
        <v>2445</v>
      </c>
      <c r="B2181" s="5">
        <v>41479</v>
      </c>
      <c r="C2181" t="str">
        <f t="shared" si="34"/>
        <v>SRCRS002.25_41479</v>
      </c>
      <c r="D2181">
        <f>COUNTIF(data.SampSummary!$C$2:$C$1407,C2181)</f>
        <v>0</v>
      </c>
    </row>
    <row r="2182" spans="1:4" x14ac:dyDescent="0.25">
      <c r="A2182" t="s">
        <v>17</v>
      </c>
      <c r="B2182" s="5">
        <v>41464</v>
      </c>
      <c r="C2182" t="str">
        <f t="shared" si="34"/>
        <v>SRTON062.28_41464</v>
      </c>
      <c r="D2182">
        <f>COUNTIF(data.SampSummary!$C$2:$C$1407,C2182)</f>
        <v>0</v>
      </c>
    </row>
    <row r="2183" spans="1:4" x14ac:dyDescent="0.25">
      <c r="A2183" t="s">
        <v>2698</v>
      </c>
      <c r="B2183" s="5">
        <v>41463</v>
      </c>
      <c r="C2183" t="str">
        <f t="shared" si="34"/>
        <v>SRTON055.09_41463</v>
      </c>
      <c r="D2183">
        <f>COUNTIF(data.SampSummary!$C$2:$C$1407,C2183)</f>
        <v>0</v>
      </c>
    </row>
    <row r="2184" spans="1:4" x14ac:dyDescent="0.25">
      <c r="A2184" t="s">
        <v>2979</v>
      </c>
      <c r="B2184" s="5">
        <v>40450</v>
      </c>
      <c r="C2184" t="str">
        <f t="shared" si="34"/>
        <v>LCCHC001.75_40450</v>
      </c>
      <c r="D2184">
        <f>COUNTIF(data.SampSummary!$C$2:$C$1407,C2184)</f>
        <v>0</v>
      </c>
    </row>
    <row r="2185" spans="1:4" x14ac:dyDescent="0.25">
      <c r="A2185" t="s">
        <v>2961</v>
      </c>
      <c r="B2185" s="5">
        <v>42164</v>
      </c>
      <c r="C2185" t="str">
        <f t="shared" si="34"/>
        <v>LCNUT000.01_42164</v>
      </c>
      <c r="D2185">
        <f>COUNTIF(data.SampSummary!$C$2:$C$1407,C2185)</f>
        <v>0</v>
      </c>
    </row>
    <row r="2186" spans="1:4" x14ac:dyDescent="0.25">
      <c r="A2186" t="s">
        <v>2928</v>
      </c>
      <c r="B2186" s="5">
        <v>40430</v>
      </c>
      <c r="C2186" t="str">
        <f t="shared" si="34"/>
        <v>SRCRS006.20_40430</v>
      </c>
      <c r="D2186">
        <f>COUNTIF(data.SampSummary!$C$2:$C$1407,C2186)</f>
        <v>0</v>
      </c>
    </row>
    <row r="2187" spans="1:4" x14ac:dyDescent="0.25">
      <c r="A2187" t="s">
        <v>17</v>
      </c>
      <c r="B2187" s="5">
        <v>40430</v>
      </c>
      <c r="C2187" t="str">
        <f t="shared" si="34"/>
        <v>SRTON062.28_40430</v>
      </c>
      <c r="D2187">
        <f>COUNTIF(data.SampSummary!$C$2:$C$1407,C2187)</f>
        <v>0</v>
      </c>
    </row>
    <row r="2188" spans="1:4" x14ac:dyDescent="0.25">
      <c r="A2188" t="s">
        <v>51</v>
      </c>
      <c r="B2188" s="5">
        <v>40430</v>
      </c>
      <c r="C2188" t="str">
        <f t="shared" si="34"/>
        <v>SRTON061.37_40430</v>
      </c>
      <c r="D2188">
        <f>COUNTIF(data.SampSummary!$C$2:$C$1407,C2188)</f>
        <v>0</v>
      </c>
    </row>
    <row r="2189" spans="1:4" x14ac:dyDescent="0.25">
      <c r="A2189" t="s">
        <v>2958</v>
      </c>
      <c r="B2189" s="5">
        <v>40430</v>
      </c>
      <c r="C2189" t="str">
        <f t="shared" si="34"/>
        <v>SRTON060.28_40430</v>
      </c>
      <c r="D2189">
        <f>COUNTIF(data.SampSummary!$C$2:$C$1407,C2189)</f>
        <v>0</v>
      </c>
    </row>
    <row r="2190" spans="1:4" x14ac:dyDescent="0.25">
      <c r="A2190" t="s">
        <v>170</v>
      </c>
      <c r="B2190" s="5">
        <v>40430</v>
      </c>
      <c r="C2190" t="str">
        <f t="shared" si="34"/>
        <v>SRTON058.63_40430</v>
      </c>
      <c r="D2190">
        <f>COUNTIF(data.SampSummary!$C$2:$C$1407,C2190)</f>
        <v>0</v>
      </c>
    </row>
    <row r="2191" spans="1:4" x14ac:dyDescent="0.25">
      <c r="A2191" t="s">
        <v>2954</v>
      </c>
      <c r="B2191" s="5">
        <v>40430</v>
      </c>
      <c r="C2191" t="str">
        <f t="shared" si="34"/>
        <v>SRTON057.70_40430</v>
      </c>
      <c r="D2191">
        <f>COUNTIF(data.SampSummary!$C$2:$C$1407,C2191)</f>
        <v>0</v>
      </c>
    </row>
    <row r="2192" spans="1:4" x14ac:dyDescent="0.25">
      <c r="A2192" t="s">
        <v>2927</v>
      </c>
      <c r="B2192" s="5">
        <v>40429</v>
      </c>
      <c r="C2192" t="str">
        <f t="shared" si="34"/>
        <v>SRTON056.59_40429</v>
      </c>
      <c r="D2192">
        <f>COUNTIF(data.SampSummary!$C$2:$C$1407,C2192)</f>
        <v>0</v>
      </c>
    </row>
    <row r="2193" spans="1:4" x14ac:dyDescent="0.25">
      <c r="A2193" t="s">
        <v>2698</v>
      </c>
      <c r="B2193" s="5">
        <v>40429</v>
      </c>
      <c r="C2193" t="str">
        <f t="shared" si="34"/>
        <v>SRTON055.09_40429</v>
      </c>
      <c r="D2193">
        <f>COUNTIF(data.SampSummary!$C$2:$C$1407,C2193)</f>
        <v>0</v>
      </c>
    </row>
    <row r="2194" spans="1:4" x14ac:dyDescent="0.25">
      <c r="A2194" t="s">
        <v>197</v>
      </c>
      <c r="B2194" s="5">
        <v>40429</v>
      </c>
      <c r="C2194" t="str">
        <f t="shared" si="34"/>
        <v>SRTON053.87_40429</v>
      </c>
      <c r="D2194">
        <f>COUNTIF(data.SampSummary!$C$2:$C$1407,C2194)</f>
        <v>0</v>
      </c>
    </row>
    <row r="2195" spans="1:4" x14ac:dyDescent="0.25">
      <c r="A2195" t="s">
        <v>2929</v>
      </c>
      <c r="B2195" s="5">
        <v>40429</v>
      </c>
      <c r="C2195" t="str">
        <f t="shared" si="34"/>
        <v>SRCRS000.08_40429</v>
      </c>
      <c r="D2195">
        <f>COUNTIF(data.SampSummary!$C$2:$C$1407,C2195)</f>
        <v>0</v>
      </c>
    </row>
    <row r="2196" spans="1:4" x14ac:dyDescent="0.25">
      <c r="A2196" t="s">
        <v>2953</v>
      </c>
      <c r="B2196" s="5">
        <v>40429</v>
      </c>
      <c r="C2196" t="str">
        <f t="shared" si="34"/>
        <v>SRCRS001.24_40429</v>
      </c>
      <c r="D2196">
        <f>COUNTIF(data.SampSummary!$C$2:$C$1407,C2196)</f>
        <v>0</v>
      </c>
    </row>
    <row r="2197" spans="1:4" x14ac:dyDescent="0.25">
      <c r="A2197" t="s">
        <v>2812</v>
      </c>
      <c r="B2197" s="5">
        <v>40429</v>
      </c>
      <c r="C2197" t="str">
        <f t="shared" si="34"/>
        <v>LCLCR226.31_40429</v>
      </c>
      <c r="D2197">
        <f>COUNTIF(data.SampSummary!$C$2:$C$1407,C2197)</f>
        <v>0</v>
      </c>
    </row>
    <row r="2198" spans="1:4" x14ac:dyDescent="0.25">
      <c r="A2198" t="s">
        <v>2814</v>
      </c>
      <c r="B2198" s="5">
        <v>40429</v>
      </c>
      <c r="C2198" t="str">
        <f t="shared" si="34"/>
        <v>LCSIL000.06_40429</v>
      </c>
      <c r="D2198">
        <f>COUNTIF(data.SampSummary!$C$2:$C$1407,C2198)</f>
        <v>0</v>
      </c>
    </row>
    <row r="2199" spans="1:4" x14ac:dyDescent="0.25">
      <c r="A2199" t="s">
        <v>360</v>
      </c>
      <c r="B2199" s="5">
        <v>40429</v>
      </c>
      <c r="C2199" t="str">
        <f t="shared" si="34"/>
        <v>SCSCR039.63_40429</v>
      </c>
      <c r="D2199">
        <f>COUNTIF(data.SampSummary!$C$2:$C$1407,C2199)</f>
        <v>0</v>
      </c>
    </row>
    <row r="2200" spans="1:4" x14ac:dyDescent="0.25">
      <c r="A2200" t="s">
        <v>2928</v>
      </c>
      <c r="B2200" s="5">
        <v>40415</v>
      </c>
      <c r="C2200" t="str">
        <f t="shared" si="34"/>
        <v>SRCRS006.20_40415</v>
      </c>
      <c r="D2200">
        <f>COUNTIF(data.SampSummary!$C$2:$C$1407,C2200)</f>
        <v>0</v>
      </c>
    </row>
    <row r="2201" spans="1:4" x14ac:dyDescent="0.25">
      <c r="A2201" t="s">
        <v>2203</v>
      </c>
      <c r="B2201" s="5">
        <v>40415</v>
      </c>
      <c r="C2201" t="str">
        <f t="shared" si="34"/>
        <v>SRTON062.89_40415</v>
      </c>
      <c r="D2201">
        <f>COUNTIF(data.SampSummary!$C$2:$C$1407,C2201)</f>
        <v>0</v>
      </c>
    </row>
    <row r="2202" spans="1:4" x14ac:dyDescent="0.25">
      <c r="A2202" t="s">
        <v>2958</v>
      </c>
      <c r="B2202" s="5">
        <v>40415</v>
      </c>
      <c r="C2202" t="str">
        <f t="shared" si="34"/>
        <v>SRTON060.28_40415</v>
      </c>
      <c r="D2202">
        <f>COUNTIF(data.SampSummary!$C$2:$C$1407,C2202)</f>
        <v>0</v>
      </c>
    </row>
    <row r="2203" spans="1:4" x14ac:dyDescent="0.25">
      <c r="A2203" t="s">
        <v>170</v>
      </c>
      <c r="B2203" s="5">
        <v>40415</v>
      </c>
      <c r="C2203" t="str">
        <f t="shared" si="34"/>
        <v>SRTON058.63_40415</v>
      </c>
      <c r="D2203">
        <f>COUNTIF(data.SampSummary!$C$2:$C$1407,C2203)</f>
        <v>0</v>
      </c>
    </row>
    <row r="2204" spans="1:4" x14ac:dyDescent="0.25">
      <c r="A2204" t="s">
        <v>17</v>
      </c>
      <c r="B2204" s="5">
        <v>40415</v>
      </c>
      <c r="C2204" t="str">
        <f t="shared" si="34"/>
        <v>SRTON062.28_40415</v>
      </c>
      <c r="D2204">
        <f>COUNTIF(data.SampSummary!$C$2:$C$1407,C2204)</f>
        <v>0</v>
      </c>
    </row>
    <row r="2205" spans="1:4" x14ac:dyDescent="0.25">
      <c r="A2205" t="s">
        <v>51</v>
      </c>
      <c r="B2205" s="5">
        <v>40415</v>
      </c>
      <c r="C2205" t="str">
        <f t="shared" si="34"/>
        <v>SRTON061.37_40415</v>
      </c>
      <c r="D2205">
        <f>COUNTIF(data.SampSummary!$C$2:$C$1407,C2205)</f>
        <v>0</v>
      </c>
    </row>
    <row r="2206" spans="1:4" x14ac:dyDescent="0.25">
      <c r="A2206" t="s">
        <v>2954</v>
      </c>
      <c r="B2206" s="5">
        <v>40415</v>
      </c>
      <c r="C2206" t="str">
        <f t="shared" si="34"/>
        <v>SRTON057.70_40415</v>
      </c>
      <c r="D2206">
        <f>COUNTIF(data.SampSummary!$C$2:$C$1407,C2206)</f>
        <v>0</v>
      </c>
    </row>
    <row r="2207" spans="1:4" x14ac:dyDescent="0.25">
      <c r="A2207" t="s">
        <v>2953</v>
      </c>
      <c r="B2207" s="5">
        <v>40414</v>
      </c>
      <c r="C2207" t="str">
        <f t="shared" si="34"/>
        <v>SRCRS001.24_40414</v>
      </c>
      <c r="D2207">
        <f>COUNTIF(data.SampSummary!$C$2:$C$1407,C2207)</f>
        <v>0</v>
      </c>
    </row>
    <row r="2208" spans="1:4" x14ac:dyDescent="0.25">
      <c r="A2208" t="s">
        <v>2950</v>
      </c>
      <c r="B2208" s="5">
        <v>40414</v>
      </c>
      <c r="C2208" t="str">
        <f t="shared" si="34"/>
        <v>SRCRS001.74_40414</v>
      </c>
      <c r="D2208">
        <f>COUNTIF(data.SampSummary!$C$2:$C$1407,C2208)</f>
        <v>0</v>
      </c>
    </row>
    <row r="2209" spans="1:4" x14ac:dyDescent="0.25">
      <c r="A2209" t="s">
        <v>2698</v>
      </c>
      <c r="B2209" s="5">
        <v>40414</v>
      </c>
      <c r="C2209" t="str">
        <f t="shared" si="34"/>
        <v>SRTON055.09_40414</v>
      </c>
      <c r="D2209">
        <f>COUNTIF(data.SampSummary!$C$2:$C$1407,C2209)</f>
        <v>0</v>
      </c>
    </row>
    <row r="2210" spans="1:4" x14ac:dyDescent="0.25">
      <c r="A2210" t="s">
        <v>197</v>
      </c>
      <c r="B2210" s="5">
        <v>40414</v>
      </c>
      <c r="C2210" t="str">
        <f t="shared" si="34"/>
        <v>SRTON053.87_40414</v>
      </c>
      <c r="D2210">
        <f>COUNTIF(data.SampSummary!$C$2:$C$1407,C2210)</f>
        <v>0</v>
      </c>
    </row>
    <row r="2211" spans="1:4" x14ac:dyDescent="0.25">
      <c r="A2211" t="s">
        <v>2929</v>
      </c>
      <c r="B2211" s="5">
        <v>40414</v>
      </c>
      <c r="C2211" t="str">
        <f t="shared" si="34"/>
        <v>SRCRS000.08_40414</v>
      </c>
      <c r="D2211">
        <f>COUNTIF(data.SampSummary!$C$2:$C$1407,C2211)</f>
        <v>0</v>
      </c>
    </row>
    <row r="2212" spans="1:4" x14ac:dyDescent="0.25">
      <c r="A2212" t="s">
        <v>2445</v>
      </c>
      <c r="B2212" s="5">
        <v>40414</v>
      </c>
      <c r="C2212" t="str">
        <f t="shared" si="34"/>
        <v>SRCRS002.25_40414</v>
      </c>
      <c r="D2212">
        <f>COUNTIF(data.SampSummary!$C$2:$C$1407,C2212)</f>
        <v>0</v>
      </c>
    </row>
    <row r="2213" spans="1:4" x14ac:dyDescent="0.25">
      <c r="A2213" t="s">
        <v>2927</v>
      </c>
      <c r="B2213" s="5">
        <v>40414</v>
      </c>
      <c r="C2213" t="str">
        <f t="shared" si="34"/>
        <v>SRTON056.59_40414</v>
      </c>
      <c r="D2213">
        <f>COUNTIF(data.SampSummary!$C$2:$C$1407,C2213)</f>
        <v>0</v>
      </c>
    </row>
    <row r="2214" spans="1:4" x14ac:dyDescent="0.25">
      <c r="A2214" t="s">
        <v>2812</v>
      </c>
      <c r="B2214" s="5">
        <v>40396</v>
      </c>
      <c r="C2214" t="str">
        <f t="shared" si="34"/>
        <v>LCLCR226.31_40396</v>
      </c>
      <c r="D2214">
        <f>COUNTIF(data.SampSummary!$C$2:$C$1407,C2214)</f>
        <v>0</v>
      </c>
    </row>
    <row r="2215" spans="1:4" x14ac:dyDescent="0.25">
      <c r="A2215" t="s">
        <v>2814</v>
      </c>
      <c r="B2215" s="5">
        <v>40396</v>
      </c>
      <c r="C2215" t="str">
        <f t="shared" si="34"/>
        <v>LCSIL000.06_40396</v>
      </c>
      <c r="D2215">
        <f>COUNTIF(data.SampSummary!$C$2:$C$1407,C2215)</f>
        <v>0</v>
      </c>
    </row>
    <row r="2216" spans="1:4" x14ac:dyDescent="0.25">
      <c r="A2216" t="s">
        <v>51</v>
      </c>
      <c r="B2216" s="5">
        <v>40372</v>
      </c>
      <c r="C2216" t="str">
        <f t="shared" si="34"/>
        <v>SRTON061.37_40372</v>
      </c>
      <c r="D2216">
        <f>COUNTIF(data.SampSummary!$C$2:$C$1407,C2216)</f>
        <v>0</v>
      </c>
    </row>
    <row r="2217" spans="1:4" x14ac:dyDescent="0.25">
      <c r="A2217" t="s">
        <v>17</v>
      </c>
      <c r="B2217" s="5">
        <v>40372</v>
      </c>
      <c r="C2217" t="str">
        <f t="shared" si="34"/>
        <v>SRTON062.28_40372</v>
      </c>
      <c r="D2217">
        <f>COUNTIF(data.SampSummary!$C$2:$C$1407,C2217)</f>
        <v>0</v>
      </c>
    </row>
    <row r="2218" spans="1:4" x14ac:dyDescent="0.25">
      <c r="A2218" t="s">
        <v>2203</v>
      </c>
      <c r="B2218" s="5">
        <v>40372</v>
      </c>
      <c r="C2218" t="str">
        <f t="shared" si="34"/>
        <v>SRTON062.89_40372</v>
      </c>
      <c r="D2218">
        <f>COUNTIF(data.SampSummary!$C$2:$C$1407,C2218)</f>
        <v>0</v>
      </c>
    </row>
    <row r="2219" spans="1:4" x14ac:dyDescent="0.25">
      <c r="A2219" t="s">
        <v>2928</v>
      </c>
      <c r="B2219" s="5">
        <v>40372</v>
      </c>
      <c r="C2219" t="str">
        <f t="shared" si="34"/>
        <v>SRCRS006.20_40372</v>
      </c>
      <c r="D2219">
        <f>COUNTIF(data.SampSummary!$C$2:$C$1407,C2219)</f>
        <v>0</v>
      </c>
    </row>
    <row r="2220" spans="1:4" x14ac:dyDescent="0.25">
      <c r="A2220" t="s">
        <v>2954</v>
      </c>
      <c r="B2220" s="5">
        <v>40372</v>
      </c>
      <c r="C2220" t="str">
        <f t="shared" si="34"/>
        <v>SRTON057.70_40372</v>
      </c>
      <c r="D2220">
        <f>COUNTIF(data.SampSummary!$C$2:$C$1407,C2220)</f>
        <v>0</v>
      </c>
    </row>
    <row r="2221" spans="1:4" x14ac:dyDescent="0.25">
      <c r="A2221" t="s">
        <v>170</v>
      </c>
      <c r="B2221" s="5">
        <v>40372</v>
      </c>
      <c r="C2221" t="str">
        <f t="shared" si="34"/>
        <v>SRTON058.63_40372</v>
      </c>
      <c r="D2221">
        <f>COUNTIF(data.SampSummary!$C$2:$C$1407,C2221)</f>
        <v>0</v>
      </c>
    </row>
    <row r="2222" spans="1:4" x14ac:dyDescent="0.25">
      <c r="A2222" t="s">
        <v>197</v>
      </c>
      <c r="B2222" s="5">
        <v>40371</v>
      </c>
      <c r="C2222" t="str">
        <f t="shared" si="34"/>
        <v>SRTON053.87_40371</v>
      </c>
      <c r="D2222">
        <f>COUNTIF(data.SampSummary!$C$2:$C$1407,C2222)</f>
        <v>0</v>
      </c>
    </row>
    <row r="2223" spans="1:4" x14ac:dyDescent="0.25">
      <c r="A2223" t="s">
        <v>2698</v>
      </c>
      <c r="B2223" s="5">
        <v>40371</v>
      </c>
      <c r="C2223" t="str">
        <f t="shared" si="34"/>
        <v>SRTON055.09_40371</v>
      </c>
      <c r="D2223">
        <f>COUNTIF(data.SampSummary!$C$2:$C$1407,C2223)</f>
        <v>0</v>
      </c>
    </row>
    <row r="2224" spans="1:4" x14ac:dyDescent="0.25">
      <c r="A2224" t="s">
        <v>2927</v>
      </c>
      <c r="B2224" s="5">
        <v>40371</v>
      </c>
      <c r="C2224" t="str">
        <f t="shared" si="34"/>
        <v>SRTON056.59_40371</v>
      </c>
      <c r="D2224">
        <f>COUNTIF(data.SampSummary!$C$2:$C$1407,C2224)</f>
        <v>0</v>
      </c>
    </row>
    <row r="2225" spans="1:4" x14ac:dyDescent="0.25">
      <c r="A2225" t="s">
        <v>2929</v>
      </c>
      <c r="B2225" s="5">
        <v>40371</v>
      </c>
      <c r="C2225" t="str">
        <f t="shared" si="34"/>
        <v>SRCRS000.08_40371</v>
      </c>
      <c r="D2225">
        <f>COUNTIF(data.SampSummary!$C$2:$C$1407,C2225)</f>
        <v>0</v>
      </c>
    </row>
    <row r="2226" spans="1:4" x14ac:dyDescent="0.25">
      <c r="A2226" t="s">
        <v>2836</v>
      </c>
      <c r="B2226" s="5">
        <v>41723</v>
      </c>
      <c r="C2226" t="str">
        <f t="shared" si="34"/>
        <v>CLGLR010.53_41723</v>
      </c>
      <c r="D2226">
        <f>COUNTIF(data.SampSummary!$C$2:$C$1407,C2226)</f>
        <v>0</v>
      </c>
    </row>
    <row r="2227" spans="1:4" x14ac:dyDescent="0.25">
      <c r="A2227" t="s">
        <v>2929</v>
      </c>
      <c r="B2227" s="5">
        <v>41877</v>
      </c>
      <c r="C2227" t="str">
        <f t="shared" si="34"/>
        <v>SRCRS000.08_41877</v>
      </c>
      <c r="D2227">
        <f>COUNTIF(data.SampSummary!$C$2:$C$1407,C2227)</f>
        <v>0</v>
      </c>
    </row>
    <row r="2228" spans="1:4" x14ac:dyDescent="0.25">
      <c r="A2228" t="s">
        <v>170</v>
      </c>
      <c r="B2228" s="5">
        <v>41906</v>
      </c>
      <c r="C2228" t="str">
        <f t="shared" si="34"/>
        <v>SRTON058.63_41906</v>
      </c>
      <c r="D2228">
        <f>COUNTIF(data.SampSummary!$C$2:$C$1407,C2228)</f>
        <v>0</v>
      </c>
    </row>
    <row r="2229" spans="1:4" x14ac:dyDescent="0.25">
      <c r="A2229" t="s">
        <v>51</v>
      </c>
      <c r="B2229" s="5">
        <v>41906</v>
      </c>
      <c r="C2229" t="str">
        <f t="shared" si="34"/>
        <v>SRTON061.37_41906</v>
      </c>
      <c r="D2229">
        <f>COUNTIF(data.SampSummary!$C$2:$C$1407,C2229)</f>
        <v>0</v>
      </c>
    </row>
    <row r="2230" spans="1:4" x14ac:dyDescent="0.25">
      <c r="A2230" t="s">
        <v>17</v>
      </c>
      <c r="B2230" s="5">
        <v>41906</v>
      </c>
      <c r="C2230" t="str">
        <f t="shared" si="34"/>
        <v>SRTON062.28_41906</v>
      </c>
      <c r="D2230">
        <f>COUNTIF(data.SampSummary!$C$2:$C$1407,C2230)</f>
        <v>0</v>
      </c>
    </row>
    <row r="2231" spans="1:4" x14ac:dyDescent="0.25">
      <c r="A2231" t="s">
        <v>2203</v>
      </c>
      <c r="B2231" s="5">
        <v>41906</v>
      </c>
      <c r="C2231" t="str">
        <f t="shared" si="34"/>
        <v>SRTON062.89_41906</v>
      </c>
      <c r="D2231">
        <f>COUNTIF(data.SampSummary!$C$2:$C$1407,C2231)</f>
        <v>0</v>
      </c>
    </row>
    <row r="2232" spans="1:4" x14ac:dyDescent="0.25">
      <c r="A2232" t="s">
        <v>51</v>
      </c>
      <c r="B2232" s="5">
        <v>41892</v>
      </c>
      <c r="C2232" t="str">
        <f t="shared" si="34"/>
        <v>SRTON061.37_41892</v>
      </c>
      <c r="D2232">
        <f>COUNTIF(data.SampSummary!$C$2:$C$1407,C2232)</f>
        <v>0</v>
      </c>
    </row>
    <row r="2233" spans="1:4" x14ac:dyDescent="0.25">
      <c r="A2233" t="s">
        <v>17</v>
      </c>
      <c r="B2233" s="5">
        <v>41892</v>
      </c>
      <c r="C2233" t="str">
        <f t="shared" si="34"/>
        <v>SRTON062.28_41892</v>
      </c>
      <c r="D2233">
        <f>COUNTIF(data.SampSummary!$C$2:$C$1407,C2233)</f>
        <v>0</v>
      </c>
    </row>
    <row r="2234" spans="1:4" x14ac:dyDescent="0.25">
      <c r="A2234" t="s">
        <v>2953</v>
      </c>
      <c r="B2234" s="5">
        <v>41891</v>
      </c>
      <c r="C2234" t="str">
        <f t="shared" si="34"/>
        <v>SRCRS001.24_41891</v>
      </c>
      <c r="D2234">
        <f>COUNTIF(data.SampSummary!$C$2:$C$1407,C2234)</f>
        <v>0</v>
      </c>
    </row>
    <row r="2235" spans="1:4" x14ac:dyDescent="0.25">
      <c r="A2235" t="s">
        <v>17</v>
      </c>
      <c r="B2235" s="5">
        <v>41878</v>
      </c>
      <c r="C2235" t="str">
        <f t="shared" si="34"/>
        <v>SRTON062.28_41878</v>
      </c>
      <c r="D2235">
        <f>COUNTIF(data.SampSummary!$C$2:$C$1407,C2235)</f>
        <v>0</v>
      </c>
    </row>
    <row r="2236" spans="1:4" x14ac:dyDescent="0.25">
      <c r="A2236" t="s">
        <v>2203</v>
      </c>
      <c r="B2236" s="5">
        <v>41878</v>
      </c>
      <c r="C2236" t="str">
        <f t="shared" si="34"/>
        <v>SRTON062.89_41878</v>
      </c>
      <c r="D2236">
        <f>COUNTIF(data.SampSummary!$C$2:$C$1407,C2236)</f>
        <v>0</v>
      </c>
    </row>
    <row r="2237" spans="1:4" x14ac:dyDescent="0.25">
      <c r="A2237" t="s">
        <v>51</v>
      </c>
      <c r="B2237" s="5">
        <v>41543</v>
      </c>
      <c r="C2237" t="str">
        <f t="shared" si="34"/>
        <v>SRTON061.37_41543</v>
      </c>
      <c r="D2237">
        <f>COUNTIF(data.SampSummary!$C$2:$C$1407,C2237)</f>
        <v>0</v>
      </c>
    </row>
    <row r="2238" spans="1:4" x14ac:dyDescent="0.25">
      <c r="A2238" t="s">
        <v>2698</v>
      </c>
      <c r="B2238" s="5">
        <v>41877</v>
      </c>
      <c r="C2238" t="str">
        <f t="shared" si="34"/>
        <v>SRTON055.09_41877</v>
      </c>
      <c r="D2238">
        <f>COUNTIF(data.SampSummary!$C$2:$C$1407,C2238)</f>
        <v>0</v>
      </c>
    </row>
    <row r="2239" spans="1:4" x14ac:dyDescent="0.25">
      <c r="A2239" t="s">
        <v>2953</v>
      </c>
      <c r="B2239" s="5">
        <v>41877</v>
      </c>
      <c r="C2239" t="str">
        <f t="shared" si="34"/>
        <v>SRCRS001.24_41877</v>
      </c>
      <c r="D2239">
        <f>COUNTIF(data.SampSummary!$C$2:$C$1407,C2239)</f>
        <v>0</v>
      </c>
    </row>
    <row r="2240" spans="1:4" x14ac:dyDescent="0.25">
      <c r="A2240" t="s">
        <v>2928</v>
      </c>
      <c r="B2240" s="5">
        <v>41877</v>
      </c>
      <c r="C2240" t="str">
        <f t="shared" si="34"/>
        <v>SRCRS006.20_41877</v>
      </c>
      <c r="D2240">
        <f>COUNTIF(data.SampSummary!$C$2:$C$1407,C2240)</f>
        <v>0</v>
      </c>
    </row>
    <row r="2241" spans="1:4" x14ac:dyDescent="0.25">
      <c r="A2241" t="s">
        <v>2953</v>
      </c>
      <c r="B2241" s="5">
        <v>41542</v>
      </c>
      <c r="C2241" t="str">
        <f t="shared" si="34"/>
        <v>SRCRS001.24_41542</v>
      </c>
      <c r="D2241">
        <f>COUNTIF(data.SampSummary!$C$2:$C$1407,C2241)</f>
        <v>0</v>
      </c>
    </row>
    <row r="2242" spans="1:4" x14ac:dyDescent="0.25">
      <c r="A2242" t="s">
        <v>197</v>
      </c>
      <c r="B2242" s="5">
        <v>41856</v>
      </c>
      <c r="C2242" t="str">
        <f t="shared" si="34"/>
        <v>SRTON053.87_41856</v>
      </c>
      <c r="D2242">
        <f>COUNTIF(data.SampSummary!$C$2:$C$1407,C2242)</f>
        <v>0</v>
      </c>
    </row>
    <row r="2243" spans="1:4" x14ac:dyDescent="0.25">
      <c r="A2243" t="s">
        <v>2929</v>
      </c>
      <c r="B2243" s="5">
        <v>41856</v>
      </c>
      <c r="C2243" t="str">
        <f t="shared" ref="C2243:C2306" si="35">A2243&amp;"_"&amp;B2243</f>
        <v>SRCRS000.08_41856</v>
      </c>
      <c r="D2243">
        <f>COUNTIF(data.SampSummary!$C$2:$C$1407,C2243)</f>
        <v>0</v>
      </c>
    </row>
    <row r="2244" spans="1:4" x14ac:dyDescent="0.25">
      <c r="A2244" t="s">
        <v>2927</v>
      </c>
      <c r="B2244" s="5">
        <v>41856</v>
      </c>
      <c r="C2244" t="str">
        <f t="shared" si="35"/>
        <v>SRTON056.59_41856</v>
      </c>
      <c r="D2244">
        <f>COUNTIF(data.SampSummary!$C$2:$C$1407,C2244)</f>
        <v>0</v>
      </c>
    </row>
    <row r="2245" spans="1:4" x14ac:dyDescent="0.25">
      <c r="A2245" t="s">
        <v>170</v>
      </c>
      <c r="B2245" s="5">
        <v>41843</v>
      </c>
      <c r="C2245" t="str">
        <f t="shared" si="35"/>
        <v>SRTON058.63_41843</v>
      </c>
      <c r="D2245">
        <f>COUNTIF(data.SampSummary!$C$2:$C$1407,C2245)</f>
        <v>0</v>
      </c>
    </row>
    <row r="2246" spans="1:4" x14ac:dyDescent="0.25">
      <c r="A2246" t="s">
        <v>51</v>
      </c>
      <c r="B2246" s="5">
        <v>41843</v>
      </c>
      <c r="C2246" t="str">
        <f t="shared" si="35"/>
        <v>SRTON061.37_41843</v>
      </c>
      <c r="D2246">
        <f>COUNTIF(data.SampSummary!$C$2:$C$1407,C2246)</f>
        <v>0</v>
      </c>
    </row>
    <row r="2247" spans="1:4" x14ac:dyDescent="0.25">
      <c r="A2247" t="s">
        <v>2445</v>
      </c>
      <c r="B2247" s="5">
        <v>41842</v>
      </c>
      <c r="C2247" t="str">
        <f t="shared" si="35"/>
        <v>SRCRS002.25_41842</v>
      </c>
      <c r="D2247">
        <f>COUNTIF(data.SampSummary!$C$2:$C$1407,C2247)</f>
        <v>0</v>
      </c>
    </row>
    <row r="2248" spans="1:4" x14ac:dyDescent="0.25">
      <c r="A2248" t="s">
        <v>2929</v>
      </c>
      <c r="B2248" s="5">
        <v>41842</v>
      </c>
      <c r="C2248" t="str">
        <f t="shared" si="35"/>
        <v>SRCRS000.08_41842</v>
      </c>
      <c r="D2248">
        <f>COUNTIF(data.SampSummary!$C$2:$C$1407,C2248)</f>
        <v>0</v>
      </c>
    </row>
    <row r="2249" spans="1:4" x14ac:dyDescent="0.25">
      <c r="A2249" t="s">
        <v>2927</v>
      </c>
      <c r="B2249" s="5">
        <v>41409</v>
      </c>
      <c r="C2249" t="str">
        <f t="shared" si="35"/>
        <v>SRTON056.59_41409</v>
      </c>
      <c r="D2249">
        <f>COUNTIF(data.SampSummary!$C$2:$C$1407,C2249)</f>
        <v>0</v>
      </c>
    </row>
    <row r="2250" spans="1:4" x14ac:dyDescent="0.25">
      <c r="A2250" t="s">
        <v>2958</v>
      </c>
      <c r="B2250" s="5">
        <v>41423</v>
      </c>
      <c r="C2250" t="str">
        <f t="shared" si="35"/>
        <v>SRTON060.28_41423</v>
      </c>
      <c r="D2250">
        <f>COUNTIF(data.SampSummary!$C$2:$C$1407,C2250)</f>
        <v>0</v>
      </c>
    </row>
    <row r="2251" spans="1:4" x14ac:dyDescent="0.25">
      <c r="A2251" t="s">
        <v>2203</v>
      </c>
      <c r="B2251" s="5">
        <v>40827</v>
      </c>
      <c r="C2251" t="str">
        <f t="shared" si="35"/>
        <v>SRTON062.89_40827</v>
      </c>
      <c r="D2251">
        <f>COUNTIF(data.SampSummary!$C$2:$C$1407,C2251)</f>
        <v>0</v>
      </c>
    </row>
    <row r="2252" spans="1:4" x14ac:dyDescent="0.25">
      <c r="A2252" t="s">
        <v>2928</v>
      </c>
      <c r="B2252" s="5">
        <v>41436</v>
      </c>
      <c r="C2252" t="str">
        <f t="shared" si="35"/>
        <v>SRCRS006.20_41436</v>
      </c>
      <c r="D2252">
        <f>COUNTIF(data.SampSummary!$C$2:$C$1407,C2252)</f>
        <v>0</v>
      </c>
    </row>
    <row r="2253" spans="1:4" x14ac:dyDescent="0.25">
      <c r="A2253" t="s">
        <v>2954</v>
      </c>
      <c r="B2253" s="5">
        <v>40793</v>
      </c>
      <c r="C2253" t="str">
        <f t="shared" si="35"/>
        <v>SRTON057.70_40793</v>
      </c>
      <c r="D2253">
        <f>COUNTIF(data.SampSummary!$C$2:$C$1407,C2253)</f>
        <v>0</v>
      </c>
    </row>
    <row r="2254" spans="1:4" x14ac:dyDescent="0.25">
      <c r="A2254" t="s">
        <v>51</v>
      </c>
      <c r="B2254" s="5">
        <v>40793</v>
      </c>
      <c r="C2254" t="str">
        <f t="shared" si="35"/>
        <v>SRTON061.37_40793</v>
      </c>
      <c r="D2254">
        <f>COUNTIF(data.SampSummary!$C$2:$C$1407,C2254)</f>
        <v>0</v>
      </c>
    </row>
    <row r="2255" spans="1:4" x14ac:dyDescent="0.25">
      <c r="A2255" t="s">
        <v>17</v>
      </c>
      <c r="B2255" s="5">
        <v>40793</v>
      </c>
      <c r="C2255" t="str">
        <f t="shared" si="35"/>
        <v>SRTON062.28_40793</v>
      </c>
      <c r="D2255">
        <f>COUNTIF(data.SampSummary!$C$2:$C$1407,C2255)</f>
        <v>0</v>
      </c>
    </row>
    <row r="2256" spans="1:4" x14ac:dyDescent="0.25">
      <c r="A2256" t="s">
        <v>2203</v>
      </c>
      <c r="B2256" s="5">
        <v>40793</v>
      </c>
      <c r="C2256" t="str">
        <f t="shared" si="35"/>
        <v>SRTON062.89_40793</v>
      </c>
      <c r="D2256">
        <f>COUNTIF(data.SampSummary!$C$2:$C$1407,C2256)</f>
        <v>0</v>
      </c>
    </row>
    <row r="2257" spans="1:4" x14ac:dyDescent="0.25">
      <c r="A2257" t="s">
        <v>2927</v>
      </c>
      <c r="B2257" s="5">
        <v>40792</v>
      </c>
      <c r="C2257" t="str">
        <f t="shared" si="35"/>
        <v>SRTON056.59_40792</v>
      </c>
      <c r="D2257">
        <f>COUNTIF(data.SampSummary!$C$2:$C$1407,C2257)</f>
        <v>0</v>
      </c>
    </row>
    <row r="2258" spans="1:4" x14ac:dyDescent="0.25">
      <c r="A2258" t="s">
        <v>2953</v>
      </c>
      <c r="B2258" s="5">
        <v>40792</v>
      </c>
      <c r="C2258" t="str">
        <f t="shared" si="35"/>
        <v>SRCRS001.24_40792</v>
      </c>
      <c r="D2258">
        <f>COUNTIF(data.SampSummary!$C$2:$C$1407,C2258)</f>
        <v>0</v>
      </c>
    </row>
    <row r="2259" spans="1:4" x14ac:dyDescent="0.25">
      <c r="A2259" t="s">
        <v>2928</v>
      </c>
      <c r="B2259" s="5">
        <v>40792</v>
      </c>
      <c r="C2259" t="str">
        <f t="shared" si="35"/>
        <v>SRCRS006.20_40792</v>
      </c>
      <c r="D2259">
        <f>COUNTIF(data.SampSummary!$C$2:$C$1407,C2259)</f>
        <v>0</v>
      </c>
    </row>
    <row r="2260" spans="1:4" x14ac:dyDescent="0.25">
      <c r="A2260" t="s">
        <v>197</v>
      </c>
      <c r="B2260" s="5">
        <v>40792</v>
      </c>
      <c r="C2260" t="str">
        <f t="shared" si="35"/>
        <v>SRTON053.87_40792</v>
      </c>
      <c r="D2260">
        <f>COUNTIF(data.SampSummary!$C$2:$C$1407,C2260)</f>
        <v>0</v>
      </c>
    </row>
    <row r="2261" spans="1:4" x14ac:dyDescent="0.25">
      <c r="A2261" t="s">
        <v>2839</v>
      </c>
      <c r="B2261" s="5">
        <v>41513</v>
      </c>
      <c r="C2261" t="str">
        <f t="shared" si="35"/>
        <v>CLGLR011.17_41513</v>
      </c>
      <c r="D2261">
        <f>COUNTIF(data.SampSummary!$C$2:$C$1407,C2261)</f>
        <v>0</v>
      </c>
    </row>
    <row r="2262" spans="1:4" x14ac:dyDescent="0.25">
      <c r="A2262" t="s">
        <v>2698</v>
      </c>
      <c r="B2262" s="5">
        <v>40792</v>
      </c>
      <c r="C2262" t="str">
        <f t="shared" si="35"/>
        <v>SRTON055.09_40792</v>
      </c>
      <c r="D2262">
        <f>COUNTIF(data.SampSummary!$C$2:$C$1407,C2262)</f>
        <v>0</v>
      </c>
    </row>
    <row r="2263" spans="1:4" x14ac:dyDescent="0.25">
      <c r="A2263" t="s">
        <v>2445</v>
      </c>
      <c r="B2263" s="5">
        <v>40792</v>
      </c>
      <c r="C2263" t="str">
        <f t="shared" si="35"/>
        <v>SRCRS002.25_40792</v>
      </c>
      <c r="D2263">
        <f>COUNTIF(data.SampSummary!$C$2:$C$1407,C2263)</f>
        <v>0</v>
      </c>
    </row>
    <row r="2264" spans="1:4" x14ac:dyDescent="0.25">
      <c r="A2264" t="s">
        <v>197</v>
      </c>
      <c r="B2264" s="5">
        <v>40791</v>
      </c>
      <c r="C2264" t="str">
        <f t="shared" si="35"/>
        <v>SRTON053.87_40791</v>
      </c>
      <c r="D2264">
        <f>COUNTIF(data.SampSummary!$C$2:$C$1407,C2264)</f>
        <v>0</v>
      </c>
    </row>
    <row r="2265" spans="1:4" x14ac:dyDescent="0.25">
      <c r="A2265" t="s">
        <v>2698</v>
      </c>
      <c r="B2265" s="5">
        <v>40791</v>
      </c>
      <c r="C2265" t="str">
        <f t="shared" si="35"/>
        <v>SRTON055.09_40791</v>
      </c>
      <c r="D2265">
        <f>COUNTIF(data.SampSummary!$C$2:$C$1407,C2265)</f>
        <v>0</v>
      </c>
    </row>
    <row r="2266" spans="1:4" x14ac:dyDescent="0.25">
      <c r="A2266" t="s">
        <v>2445</v>
      </c>
      <c r="B2266" s="5">
        <v>40791</v>
      </c>
      <c r="C2266" t="str">
        <f t="shared" si="35"/>
        <v>SRCRS002.25_40791</v>
      </c>
      <c r="D2266">
        <f>COUNTIF(data.SampSummary!$C$2:$C$1407,C2266)</f>
        <v>0</v>
      </c>
    </row>
    <row r="2267" spans="1:4" x14ac:dyDescent="0.25">
      <c r="A2267" t="s">
        <v>2954</v>
      </c>
      <c r="B2267" s="5">
        <v>41493</v>
      </c>
      <c r="C2267" t="str">
        <f t="shared" si="35"/>
        <v>SRTON057.70_41493</v>
      </c>
      <c r="D2267">
        <f>COUNTIF(data.SampSummary!$C$2:$C$1407,C2267)</f>
        <v>0</v>
      </c>
    </row>
    <row r="2268" spans="1:4" x14ac:dyDescent="0.25">
      <c r="A2268" t="s">
        <v>2888</v>
      </c>
      <c r="B2268" s="5">
        <v>42458</v>
      </c>
      <c r="C2268" t="str">
        <f t="shared" si="35"/>
        <v>LCLCR328.04_42458</v>
      </c>
      <c r="D2268">
        <f>COUNTIF(data.SampSummary!$C$2:$C$1407,C2268)</f>
        <v>0</v>
      </c>
    </row>
    <row r="2269" spans="1:4" x14ac:dyDescent="0.25">
      <c r="A2269" t="s">
        <v>2871</v>
      </c>
      <c r="B2269" s="5">
        <v>41780</v>
      </c>
      <c r="C2269" t="str">
        <f t="shared" si="35"/>
        <v>LCNUT017.83_41780</v>
      </c>
      <c r="D2269">
        <f>COUNTIF(data.SampSummary!$C$2:$C$1407,C2269)</f>
        <v>0</v>
      </c>
    </row>
    <row r="2270" spans="1:4" x14ac:dyDescent="0.25">
      <c r="A2270" t="s">
        <v>228</v>
      </c>
      <c r="B2270" s="5">
        <v>42416</v>
      </c>
      <c r="C2270" t="str">
        <f t="shared" si="35"/>
        <v>MGHSR048.20_42416</v>
      </c>
      <c r="D2270">
        <f>COUNTIF(data.SampSummary!$C$2:$C$1407,C2270)</f>
        <v>0</v>
      </c>
    </row>
    <row r="2271" spans="1:4" x14ac:dyDescent="0.25">
      <c r="A2271" t="s">
        <v>2836</v>
      </c>
      <c r="B2271" s="5">
        <v>41772</v>
      </c>
      <c r="C2271" t="str">
        <f t="shared" si="35"/>
        <v>CLGLR010.53_41772</v>
      </c>
      <c r="D2271">
        <f>COUNTIF(data.SampSummary!$C$2:$C$1407,C2271)</f>
        <v>0</v>
      </c>
    </row>
    <row r="2272" spans="1:4" x14ac:dyDescent="0.25">
      <c r="A2272" t="s">
        <v>2928</v>
      </c>
      <c r="B2272" s="5">
        <v>41542</v>
      </c>
      <c r="C2272" t="str">
        <f t="shared" si="35"/>
        <v>SRCRS006.20_41542</v>
      </c>
      <c r="D2272">
        <f>COUNTIF(data.SampSummary!$C$2:$C$1407,C2272)</f>
        <v>0</v>
      </c>
    </row>
    <row r="2273" spans="1:4" x14ac:dyDescent="0.25">
      <c r="A2273" t="s">
        <v>2950</v>
      </c>
      <c r="B2273" s="5">
        <v>41422</v>
      </c>
      <c r="C2273" t="str">
        <f t="shared" si="35"/>
        <v>SRCRS001.74_41422</v>
      </c>
      <c r="D2273">
        <f>COUNTIF(data.SampSummary!$C$2:$C$1407,C2273)</f>
        <v>0</v>
      </c>
    </row>
    <row r="2274" spans="1:4" x14ac:dyDescent="0.25">
      <c r="A2274" t="s">
        <v>2898</v>
      </c>
      <c r="B2274" s="5">
        <v>42257</v>
      </c>
      <c r="C2274" t="str">
        <f t="shared" si="35"/>
        <v>UGSFR012.54_42257</v>
      </c>
      <c r="D2274">
        <f>COUNTIF(data.SampSummary!$C$2:$C$1407,C2274)</f>
        <v>0</v>
      </c>
    </row>
    <row r="2275" spans="1:4" x14ac:dyDescent="0.25">
      <c r="A2275" t="s">
        <v>197</v>
      </c>
      <c r="B2275" s="5">
        <v>41436</v>
      </c>
      <c r="C2275" t="str">
        <f t="shared" si="35"/>
        <v>SRTON053.87_41436</v>
      </c>
      <c r="D2275">
        <f>COUNTIF(data.SampSummary!$C$2:$C$1407,C2275)</f>
        <v>0</v>
      </c>
    </row>
    <row r="2276" spans="1:4" x14ac:dyDescent="0.25">
      <c r="A2276" t="s">
        <v>2445</v>
      </c>
      <c r="B2276" s="5">
        <v>41436</v>
      </c>
      <c r="C2276" t="str">
        <f t="shared" si="35"/>
        <v>SRCRS002.25_41436</v>
      </c>
      <c r="D2276">
        <f>COUNTIF(data.SampSummary!$C$2:$C$1407,C2276)</f>
        <v>0</v>
      </c>
    </row>
    <row r="2277" spans="1:4" x14ac:dyDescent="0.25">
      <c r="A2277" t="s">
        <v>369</v>
      </c>
      <c r="B2277" s="5">
        <v>41302</v>
      </c>
      <c r="C2277" t="str">
        <f t="shared" si="35"/>
        <v>MGHSR002.67_41302</v>
      </c>
      <c r="D2277">
        <f>COUNTIF(data.SampSummary!$C$2:$C$1407,C2277)</f>
        <v>0</v>
      </c>
    </row>
    <row r="2278" spans="1:4" x14ac:dyDescent="0.25">
      <c r="A2278" t="s">
        <v>17</v>
      </c>
      <c r="B2278" s="5">
        <v>41508</v>
      </c>
      <c r="C2278" t="str">
        <f t="shared" si="35"/>
        <v>SRTON062.28_41508</v>
      </c>
      <c r="D2278">
        <f>COUNTIF(data.SampSummary!$C$2:$C$1407,C2278)</f>
        <v>0</v>
      </c>
    </row>
    <row r="2279" spans="1:4" x14ac:dyDescent="0.25">
      <c r="A2279" t="s">
        <v>2445</v>
      </c>
      <c r="B2279" s="5">
        <v>41451</v>
      </c>
      <c r="C2279" t="str">
        <f t="shared" si="35"/>
        <v>SRCRS002.25_41451</v>
      </c>
      <c r="D2279">
        <f>COUNTIF(data.SampSummary!$C$2:$C$1407,C2279)</f>
        <v>0</v>
      </c>
    </row>
    <row r="2280" spans="1:4" x14ac:dyDescent="0.25">
      <c r="A2280" t="s">
        <v>2928</v>
      </c>
      <c r="B2280" s="5">
        <v>41451</v>
      </c>
      <c r="C2280" t="str">
        <f t="shared" si="35"/>
        <v>SRCRS006.20_41451</v>
      </c>
      <c r="D2280">
        <f>COUNTIF(data.SampSummary!$C$2:$C$1407,C2280)</f>
        <v>0</v>
      </c>
    </row>
    <row r="2281" spans="1:4" x14ac:dyDescent="0.25">
      <c r="A2281" t="s">
        <v>170</v>
      </c>
      <c r="B2281" s="5">
        <v>41543</v>
      </c>
      <c r="C2281" t="str">
        <f t="shared" si="35"/>
        <v>SRTON058.63_41543</v>
      </c>
      <c r="D2281">
        <f>COUNTIF(data.SampSummary!$C$2:$C$1407,C2281)</f>
        <v>0</v>
      </c>
    </row>
    <row r="2282" spans="1:4" x14ac:dyDescent="0.25">
      <c r="A2282" t="s">
        <v>17</v>
      </c>
      <c r="B2282" s="5">
        <v>41543</v>
      </c>
      <c r="C2282" t="str">
        <f t="shared" si="35"/>
        <v>SRTON062.28_41543</v>
      </c>
      <c r="D2282">
        <f>COUNTIF(data.SampSummary!$C$2:$C$1407,C2282)</f>
        <v>0</v>
      </c>
    </row>
    <row r="2283" spans="1:4" x14ac:dyDescent="0.25">
      <c r="A2283" t="s">
        <v>2203</v>
      </c>
      <c r="B2283" s="5">
        <v>41843</v>
      </c>
      <c r="C2283" t="str">
        <f t="shared" si="35"/>
        <v>SRTON062.89_41843</v>
      </c>
      <c r="D2283">
        <f>COUNTIF(data.SampSummary!$C$2:$C$1407,C2283)</f>
        <v>0</v>
      </c>
    </row>
    <row r="2284" spans="1:4" x14ac:dyDescent="0.25">
      <c r="A2284" t="s">
        <v>2954</v>
      </c>
      <c r="B2284" s="5">
        <v>41843</v>
      </c>
      <c r="C2284" t="str">
        <f t="shared" si="35"/>
        <v>SRTON057.70_41843</v>
      </c>
      <c r="D2284">
        <f>COUNTIF(data.SampSummary!$C$2:$C$1407,C2284)</f>
        <v>0</v>
      </c>
    </row>
    <row r="2285" spans="1:4" x14ac:dyDescent="0.25">
      <c r="A2285" t="s">
        <v>197</v>
      </c>
      <c r="B2285" s="5">
        <v>41422</v>
      </c>
      <c r="C2285" t="str">
        <f t="shared" si="35"/>
        <v>SRTON053.87_41422</v>
      </c>
      <c r="D2285">
        <f>COUNTIF(data.SampSummary!$C$2:$C$1407,C2285)</f>
        <v>0</v>
      </c>
    </row>
    <row r="2286" spans="1:4" x14ac:dyDescent="0.25">
      <c r="A2286" t="s">
        <v>2698</v>
      </c>
      <c r="B2286" s="5">
        <v>41409</v>
      </c>
      <c r="C2286" t="str">
        <f t="shared" si="35"/>
        <v>SRTON055.09_41409</v>
      </c>
      <c r="D2286">
        <f>COUNTIF(data.SampSummary!$C$2:$C$1407,C2286)</f>
        <v>0</v>
      </c>
    </row>
    <row r="2287" spans="1:4" x14ac:dyDescent="0.25">
      <c r="A2287" t="s">
        <v>2698</v>
      </c>
      <c r="B2287" s="5">
        <v>41422</v>
      </c>
      <c r="C2287" t="str">
        <f t="shared" si="35"/>
        <v>SRTON055.09_41422</v>
      </c>
      <c r="D2287">
        <f>COUNTIF(data.SampSummary!$C$2:$C$1407,C2287)</f>
        <v>0</v>
      </c>
    </row>
    <row r="2288" spans="1:4" x14ac:dyDescent="0.25">
      <c r="A2288" t="s">
        <v>2927</v>
      </c>
      <c r="B2288" s="5">
        <v>41422</v>
      </c>
      <c r="C2288" t="str">
        <f t="shared" si="35"/>
        <v>SRTON056.59_41422</v>
      </c>
      <c r="D2288">
        <f>COUNTIF(data.SampSummary!$C$2:$C$1407,C2288)</f>
        <v>0</v>
      </c>
    </row>
    <row r="2289" spans="1:4" x14ac:dyDescent="0.25">
      <c r="A2289" t="s">
        <v>2954</v>
      </c>
      <c r="B2289" s="5">
        <v>41423</v>
      </c>
      <c r="C2289" t="str">
        <f t="shared" si="35"/>
        <v>SRTON057.70_41423</v>
      </c>
      <c r="D2289">
        <f>COUNTIF(data.SampSummary!$C$2:$C$1407,C2289)</f>
        <v>0</v>
      </c>
    </row>
    <row r="2290" spans="1:4" x14ac:dyDescent="0.25">
      <c r="A2290" t="s">
        <v>170</v>
      </c>
      <c r="B2290" s="5">
        <v>41409</v>
      </c>
      <c r="C2290" t="str">
        <f t="shared" si="35"/>
        <v>SRTON058.63_41409</v>
      </c>
      <c r="D2290">
        <f>COUNTIF(data.SampSummary!$C$2:$C$1407,C2290)</f>
        <v>0</v>
      </c>
    </row>
    <row r="2291" spans="1:4" x14ac:dyDescent="0.25">
      <c r="A2291" t="s">
        <v>170</v>
      </c>
      <c r="B2291" s="5">
        <v>41423</v>
      </c>
      <c r="C2291" t="str">
        <f t="shared" si="35"/>
        <v>SRTON058.63_41423</v>
      </c>
      <c r="D2291">
        <f>COUNTIF(data.SampSummary!$C$2:$C$1407,C2291)</f>
        <v>0</v>
      </c>
    </row>
    <row r="2292" spans="1:4" x14ac:dyDescent="0.25">
      <c r="A2292" t="s">
        <v>51</v>
      </c>
      <c r="B2292" s="5">
        <v>41423</v>
      </c>
      <c r="C2292" t="str">
        <f t="shared" si="35"/>
        <v>SRTON061.37_41423</v>
      </c>
      <c r="D2292">
        <f>COUNTIF(data.SampSummary!$C$2:$C$1407,C2292)</f>
        <v>0</v>
      </c>
    </row>
    <row r="2293" spans="1:4" x14ac:dyDescent="0.25">
      <c r="A2293" t="s">
        <v>17</v>
      </c>
      <c r="B2293" s="5">
        <v>41423</v>
      </c>
      <c r="C2293" t="str">
        <f t="shared" si="35"/>
        <v>SRTON062.28_41423</v>
      </c>
      <c r="D2293">
        <f>COUNTIF(data.SampSummary!$C$2:$C$1407,C2293)</f>
        <v>0</v>
      </c>
    </row>
    <row r="2294" spans="1:4" x14ac:dyDescent="0.25">
      <c r="A2294" t="s">
        <v>2203</v>
      </c>
      <c r="B2294" s="5">
        <v>41410</v>
      </c>
      <c r="C2294" t="str">
        <f t="shared" si="35"/>
        <v>SRTON062.89_41410</v>
      </c>
      <c r="D2294">
        <f>COUNTIF(data.SampSummary!$C$2:$C$1407,C2294)</f>
        <v>0</v>
      </c>
    </row>
    <row r="2295" spans="1:4" x14ac:dyDescent="0.25">
      <c r="A2295" t="s">
        <v>2203</v>
      </c>
      <c r="B2295" s="5">
        <v>41423</v>
      </c>
      <c r="C2295" t="str">
        <f t="shared" si="35"/>
        <v>SRTON062.89_41423</v>
      </c>
      <c r="D2295">
        <f>COUNTIF(data.SampSummary!$C$2:$C$1407,C2295)</f>
        <v>0</v>
      </c>
    </row>
    <row r="2296" spans="1:4" x14ac:dyDescent="0.25">
      <c r="A2296" t="s">
        <v>2929</v>
      </c>
      <c r="B2296" s="5">
        <v>41409</v>
      </c>
      <c r="C2296" t="str">
        <f t="shared" si="35"/>
        <v>SRCRS000.08_41409</v>
      </c>
      <c r="D2296">
        <f>COUNTIF(data.SampSummary!$C$2:$C$1407,C2296)</f>
        <v>0</v>
      </c>
    </row>
    <row r="2297" spans="1:4" x14ac:dyDescent="0.25">
      <c r="A2297" t="s">
        <v>2953</v>
      </c>
      <c r="B2297" s="5">
        <v>41409</v>
      </c>
      <c r="C2297" t="str">
        <f t="shared" si="35"/>
        <v>SRCRS001.24_41409</v>
      </c>
      <c r="D2297">
        <f>COUNTIF(data.SampSummary!$C$2:$C$1407,C2297)</f>
        <v>0</v>
      </c>
    </row>
    <row r="2298" spans="1:4" x14ac:dyDescent="0.25">
      <c r="A2298" t="s">
        <v>2953</v>
      </c>
      <c r="B2298" s="5">
        <v>41422</v>
      </c>
      <c r="C2298" t="str">
        <f t="shared" si="35"/>
        <v>SRCRS001.24_41422</v>
      </c>
      <c r="D2298">
        <f>COUNTIF(data.SampSummary!$C$2:$C$1407,C2298)</f>
        <v>0</v>
      </c>
    </row>
    <row r="2299" spans="1:4" x14ac:dyDescent="0.25">
      <c r="A2299" t="s">
        <v>2928</v>
      </c>
      <c r="B2299" s="5">
        <v>41409</v>
      </c>
      <c r="C2299" t="str">
        <f t="shared" si="35"/>
        <v>SRCRS006.20_41409</v>
      </c>
      <c r="D2299">
        <f>COUNTIF(data.SampSummary!$C$2:$C$1407,C2299)</f>
        <v>0</v>
      </c>
    </row>
    <row r="2300" spans="1:4" x14ac:dyDescent="0.25">
      <c r="A2300" t="s">
        <v>2928</v>
      </c>
      <c r="B2300" s="5">
        <v>41422</v>
      </c>
      <c r="C2300" t="str">
        <f t="shared" si="35"/>
        <v>SRCRS006.20_41422</v>
      </c>
      <c r="D2300">
        <f>COUNTIF(data.SampSummary!$C$2:$C$1407,C2300)</f>
        <v>0</v>
      </c>
    </row>
    <row r="2301" spans="1:4" x14ac:dyDescent="0.25">
      <c r="A2301" t="s">
        <v>2698</v>
      </c>
      <c r="B2301" s="5">
        <v>41436</v>
      </c>
      <c r="C2301" t="str">
        <f t="shared" si="35"/>
        <v>SRTON055.09_41436</v>
      </c>
      <c r="D2301">
        <f>COUNTIF(data.SampSummary!$C$2:$C$1407,C2301)</f>
        <v>0</v>
      </c>
    </row>
    <row r="2302" spans="1:4" x14ac:dyDescent="0.25">
      <c r="A2302" t="s">
        <v>2929</v>
      </c>
      <c r="B2302" s="5">
        <v>41436</v>
      </c>
      <c r="C2302" t="str">
        <f t="shared" si="35"/>
        <v>SRCRS000.08_41436</v>
      </c>
      <c r="D2302">
        <f>COUNTIF(data.SampSummary!$C$2:$C$1407,C2302)</f>
        <v>0</v>
      </c>
    </row>
    <row r="2303" spans="1:4" x14ac:dyDescent="0.25">
      <c r="A2303" t="s">
        <v>2953</v>
      </c>
      <c r="B2303" s="5">
        <v>41436</v>
      </c>
      <c r="C2303" t="str">
        <f t="shared" si="35"/>
        <v>SRCRS001.24_41436</v>
      </c>
      <c r="D2303">
        <f>COUNTIF(data.SampSummary!$C$2:$C$1407,C2303)</f>
        <v>0</v>
      </c>
    </row>
    <row r="2304" spans="1:4" x14ac:dyDescent="0.25">
      <c r="A2304" t="s">
        <v>2954</v>
      </c>
      <c r="B2304" s="5">
        <v>41437</v>
      </c>
      <c r="C2304" t="str">
        <f t="shared" si="35"/>
        <v>SRTON057.70_41437</v>
      </c>
      <c r="D2304">
        <f>COUNTIF(data.SampSummary!$C$2:$C$1407,C2304)</f>
        <v>0</v>
      </c>
    </row>
    <row r="2305" spans="1:4" x14ac:dyDescent="0.25">
      <c r="A2305" t="s">
        <v>170</v>
      </c>
      <c r="B2305" s="5">
        <v>41437</v>
      </c>
      <c r="C2305" t="str">
        <f t="shared" si="35"/>
        <v>SRTON058.63_41437</v>
      </c>
      <c r="D2305">
        <f>COUNTIF(data.SampSummary!$C$2:$C$1407,C2305)</f>
        <v>0</v>
      </c>
    </row>
    <row r="2306" spans="1:4" x14ac:dyDescent="0.25">
      <c r="A2306" t="s">
        <v>51</v>
      </c>
      <c r="B2306" s="5">
        <v>41437</v>
      </c>
      <c r="C2306" t="str">
        <f t="shared" si="35"/>
        <v>SRTON061.37_41437</v>
      </c>
      <c r="D2306">
        <f>COUNTIF(data.SampSummary!$C$2:$C$1407,C2306)</f>
        <v>0</v>
      </c>
    </row>
    <row r="2307" spans="1:4" x14ac:dyDescent="0.25">
      <c r="A2307" t="s">
        <v>17</v>
      </c>
      <c r="B2307" s="5">
        <v>41437</v>
      </c>
      <c r="C2307" t="str">
        <f t="shared" ref="C2307:C2370" si="36">A2307&amp;"_"&amp;B2307</f>
        <v>SRTON062.28_41437</v>
      </c>
      <c r="D2307">
        <f>COUNTIF(data.SampSummary!$C$2:$C$1407,C2307)</f>
        <v>0</v>
      </c>
    </row>
    <row r="2308" spans="1:4" x14ac:dyDescent="0.25">
      <c r="A2308" t="s">
        <v>2203</v>
      </c>
      <c r="B2308" s="5">
        <v>41437</v>
      </c>
      <c r="C2308" t="str">
        <f t="shared" si="36"/>
        <v>SRTON062.89_41437</v>
      </c>
      <c r="D2308">
        <f>COUNTIF(data.SampSummary!$C$2:$C$1407,C2308)</f>
        <v>0</v>
      </c>
    </row>
    <row r="2309" spans="1:4" x14ac:dyDescent="0.25">
      <c r="A2309" t="s">
        <v>2445</v>
      </c>
      <c r="B2309" s="5">
        <v>41527</v>
      </c>
      <c r="C2309" t="str">
        <f t="shared" si="36"/>
        <v>SRCRS002.25_41527</v>
      </c>
      <c r="D2309">
        <f>COUNTIF(data.SampSummary!$C$2:$C$1407,C2309)</f>
        <v>0</v>
      </c>
    </row>
    <row r="2310" spans="1:4" x14ac:dyDescent="0.25">
      <c r="A2310" t="s">
        <v>2928</v>
      </c>
      <c r="B2310" s="5">
        <v>41527</v>
      </c>
      <c r="C2310" t="str">
        <f t="shared" si="36"/>
        <v>SRCRS006.20_41527</v>
      </c>
      <c r="D2310">
        <f>COUNTIF(data.SampSummary!$C$2:$C$1407,C2310)</f>
        <v>0</v>
      </c>
    </row>
    <row r="2311" spans="1:4" x14ac:dyDescent="0.25">
      <c r="A2311" t="s">
        <v>2836</v>
      </c>
      <c r="B2311" s="5">
        <v>41513</v>
      </c>
      <c r="C2311" t="str">
        <f t="shared" si="36"/>
        <v>CLGLR010.53_41513</v>
      </c>
      <c r="D2311">
        <f>COUNTIF(data.SampSummary!$C$2:$C$1407,C2311)</f>
        <v>0</v>
      </c>
    </row>
    <row r="2312" spans="1:4" x14ac:dyDescent="0.25">
      <c r="A2312" t="s">
        <v>2954</v>
      </c>
      <c r="B2312" s="5">
        <v>41508</v>
      </c>
      <c r="C2312" t="str">
        <f t="shared" si="36"/>
        <v>SRTON057.70_41508</v>
      </c>
      <c r="D2312">
        <f>COUNTIF(data.SampSummary!$C$2:$C$1407,C2312)</f>
        <v>0</v>
      </c>
    </row>
    <row r="2313" spans="1:4" x14ac:dyDescent="0.25">
      <c r="A2313" t="s">
        <v>197</v>
      </c>
      <c r="B2313" s="5">
        <v>41451</v>
      </c>
      <c r="C2313" t="str">
        <f t="shared" si="36"/>
        <v>SRTON053.87_41451</v>
      </c>
      <c r="D2313">
        <f>COUNTIF(data.SampSummary!$C$2:$C$1407,C2313)</f>
        <v>0</v>
      </c>
    </row>
    <row r="2314" spans="1:4" x14ac:dyDescent="0.25">
      <c r="A2314" t="s">
        <v>2698</v>
      </c>
      <c r="B2314" s="5">
        <v>41451</v>
      </c>
      <c r="C2314" t="str">
        <f t="shared" si="36"/>
        <v>SRTON055.09_41451</v>
      </c>
      <c r="D2314">
        <f>COUNTIF(data.SampSummary!$C$2:$C$1407,C2314)</f>
        <v>0</v>
      </c>
    </row>
    <row r="2315" spans="1:4" x14ac:dyDescent="0.25">
      <c r="A2315" t="s">
        <v>2929</v>
      </c>
      <c r="B2315" s="5">
        <v>41451</v>
      </c>
      <c r="C2315" t="str">
        <f t="shared" si="36"/>
        <v>SRCRS000.08_41451</v>
      </c>
      <c r="D2315">
        <f>COUNTIF(data.SampSummary!$C$2:$C$1407,C2315)</f>
        <v>0</v>
      </c>
    </row>
    <row r="2316" spans="1:4" x14ac:dyDescent="0.25">
      <c r="A2316" t="s">
        <v>2953</v>
      </c>
      <c r="B2316" s="5">
        <v>41451</v>
      </c>
      <c r="C2316" t="str">
        <f t="shared" si="36"/>
        <v>SRCRS001.24_41451</v>
      </c>
      <c r="D2316">
        <f>COUNTIF(data.SampSummary!$C$2:$C$1407,C2316)</f>
        <v>0</v>
      </c>
    </row>
    <row r="2317" spans="1:4" x14ac:dyDescent="0.25">
      <c r="A2317" t="s">
        <v>51</v>
      </c>
      <c r="B2317" s="5">
        <v>41452</v>
      </c>
      <c r="C2317" t="str">
        <f t="shared" si="36"/>
        <v>SRTON061.37_41452</v>
      </c>
      <c r="D2317">
        <f>COUNTIF(data.SampSummary!$C$2:$C$1407,C2317)</f>
        <v>0</v>
      </c>
    </row>
    <row r="2318" spans="1:4" x14ac:dyDescent="0.25">
      <c r="A2318" t="s">
        <v>2928</v>
      </c>
      <c r="B2318" s="5">
        <v>41507</v>
      </c>
      <c r="C2318" t="str">
        <f t="shared" si="36"/>
        <v>SRCRS006.20_41507</v>
      </c>
      <c r="D2318">
        <f>COUNTIF(data.SampSummary!$C$2:$C$1407,C2318)</f>
        <v>0</v>
      </c>
    </row>
    <row r="2319" spans="1:4" x14ac:dyDescent="0.25">
      <c r="A2319" t="s">
        <v>2930</v>
      </c>
      <c r="B2319" s="5">
        <v>41506</v>
      </c>
      <c r="C2319" t="str">
        <f t="shared" si="36"/>
        <v>VRGRA023.85_41506</v>
      </c>
      <c r="D2319">
        <f>COUNTIF(data.SampSummary!$C$2:$C$1407,C2319)</f>
        <v>0</v>
      </c>
    </row>
    <row r="2320" spans="1:4" x14ac:dyDescent="0.25">
      <c r="A2320" t="s">
        <v>170</v>
      </c>
      <c r="B2320" s="5">
        <v>41493</v>
      </c>
      <c r="C2320" t="str">
        <f t="shared" si="36"/>
        <v>SRTON058.63_41493</v>
      </c>
      <c r="D2320">
        <f>COUNTIF(data.SampSummary!$C$2:$C$1407,C2320)</f>
        <v>0</v>
      </c>
    </row>
    <row r="2321" spans="1:4" x14ac:dyDescent="0.25">
      <c r="A2321" t="s">
        <v>51</v>
      </c>
      <c r="B2321" s="5">
        <v>41493</v>
      </c>
      <c r="C2321" t="str">
        <f t="shared" si="36"/>
        <v>SRTON061.37_41493</v>
      </c>
      <c r="D2321">
        <f>COUNTIF(data.SampSummary!$C$2:$C$1407,C2321)</f>
        <v>0</v>
      </c>
    </row>
    <row r="2322" spans="1:4" x14ac:dyDescent="0.25">
      <c r="A2322" t="s">
        <v>197</v>
      </c>
      <c r="B2322" s="5">
        <v>41492</v>
      </c>
      <c r="C2322" t="str">
        <f t="shared" si="36"/>
        <v>SRTON053.87_41492</v>
      </c>
      <c r="D2322">
        <f>COUNTIF(data.SampSummary!$C$2:$C$1407,C2322)</f>
        <v>0</v>
      </c>
    </row>
    <row r="2323" spans="1:4" x14ac:dyDescent="0.25">
      <c r="A2323" t="s">
        <v>2929</v>
      </c>
      <c r="B2323" s="5">
        <v>41492</v>
      </c>
      <c r="C2323" t="str">
        <f t="shared" si="36"/>
        <v>SRCRS000.08_41492</v>
      </c>
      <c r="D2323">
        <f>COUNTIF(data.SampSummary!$C$2:$C$1407,C2323)</f>
        <v>0</v>
      </c>
    </row>
    <row r="2324" spans="1:4" x14ac:dyDescent="0.25">
      <c r="A2324" t="s">
        <v>2928</v>
      </c>
      <c r="B2324" s="5">
        <v>41492</v>
      </c>
      <c r="C2324" t="str">
        <f t="shared" si="36"/>
        <v>SRCRS006.20_41492</v>
      </c>
      <c r="D2324">
        <f>COUNTIF(data.SampSummary!$C$2:$C$1407,C2324)</f>
        <v>0</v>
      </c>
    </row>
    <row r="2325" spans="1:4" x14ac:dyDescent="0.25">
      <c r="A2325" t="s">
        <v>2929</v>
      </c>
      <c r="B2325" s="5">
        <v>41891</v>
      </c>
      <c r="C2325" t="str">
        <f t="shared" si="36"/>
        <v>SRCRS000.08_41891</v>
      </c>
      <c r="D2325">
        <f>COUNTIF(data.SampSummary!$C$2:$C$1407,C2325)</f>
        <v>0</v>
      </c>
    </row>
    <row r="2326" spans="1:4" x14ac:dyDescent="0.25">
      <c r="A2326" t="s">
        <v>51</v>
      </c>
      <c r="B2326" s="5">
        <v>41480</v>
      </c>
      <c r="C2326" t="str">
        <f t="shared" si="36"/>
        <v>SRTON061.37_41480</v>
      </c>
      <c r="D2326">
        <f>COUNTIF(data.SampSummary!$C$2:$C$1407,C2326)</f>
        <v>0</v>
      </c>
    </row>
    <row r="2327" spans="1:4" x14ac:dyDescent="0.25">
      <c r="A2327" t="s">
        <v>17</v>
      </c>
      <c r="B2327" s="5">
        <v>41480</v>
      </c>
      <c r="C2327" t="str">
        <f t="shared" si="36"/>
        <v>SRTON062.28_41480</v>
      </c>
      <c r="D2327">
        <f>COUNTIF(data.SampSummary!$C$2:$C$1407,C2327)</f>
        <v>0</v>
      </c>
    </row>
    <row r="2328" spans="1:4" x14ac:dyDescent="0.25">
      <c r="A2328" t="s">
        <v>2698</v>
      </c>
      <c r="B2328" s="5">
        <v>41479</v>
      </c>
      <c r="C2328" t="str">
        <f t="shared" si="36"/>
        <v>SRTON055.09_41479</v>
      </c>
      <c r="D2328">
        <f>COUNTIF(data.SampSummary!$C$2:$C$1407,C2328)</f>
        <v>0</v>
      </c>
    </row>
    <row r="2329" spans="1:4" x14ac:dyDescent="0.25">
      <c r="A2329" t="s">
        <v>2928</v>
      </c>
      <c r="B2329" s="5">
        <v>41479</v>
      </c>
      <c r="C2329" t="str">
        <f t="shared" si="36"/>
        <v>SRCRS006.20_41479</v>
      </c>
      <c r="D2329">
        <f>COUNTIF(data.SampSummary!$C$2:$C$1407,C2329)</f>
        <v>0</v>
      </c>
    </row>
    <row r="2330" spans="1:4" x14ac:dyDescent="0.25">
      <c r="A2330" t="s">
        <v>2954</v>
      </c>
      <c r="B2330" s="5">
        <v>41464</v>
      </c>
      <c r="C2330" t="str">
        <f t="shared" si="36"/>
        <v>SRTON057.70_41464</v>
      </c>
      <c r="D2330">
        <f>COUNTIF(data.SampSummary!$C$2:$C$1407,C2330)</f>
        <v>0</v>
      </c>
    </row>
    <row r="2331" spans="1:4" x14ac:dyDescent="0.25">
      <c r="A2331" t="s">
        <v>170</v>
      </c>
      <c r="B2331" s="5">
        <v>41464</v>
      </c>
      <c r="C2331" t="str">
        <f t="shared" si="36"/>
        <v>SRTON058.63_41464</v>
      </c>
      <c r="D2331">
        <f>COUNTIF(data.SampSummary!$C$2:$C$1407,C2331)</f>
        <v>0</v>
      </c>
    </row>
    <row r="2332" spans="1:4" x14ac:dyDescent="0.25">
      <c r="A2332" t="s">
        <v>51</v>
      </c>
      <c r="B2332" s="5">
        <v>41464</v>
      </c>
      <c r="C2332" t="str">
        <f t="shared" si="36"/>
        <v>SRTON061.37_41464</v>
      </c>
      <c r="D2332">
        <f>COUNTIF(data.SampSummary!$C$2:$C$1407,C2332)</f>
        <v>0</v>
      </c>
    </row>
    <row r="2333" spans="1:4" x14ac:dyDescent="0.25">
      <c r="A2333" t="s">
        <v>2927</v>
      </c>
      <c r="B2333" s="5">
        <v>41463</v>
      </c>
      <c r="C2333" t="str">
        <f t="shared" si="36"/>
        <v>SRTON056.59_41463</v>
      </c>
      <c r="D2333">
        <f>COUNTIF(data.SampSummary!$C$2:$C$1407,C2333)</f>
        <v>0</v>
      </c>
    </row>
    <row r="2334" spans="1:4" x14ac:dyDescent="0.25">
      <c r="A2334" t="s">
        <v>2928</v>
      </c>
      <c r="B2334" s="5">
        <v>41463</v>
      </c>
      <c r="C2334" t="str">
        <f t="shared" si="36"/>
        <v>SRCRS006.20_41463</v>
      </c>
      <c r="D2334">
        <f>COUNTIF(data.SampSummary!$C$2:$C$1407,C2334)</f>
        <v>0</v>
      </c>
    </row>
    <row r="2335" spans="1:4" x14ac:dyDescent="0.25">
      <c r="A2335" t="s">
        <v>2927</v>
      </c>
      <c r="B2335" s="5">
        <v>41877</v>
      </c>
      <c r="C2335" t="str">
        <f t="shared" si="36"/>
        <v>SRTON056.59_41877</v>
      </c>
      <c r="D2335">
        <f>COUNTIF(data.SampSummary!$C$2:$C$1407,C2335)</f>
        <v>0</v>
      </c>
    </row>
    <row r="2336" spans="1:4" x14ac:dyDescent="0.25">
      <c r="A2336" t="s">
        <v>2888</v>
      </c>
      <c r="B2336" s="5">
        <v>42164</v>
      </c>
      <c r="C2336" t="str">
        <f t="shared" si="36"/>
        <v>LCLCR328.04_42164</v>
      </c>
      <c r="D2336">
        <f>COUNTIF(data.SampSummary!$C$2:$C$1407,C2336)</f>
        <v>0</v>
      </c>
    </row>
    <row r="2337" spans="1:4" x14ac:dyDescent="0.25">
      <c r="A2337" t="s">
        <v>2927</v>
      </c>
      <c r="B2337" s="5">
        <v>41842</v>
      </c>
      <c r="C2337" t="str">
        <f t="shared" si="36"/>
        <v>SRTON056.59_41842</v>
      </c>
      <c r="D2337">
        <f>COUNTIF(data.SampSummary!$C$2:$C$1407,C2337)</f>
        <v>0</v>
      </c>
    </row>
    <row r="2338" spans="1:4" x14ac:dyDescent="0.25">
      <c r="A2338" t="s">
        <v>2972</v>
      </c>
      <c r="B2338" s="5">
        <v>42459</v>
      </c>
      <c r="C2338" t="str">
        <f t="shared" si="36"/>
        <v>LCLCR344.58_42459</v>
      </c>
      <c r="D2338">
        <f>COUNTIF(data.SampSummary!$C$2:$C$1407,C2338)</f>
        <v>0</v>
      </c>
    </row>
    <row r="2339" spans="1:4" x14ac:dyDescent="0.25">
      <c r="A2339" t="s">
        <v>2445</v>
      </c>
      <c r="B2339" s="5">
        <v>41891</v>
      </c>
      <c r="C2339" t="str">
        <f t="shared" si="36"/>
        <v>SRCRS002.25_41891</v>
      </c>
      <c r="D2339">
        <f>COUNTIF(data.SampSummary!$C$2:$C$1407,C2339)</f>
        <v>0</v>
      </c>
    </row>
    <row r="2340" spans="1:4" x14ac:dyDescent="0.25">
      <c r="A2340" t="s">
        <v>2894</v>
      </c>
      <c r="B2340" s="5">
        <v>41739</v>
      </c>
      <c r="C2340" t="str">
        <f t="shared" si="36"/>
        <v>LCLCR335.06_41739</v>
      </c>
      <c r="D2340">
        <f>COUNTIF(data.SampSummary!$C$2:$C$1407,C2340)</f>
        <v>0</v>
      </c>
    </row>
    <row r="2341" spans="1:4" x14ac:dyDescent="0.25">
      <c r="A2341" t="s">
        <v>2882</v>
      </c>
      <c r="B2341" s="5">
        <v>41739</v>
      </c>
      <c r="C2341" t="str">
        <f t="shared" si="36"/>
        <v>LCLCR349.82_41739</v>
      </c>
      <c r="D2341">
        <f>COUNTIF(data.SampSummary!$C$2:$C$1407,C2341)</f>
        <v>0</v>
      </c>
    </row>
    <row r="2342" spans="1:4" x14ac:dyDescent="0.25">
      <c r="A2342" t="s">
        <v>2895</v>
      </c>
      <c r="B2342" s="5">
        <v>41738</v>
      </c>
      <c r="C2342" t="str">
        <f t="shared" si="36"/>
        <v>LCLCR336.89_41738</v>
      </c>
      <c r="D2342">
        <f>COUNTIF(data.SampSummary!$C$2:$C$1407,C2342)</f>
        <v>0</v>
      </c>
    </row>
    <row r="2343" spans="1:4" x14ac:dyDescent="0.25">
      <c r="A2343" t="s">
        <v>2954</v>
      </c>
      <c r="B2343" s="5">
        <v>41543</v>
      </c>
      <c r="C2343" t="str">
        <f t="shared" si="36"/>
        <v>SRTON057.70_41543</v>
      </c>
      <c r="D2343">
        <f>COUNTIF(data.SampSummary!$C$2:$C$1407,C2343)</f>
        <v>0</v>
      </c>
    </row>
    <row r="2344" spans="1:4" x14ac:dyDescent="0.25">
      <c r="A2344" t="s">
        <v>170</v>
      </c>
      <c r="B2344" s="5">
        <v>41892</v>
      </c>
      <c r="C2344" t="str">
        <f t="shared" si="36"/>
        <v>SRTON058.63_41892</v>
      </c>
      <c r="D2344">
        <f>COUNTIF(data.SampSummary!$C$2:$C$1407,C2344)</f>
        <v>0</v>
      </c>
    </row>
    <row r="2345" spans="1:4" x14ac:dyDescent="0.25">
      <c r="A2345" t="s">
        <v>197</v>
      </c>
      <c r="B2345" s="5">
        <v>41542</v>
      </c>
      <c r="C2345" t="str">
        <f t="shared" si="36"/>
        <v>SRTON053.87_41542</v>
      </c>
      <c r="D2345">
        <f>COUNTIF(data.SampSummary!$C$2:$C$1407,C2345)</f>
        <v>0</v>
      </c>
    </row>
    <row r="2346" spans="1:4" x14ac:dyDescent="0.25">
      <c r="A2346" t="s">
        <v>2970</v>
      </c>
      <c r="B2346" s="5">
        <v>42025</v>
      </c>
      <c r="C2346" t="str">
        <f t="shared" si="36"/>
        <v>LCLCR323.69_42025</v>
      </c>
      <c r="D2346">
        <f>COUNTIF(data.SampSummary!$C$2:$C$1407,C2346)</f>
        <v>0</v>
      </c>
    </row>
    <row r="2347" spans="1:4" x14ac:dyDescent="0.25">
      <c r="A2347" t="s">
        <v>17</v>
      </c>
      <c r="B2347" s="5">
        <v>41857</v>
      </c>
      <c r="C2347" t="str">
        <f t="shared" si="36"/>
        <v>SRTON062.28_41857</v>
      </c>
      <c r="D2347">
        <f>COUNTIF(data.SampSummary!$C$2:$C$1407,C2347)</f>
        <v>0</v>
      </c>
    </row>
    <row r="2348" spans="1:4" x14ac:dyDescent="0.25">
      <c r="A2348" t="s">
        <v>2954</v>
      </c>
      <c r="B2348" s="5">
        <v>41857</v>
      </c>
      <c r="C2348" t="str">
        <f t="shared" si="36"/>
        <v>SRTON057.70_41857</v>
      </c>
      <c r="D2348">
        <f>COUNTIF(data.SampSummary!$C$2:$C$1407,C2348)</f>
        <v>0</v>
      </c>
    </row>
    <row r="2349" spans="1:4" x14ac:dyDescent="0.25">
      <c r="A2349" t="s">
        <v>197</v>
      </c>
      <c r="B2349" s="5">
        <v>41842</v>
      </c>
      <c r="C2349" t="str">
        <f t="shared" si="36"/>
        <v>SRTON053.87_41842</v>
      </c>
      <c r="D2349">
        <f>COUNTIF(data.SampSummary!$C$2:$C$1407,C2349)</f>
        <v>0</v>
      </c>
    </row>
    <row r="2350" spans="1:4" x14ac:dyDescent="0.25">
      <c r="A2350" t="s">
        <v>2698</v>
      </c>
      <c r="B2350" s="5">
        <v>41905</v>
      </c>
      <c r="C2350" t="str">
        <f t="shared" si="36"/>
        <v>SRTON055.09_41905</v>
      </c>
      <c r="D2350">
        <f>COUNTIF(data.SampSummary!$C$2:$C$1407,C2350)</f>
        <v>0</v>
      </c>
    </row>
    <row r="2351" spans="1:4" x14ac:dyDescent="0.25">
      <c r="A2351" t="s">
        <v>170</v>
      </c>
      <c r="B2351" s="5">
        <v>41508</v>
      </c>
      <c r="C2351" t="str">
        <f t="shared" si="36"/>
        <v>SRTON058.63_41508</v>
      </c>
      <c r="D2351">
        <f>COUNTIF(data.SampSummary!$C$2:$C$1407,C2351)</f>
        <v>0</v>
      </c>
    </row>
    <row r="2352" spans="1:4" x14ac:dyDescent="0.25">
      <c r="A2352" t="s">
        <v>2445</v>
      </c>
      <c r="B2352" s="5">
        <v>41492</v>
      </c>
      <c r="C2352" t="str">
        <f t="shared" si="36"/>
        <v>SRCRS002.25_41492</v>
      </c>
      <c r="D2352">
        <f>COUNTIF(data.SampSummary!$C$2:$C$1407,C2352)</f>
        <v>0</v>
      </c>
    </row>
    <row r="2353" spans="1:4" x14ac:dyDescent="0.25">
      <c r="A2353" t="s">
        <v>217</v>
      </c>
      <c r="B2353" s="5">
        <v>41906</v>
      </c>
      <c r="C2353" t="str">
        <f t="shared" si="36"/>
        <v>SPARA010.19_41906</v>
      </c>
      <c r="D2353">
        <f>COUNTIF(data.SampSummary!$C$2:$C$1407,C2353)</f>
        <v>0</v>
      </c>
    </row>
    <row r="2354" spans="1:4" x14ac:dyDescent="0.25">
      <c r="A2354" t="s">
        <v>2954</v>
      </c>
      <c r="B2354" s="5">
        <v>41528</v>
      </c>
      <c r="C2354" t="str">
        <f t="shared" si="36"/>
        <v>SRTON057.70_41528</v>
      </c>
      <c r="D2354">
        <f>COUNTIF(data.SampSummary!$C$2:$C$1407,C2354)</f>
        <v>0</v>
      </c>
    </row>
    <row r="2355" spans="1:4" x14ac:dyDescent="0.25">
      <c r="A2355" t="s">
        <v>2864</v>
      </c>
      <c r="B2355" s="5">
        <v>41512</v>
      </c>
      <c r="C2355" t="str">
        <f t="shared" si="36"/>
        <v>CLGLR007.11_41512</v>
      </c>
      <c r="D2355">
        <f>COUNTIF(data.SampSummary!$C$2:$C$1407,C2355)</f>
        <v>0</v>
      </c>
    </row>
    <row r="2356" spans="1:4" x14ac:dyDescent="0.25">
      <c r="A2356" t="s">
        <v>2954</v>
      </c>
      <c r="B2356" s="5">
        <v>41878</v>
      </c>
      <c r="C2356" t="str">
        <f t="shared" si="36"/>
        <v>SRTON057.70_41878</v>
      </c>
      <c r="D2356">
        <f>COUNTIF(data.SampSummary!$C$2:$C$1407,C2356)</f>
        <v>0</v>
      </c>
    </row>
    <row r="2357" spans="1:4" x14ac:dyDescent="0.25">
      <c r="A2357" t="s">
        <v>2203</v>
      </c>
      <c r="B2357" s="5">
        <v>41508</v>
      </c>
      <c r="C2357" t="str">
        <f t="shared" si="36"/>
        <v>SRTON062.89_41508</v>
      </c>
      <c r="D2357">
        <f>COUNTIF(data.SampSummary!$C$2:$C$1407,C2357)</f>
        <v>0</v>
      </c>
    </row>
    <row r="2358" spans="1:4" x14ac:dyDescent="0.25">
      <c r="A2358" t="s">
        <v>2698</v>
      </c>
      <c r="B2358" s="5">
        <v>41507</v>
      </c>
      <c r="C2358" t="str">
        <f t="shared" si="36"/>
        <v>SRTON055.09_41507</v>
      </c>
      <c r="D2358">
        <f>COUNTIF(data.SampSummary!$C$2:$C$1407,C2358)</f>
        <v>0</v>
      </c>
    </row>
    <row r="2359" spans="1:4" x14ac:dyDescent="0.25">
      <c r="A2359" t="s">
        <v>2954</v>
      </c>
      <c r="B2359" s="5">
        <v>41892</v>
      </c>
      <c r="C2359" t="str">
        <f t="shared" si="36"/>
        <v>SRTON057.70_41892</v>
      </c>
      <c r="D2359">
        <f>COUNTIF(data.SampSummary!$C$2:$C$1407,C2359)</f>
        <v>0</v>
      </c>
    </row>
    <row r="2360" spans="1:4" x14ac:dyDescent="0.25">
      <c r="A2360" t="s">
        <v>2203</v>
      </c>
      <c r="B2360" s="5">
        <v>41857</v>
      </c>
      <c r="C2360" t="str">
        <f t="shared" si="36"/>
        <v>SRTON062.89_41857</v>
      </c>
      <c r="D2360">
        <f>COUNTIF(data.SampSummary!$C$2:$C$1407,C2360)</f>
        <v>0</v>
      </c>
    </row>
    <row r="2361" spans="1:4" x14ac:dyDescent="0.25">
      <c r="A2361" t="s">
        <v>17</v>
      </c>
      <c r="B2361" s="5">
        <v>41843</v>
      </c>
      <c r="C2361" t="str">
        <f t="shared" si="36"/>
        <v>SRTON062.28_41843</v>
      </c>
      <c r="D2361">
        <f>COUNTIF(data.SampSummary!$C$2:$C$1407,C2361)</f>
        <v>0</v>
      </c>
    </row>
    <row r="2362" spans="1:4" x14ac:dyDescent="0.25">
      <c r="A2362" t="s">
        <v>2954</v>
      </c>
      <c r="B2362" s="5">
        <v>41480</v>
      </c>
      <c r="C2362" t="str">
        <f t="shared" si="36"/>
        <v>SRTON057.70_41480</v>
      </c>
      <c r="D2362">
        <f>COUNTIF(data.SampSummary!$C$2:$C$1407,C2362)</f>
        <v>0</v>
      </c>
    </row>
    <row r="2363" spans="1:4" x14ac:dyDescent="0.25">
      <c r="A2363" t="s">
        <v>2953</v>
      </c>
      <c r="B2363" s="5">
        <v>41479</v>
      </c>
      <c r="C2363" t="str">
        <f t="shared" si="36"/>
        <v>SRCRS001.24_41479</v>
      </c>
      <c r="D2363">
        <f>COUNTIF(data.SampSummary!$C$2:$C$1407,C2363)</f>
        <v>0</v>
      </c>
    </row>
    <row r="2364" spans="1:4" x14ac:dyDescent="0.25">
      <c r="A2364" t="s">
        <v>51</v>
      </c>
      <c r="B2364" s="5">
        <v>41508</v>
      </c>
      <c r="C2364" t="str">
        <f t="shared" si="36"/>
        <v>SRTON061.37_41508</v>
      </c>
      <c r="D2364">
        <f>COUNTIF(data.SampSummary!$C$2:$C$1407,C2364)</f>
        <v>0</v>
      </c>
    </row>
    <row r="2365" spans="1:4" x14ac:dyDescent="0.25">
      <c r="A2365" t="s">
        <v>2445</v>
      </c>
      <c r="B2365" s="5">
        <v>41463</v>
      </c>
      <c r="C2365" t="str">
        <f t="shared" si="36"/>
        <v>SRCRS002.25_41463</v>
      </c>
      <c r="D2365">
        <f>COUNTIF(data.SampSummary!$C$2:$C$1407,C2365)</f>
        <v>0</v>
      </c>
    </row>
    <row r="2366" spans="1:4" x14ac:dyDescent="0.25">
      <c r="A2366" t="s">
        <v>2927</v>
      </c>
      <c r="B2366" s="5">
        <v>41507</v>
      </c>
      <c r="C2366" t="str">
        <f t="shared" si="36"/>
        <v>SRTON056.59_41507</v>
      </c>
      <c r="D2366">
        <f>COUNTIF(data.SampSummary!$C$2:$C$1407,C2366)</f>
        <v>0</v>
      </c>
    </row>
    <row r="2367" spans="1:4" x14ac:dyDescent="0.25">
      <c r="A2367" t="s">
        <v>2929</v>
      </c>
      <c r="B2367" s="5">
        <v>41542</v>
      </c>
      <c r="C2367" t="str">
        <f t="shared" si="36"/>
        <v>SRCRS000.08_41542</v>
      </c>
      <c r="D2367">
        <f>COUNTIF(data.SampSummary!$C$2:$C$1407,C2367)</f>
        <v>0</v>
      </c>
    </row>
    <row r="2368" spans="1:4" x14ac:dyDescent="0.25">
      <c r="A2368" t="s">
        <v>2891</v>
      </c>
      <c r="B2368" s="5">
        <v>42257</v>
      </c>
      <c r="C2368" t="str">
        <f t="shared" si="36"/>
        <v>UGSFR018.37_42257</v>
      </c>
      <c r="D2368">
        <f>COUNTIF(data.SampSummary!$C$2:$C$1407,C2368)</f>
        <v>0</v>
      </c>
    </row>
    <row r="2369" spans="1:4" x14ac:dyDescent="0.25">
      <c r="A2369" t="s">
        <v>51</v>
      </c>
      <c r="B2369" s="5">
        <v>41857</v>
      </c>
      <c r="C2369" t="str">
        <f t="shared" si="36"/>
        <v>SRTON061.37_41857</v>
      </c>
      <c r="D2369">
        <f>COUNTIF(data.SampSummary!$C$2:$C$1407,C2369)</f>
        <v>0</v>
      </c>
    </row>
    <row r="2370" spans="1:4" x14ac:dyDescent="0.25">
      <c r="A2370" t="s">
        <v>170</v>
      </c>
      <c r="B2370" s="5">
        <v>41857</v>
      </c>
      <c r="C2370" t="str">
        <f t="shared" si="36"/>
        <v>SRTON058.63_41857</v>
      </c>
      <c r="D2370">
        <f>COUNTIF(data.SampSummary!$C$2:$C$1407,C2370)</f>
        <v>0</v>
      </c>
    </row>
    <row r="2371" spans="1:4" x14ac:dyDescent="0.25">
      <c r="A2371" t="s">
        <v>2928</v>
      </c>
      <c r="B2371" s="5">
        <v>41856</v>
      </c>
      <c r="C2371" t="str">
        <f t="shared" ref="C2371:C2434" si="37">A2371&amp;"_"&amp;B2371</f>
        <v>SRCRS006.20_41856</v>
      </c>
      <c r="D2371">
        <f>COUNTIF(data.SampSummary!$C$2:$C$1407,C2371)</f>
        <v>0</v>
      </c>
    </row>
    <row r="2372" spans="1:4" x14ac:dyDescent="0.25">
      <c r="A2372" t="s">
        <v>2698</v>
      </c>
      <c r="B2372" s="5">
        <v>41856</v>
      </c>
      <c r="C2372" t="str">
        <f t="shared" si="37"/>
        <v>SRTON055.09_41856</v>
      </c>
      <c r="D2372">
        <f>COUNTIF(data.SampSummary!$C$2:$C$1407,C2372)</f>
        <v>0</v>
      </c>
    </row>
    <row r="2373" spans="1:4" x14ac:dyDescent="0.25">
      <c r="A2373" t="s">
        <v>369</v>
      </c>
      <c r="B2373" s="5">
        <v>41533</v>
      </c>
      <c r="C2373" t="str">
        <f t="shared" si="37"/>
        <v>MGHSR002.67_41533</v>
      </c>
      <c r="D2373">
        <f>COUNTIF(data.SampSummary!$C$2:$C$1407,C2373)</f>
        <v>0</v>
      </c>
    </row>
    <row r="2374" spans="1:4" x14ac:dyDescent="0.25">
      <c r="A2374" t="s">
        <v>2953</v>
      </c>
      <c r="B2374" s="5">
        <v>41842</v>
      </c>
      <c r="C2374" t="str">
        <f t="shared" si="37"/>
        <v>SRCRS001.24_41842</v>
      </c>
      <c r="D2374">
        <f>COUNTIF(data.SampSummary!$C$2:$C$1407,C2374)</f>
        <v>0</v>
      </c>
    </row>
    <row r="2375" spans="1:4" x14ac:dyDescent="0.25">
      <c r="A2375" t="s">
        <v>2928</v>
      </c>
      <c r="B2375" s="5">
        <v>41842</v>
      </c>
      <c r="C2375" t="str">
        <f t="shared" si="37"/>
        <v>SRCRS006.20_41842</v>
      </c>
      <c r="D2375">
        <f>COUNTIF(data.SampSummary!$C$2:$C$1407,C2375)</f>
        <v>0</v>
      </c>
    </row>
    <row r="2376" spans="1:4" x14ac:dyDescent="0.25">
      <c r="A2376" t="s">
        <v>2927</v>
      </c>
      <c r="B2376" s="5">
        <v>41479</v>
      </c>
      <c r="C2376" t="str">
        <f t="shared" si="37"/>
        <v>SRTON056.59_41479</v>
      </c>
      <c r="D2376">
        <f>COUNTIF(data.SampSummary!$C$2:$C$1407,C2376)</f>
        <v>0</v>
      </c>
    </row>
    <row r="2377" spans="1:4" x14ac:dyDescent="0.25">
      <c r="A2377" t="s">
        <v>2953</v>
      </c>
      <c r="B2377" s="5">
        <v>41527</v>
      </c>
      <c r="C2377" t="str">
        <f t="shared" si="37"/>
        <v>SRCRS001.24_41527</v>
      </c>
      <c r="D2377">
        <f>COUNTIF(data.SampSummary!$C$2:$C$1407,C2377)</f>
        <v>0</v>
      </c>
    </row>
    <row r="2378" spans="1:4" x14ac:dyDescent="0.25">
      <c r="A2378" t="s">
        <v>2958</v>
      </c>
      <c r="B2378" s="5">
        <v>41464</v>
      </c>
      <c r="C2378" t="str">
        <f t="shared" si="37"/>
        <v>SRTON060.28_41464</v>
      </c>
      <c r="D2378">
        <f>COUNTIF(data.SampSummary!$C$2:$C$1407,C2378)</f>
        <v>0</v>
      </c>
    </row>
    <row r="2379" spans="1:4" x14ac:dyDescent="0.25">
      <c r="A2379" t="s">
        <v>51</v>
      </c>
      <c r="B2379" s="5">
        <v>41878</v>
      </c>
      <c r="C2379" t="str">
        <f t="shared" si="37"/>
        <v>SRTON061.37_41878</v>
      </c>
      <c r="D2379">
        <f>COUNTIF(data.SampSummary!$C$2:$C$1407,C2379)</f>
        <v>0</v>
      </c>
    </row>
    <row r="2380" spans="1:4" x14ac:dyDescent="0.25">
      <c r="A2380" t="s">
        <v>328</v>
      </c>
      <c r="B2380" s="5">
        <v>42257</v>
      </c>
      <c r="C2380" t="str">
        <f t="shared" si="37"/>
        <v>UGSFR019.04_42257</v>
      </c>
      <c r="D2380">
        <f>COUNTIF(data.SampSummary!$C$2:$C$1407,C2380)</f>
        <v>0</v>
      </c>
    </row>
    <row r="2381" spans="1:4" x14ac:dyDescent="0.25">
      <c r="A2381" t="s">
        <v>2928</v>
      </c>
      <c r="B2381" s="5">
        <v>41905</v>
      </c>
      <c r="C2381" t="str">
        <f t="shared" si="37"/>
        <v>SRCRS006.20_41905</v>
      </c>
      <c r="D2381">
        <f>COUNTIF(data.SampSummary!$C$2:$C$1407,C2381)</f>
        <v>0</v>
      </c>
    </row>
    <row r="2382" spans="1:4" x14ac:dyDescent="0.25">
      <c r="A2382" t="s">
        <v>170</v>
      </c>
      <c r="B2382" s="5">
        <v>41528</v>
      </c>
      <c r="C2382" t="str">
        <f t="shared" si="37"/>
        <v>SRTON058.63_41528</v>
      </c>
      <c r="D2382">
        <f>COUNTIF(data.SampSummary!$C$2:$C$1407,C2382)</f>
        <v>0</v>
      </c>
    </row>
    <row r="2383" spans="1:4" x14ac:dyDescent="0.25">
      <c r="A2383" t="s">
        <v>17</v>
      </c>
      <c r="B2383" s="5">
        <v>41528</v>
      </c>
      <c r="C2383" t="str">
        <f t="shared" si="37"/>
        <v>SRTON062.28_41528</v>
      </c>
      <c r="D2383">
        <f>COUNTIF(data.SampSummary!$C$2:$C$1407,C2383)</f>
        <v>0</v>
      </c>
    </row>
    <row r="2384" spans="1:4" x14ac:dyDescent="0.25">
      <c r="A2384" t="s">
        <v>2203</v>
      </c>
      <c r="B2384" s="5">
        <v>41528</v>
      </c>
      <c r="C2384" t="str">
        <f t="shared" si="37"/>
        <v>SRTON062.89_41528</v>
      </c>
      <c r="D2384">
        <f>COUNTIF(data.SampSummary!$C$2:$C$1407,C2384)</f>
        <v>0</v>
      </c>
    </row>
    <row r="2385" spans="1:4" x14ac:dyDescent="0.25">
      <c r="A2385" t="s">
        <v>197</v>
      </c>
      <c r="B2385" s="5">
        <v>41527</v>
      </c>
      <c r="C2385" t="str">
        <f t="shared" si="37"/>
        <v>SRTON053.87_41527</v>
      </c>
      <c r="D2385">
        <f>COUNTIF(data.SampSummary!$C$2:$C$1407,C2385)</f>
        <v>0</v>
      </c>
    </row>
    <row r="2386" spans="1:4" x14ac:dyDescent="0.25">
      <c r="A2386" t="s">
        <v>2698</v>
      </c>
      <c r="B2386" s="5">
        <v>41527</v>
      </c>
      <c r="C2386" t="str">
        <f t="shared" si="37"/>
        <v>SRTON055.09_41527</v>
      </c>
      <c r="D2386">
        <f>COUNTIF(data.SampSummary!$C$2:$C$1407,C2386)</f>
        <v>0</v>
      </c>
    </row>
    <row r="2387" spans="1:4" x14ac:dyDescent="0.25">
      <c r="A2387" t="s">
        <v>2203</v>
      </c>
      <c r="B2387" s="5">
        <v>41464</v>
      </c>
      <c r="C2387" t="str">
        <f t="shared" si="37"/>
        <v>SRTON062.89_41464</v>
      </c>
      <c r="D2387">
        <f>COUNTIF(data.SampSummary!$C$2:$C$1407,C2387)</f>
        <v>0</v>
      </c>
    </row>
    <row r="2388" spans="1:4" x14ac:dyDescent="0.25">
      <c r="A2388" t="s">
        <v>2897</v>
      </c>
      <c r="B2388" s="5">
        <v>41513</v>
      </c>
      <c r="C2388" t="str">
        <f t="shared" si="37"/>
        <v>CLGLR013.33_41513</v>
      </c>
      <c r="D2388">
        <f>COUNTIF(data.SampSummary!$C$2:$C$1407,C2388)</f>
        <v>0</v>
      </c>
    </row>
    <row r="2389" spans="1:4" x14ac:dyDescent="0.25">
      <c r="A2389" t="s">
        <v>2929</v>
      </c>
      <c r="B2389" s="5">
        <v>41507</v>
      </c>
      <c r="C2389" t="str">
        <f t="shared" si="37"/>
        <v>SRCRS000.08_41507</v>
      </c>
      <c r="D2389">
        <f>COUNTIF(data.SampSummary!$C$2:$C$1407,C2389)</f>
        <v>0</v>
      </c>
    </row>
    <row r="2390" spans="1:4" x14ac:dyDescent="0.25">
      <c r="A2390" t="s">
        <v>2698</v>
      </c>
      <c r="B2390" s="5">
        <v>41492</v>
      </c>
      <c r="C2390" t="str">
        <f t="shared" si="37"/>
        <v>SRTON055.09_41492</v>
      </c>
      <c r="D2390">
        <f>COUNTIF(data.SampSummary!$C$2:$C$1407,C2390)</f>
        <v>0</v>
      </c>
    </row>
    <row r="2391" spans="1:4" x14ac:dyDescent="0.25">
      <c r="A2391" t="s">
        <v>2927</v>
      </c>
      <c r="B2391" s="5">
        <v>41492</v>
      </c>
      <c r="C2391" t="str">
        <f t="shared" si="37"/>
        <v>SRTON056.59_41492</v>
      </c>
      <c r="D2391">
        <f>COUNTIF(data.SampSummary!$C$2:$C$1407,C2391)</f>
        <v>0</v>
      </c>
    </row>
    <row r="2392" spans="1:4" x14ac:dyDescent="0.25">
      <c r="A2392" t="s">
        <v>2928</v>
      </c>
      <c r="B2392" s="5">
        <v>41891</v>
      </c>
      <c r="C2392" t="str">
        <f t="shared" si="37"/>
        <v>SRCRS006.20_41891</v>
      </c>
      <c r="D2392">
        <f>COUNTIF(data.SampSummary!$C$2:$C$1407,C2392)</f>
        <v>0</v>
      </c>
    </row>
    <row r="2393" spans="1:4" x14ac:dyDescent="0.25">
      <c r="A2393" t="s">
        <v>2203</v>
      </c>
      <c r="B2393" s="5">
        <v>41480</v>
      </c>
      <c r="C2393" t="str">
        <f t="shared" si="37"/>
        <v>SRTON062.89_41480</v>
      </c>
      <c r="D2393">
        <f>COUNTIF(data.SampSummary!$C$2:$C$1407,C2393)</f>
        <v>0</v>
      </c>
    </row>
    <row r="2394" spans="1:4" x14ac:dyDescent="0.25">
      <c r="A2394" t="s">
        <v>197</v>
      </c>
      <c r="B2394" s="5">
        <v>41463</v>
      </c>
      <c r="C2394" t="str">
        <f t="shared" si="37"/>
        <v>SRTON053.87_41463</v>
      </c>
      <c r="D2394">
        <f>COUNTIF(data.SampSummary!$C$2:$C$1407,C2394)</f>
        <v>0</v>
      </c>
    </row>
    <row r="2395" spans="1:4" x14ac:dyDescent="0.25">
      <c r="A2395" t="s">
        <v>2896</v>
      </c>
      <c r="B2395" s="5">
        <v>42164</v>
      </c>
      <c r="C2395" t="str">
        <f t="shared" si="37"/>
        <v>LCNUT015.01_42164</v>
      </c>
      <c r="D2395">
        <f>COUNTIF(data.SampSummary!$C$2:$C$1407,C2395)</f>
        <v>0</v>
      </c>
    </row>
    <row r="2396" spans="1:4" x14ac:dyDescent="0.25">
      <c r="A2396" t="s">
        <v>2203</v>
      </c>
      <c r="B2396" s="5">
        <v>41892</v>
      </c>
      <c r="C2396" t="str">
        <f t="shared" si="37"/>
        <v>SRTON062.89_41892</v>
      </c>
      <c r="D2396">
        <f>COUNTIF(data.SampSummary!$C$2:$C$1407,C2396)</f>
        <v>0</v>
      </c>
    </row>
    <row r="2397" spans="1:4" x14ac:dyDescent="0.25">
      <c r="A2397" t="s">
        <v>197</v>
      </c>
      <c r="B2397" s="5">
        <v>41905</v>
      </c>
      <c r="C2397" t="str">
        <f t="shared" si="37"/>
        <v>SRTON053.87_41905</v>
      </c>
      <c r="D2397">
        <f>COUNTIF(data.SampSummary!$C$2:$C$1407,C2397)</f>
        <v>0</v>
      </c>
    </row>
    <row r="2398" spans="1:4" x14ac:dyDescent="0.25">
      <c r="A2398" t="s">
        <v>197</v>
      </c>
      <c r="B2398" s="5">
        <v>41877</v>
      </c>
      <c r="C2398" t="str">
        <f t="shared" si="37"/>
        <v>SRTON053.87_41877</v>
      </c>
      <c r="D2398">
        <f>COUNTIF(data.SampSummary!$C$2:$C$1407,C2398)</f>
        <v>0</v>
      </c>
    </row>
    <row r="2399" spans="1:4" x14ac:dyDescent="0.25">
      <c r="A2399" t="s">
        <v>2445</v>
      </c>
      <c r="B2399" s="5">
        <v>41905</v>
      </c>
      <c r="C2399" t="str">
        <f t="shared" si="37"/>
        <v>SRCRS002.25_41905</v>
      </c>
      <c r="D2399">
        <f>COUNTIF(data.SampSummary!$C$2:$C$1407,C2399)</f>
        <v>0</v>
      </c>
    </row>
    <row r="2400" spans="1:4" x14ac:dyDescent="0.25">
      <c r="A2400" t="s">
        <v>2899</v>
      </c>
      <c r="B2400" s="5">
        <v>42257</v>
      </c>
      <c r="C2400" t="str">
        <f t="shared" si="37"/>
        <v>UGSFR011.68_42257</v>
      </c>
      <c r="D2400">
        <f>COUNTIF(data.SampSummary!$C$2:$C$1407,C2400)</f>
        <v>0</v>
      </c>
    </row>
    <row r="2401" spans="1:4" x14ac:dyDescent="0.25">
      <c r="A2401" t="s">
        <v>2929</v>
      </c>
      <c r="B2401" s="5">
        <v>41905</v>
      </c>
      <c r="C2401" t="str">
        <f t="shared" si="37"/>
        <v>SRCRS000.08_41905</v>
      </c>
      <c r="D2401">
        <f>COUNTIF(data.SampSummary!$C$2:$C$1407,C2401)</f>
        <v>0</v>
      </c>
    </row>
    <row r="2402" spans="1:4" x14ac:dyDescent="0.25">
      <c r="A2402" t="s">
        <v>2927</v>
      </c>
      <c r="B2402" s="5">
        <v>41905</v>
      </c>
      <c r="C2402" t="str">
        <f t="shared" si="37"/>
        <v>SRTON056.59_41905</v>
      </c>
      <c r="D2402">
        <f>COUNTIF(data.SampSummary!$C$2:$C$1407,C2402)</f>
        <v>0</v>
      </c>
    </row>
    <row r="2403" spans="1:4" x14ac:dyDescent="0.25">
      <c r="A2403" t="s">
        <v>2953</v>
      </c>
      <c r="B2403" s="5">
        <v>41905</v>
      </c>
      <c r="C2403" t="str">
        <f t="shared" si="37"/>
        <v>SRCRS001.24_41905</v>
      </c>
      <c r="D2403">
        <f>COUNTIF(data.SampSummary!$C$2:$C$1407,C2403)</f>
        <v>0</v>
      </c>
    </row>
    <row r="2404" spans="1:4" x14ac:dyDescent="0.25">
      <c r="A2404" t="s">
        <v>2445</v>
      </c>
      <c r="B2404" s="5">
        <v>41856</v>
      </c>
      <c r="C2404" t="str">
        <f t="shared" si="37"/>
        <v>SRCRS002.25_41856</v>
      </c>
      <c r="D2404">
        <f>COUNTIF(data.SampSummary!$C$2:$C$1407,C2404)</f>
        <v>0</v>
      </c>
    </row>
    <row r="2405" spans="1:4" x14ac:dyDescent="0.25">
      <c r="A2405" t="s">
        <v>2954</v>
      </c>
      <c r="B2405" s="5">
        <v>40724</v>
      </c>
      <c r="C2405" t="str">
        <f t="shared" si="37"/>
        <v>SRTON057.70_40724</v>
      </c>
      <c r="D2405">
        <f>COUNTIF(data.SampSummary!$C$2:$C$1407,C2405)</f>
        <v>0</v>
      </c>
    </row>
    <row r="2406" spans="1:4" x14ac:dyDescent="0.25">
      <c r="A2406" t="s">
        <v>170</v>
      </c>
      <c r="B2406" s="5">
        <v>40724</v>
      </c>
      <c r="C2406" t="str">
        <f t="shared" si="37"/>
        <v>SRTON058.63_40724</v>
      </c>
      <c r="D2406">
        <f>COUNTIF(data.SampSummary!$C$2:$C$1407,C2406)</f>
        <v>0</v>
      </c>
    </row>
    <row r="2407" spans="1:4" x14ac:dyDescent="0.25">
      <c r="A2407" t="s">
        <v>51</v>
      </c>
      <c r="B2407" s="5">
        <v>41829</v>
      </c>
      <c r="C2407" t="str">
        <f t="shared" si="37"/>
        <v>SRTON061.37_41829</v>
      </c>
      <c r="D2407">
        <f>COUNTIF(data.SampSummary!$C$2:$C$1407,C2407)</f>
        <v>0</v>
      </c>
    </row>
    <row r="2408" spans="1:4" x14ac:dyDescent="0.25">
      <c r="A2408" t="s">
        <v>2958</v>
      </c>
      <c r="B2408" s="5">
        <v>40752</v>
      </c>
      <c r="C2408" t="str">
        <f t="shared" si="37"/>
        <v>SRTON060.28_40752</v>
      </c>
      <c r="D2408">
        <f>COUNTIF(data.SampSummary!$C$2:$C$1407,C2408)</f>
        <v>0</v>
      </c>
    </row>
    <row r="2409" spans="1:4" x14ac:dyDescent="0.25">
      <c r="A2409" t="s">
        <v>170</v>
      </c>
      <c r="B2409" s="5">
        <v>40752</v>
      </c>
      <c r="C2409" t="str">
        <f t="shared" si="37"/>
        <v>SRTON058.63_40752</v>
      </c>
      <c r="D2409">
        <f>COUNTIF(data.SampSummary!$C$2:$C$1407,C2409)</f>
        <v>0</v>
      </c>
    </row>
    <row r="2410" spans="1:4" x14ac:dyDescent="0.25">
      <c r="A2410" t="s">
        <v>2203</v>
      </c>
      <c r="B2410" s="5">
        <v>40752</v>
      </c>
      <c r="C2410" t="str">
        <f t="shared" si="37"/>
        <v>SRTON062.89_40752</v>
      </c>
      <c r="D2410">
        <f>COUNTIF(data.SampSummary!$C$2:$C$1407,C2410)</f>
        <v>0</v>
      </c>
    </row>
    <row r="2411" spans="1:4" x14ac:dyDescent="0.25">
      <c r="A2411" t="s">
        <v>2950</v>
      </c>
      <c r="B2411" s="5">
        <v>40751</v>
      </c>
      <c r="C2411" t="str">
        <f t="shared" si="37"/>
        <v>SRCRS001.74_40751</v>
      </c>
      <c r="D2411">
        <f>COUNTIF(data.SampSummary!$C$2:$C$1407,C2411)</f>
        <v>0</v>
      </c>
    </row>
    <row r="2412" spans="1:4" x14ac:dyDescent="0.25">
      <c r="A2412" t="s">
        <v>2698</v>
      </c>
      <c r="B2412" s="5">
        <v>40751</v>
      </c>
      <c r="C2412" t="str">
        <f t="shared" si="37"/>
        <v>SRTON055.09_40751</v>
      </c>
      <c r="D2412">
        <f>COUNTIF(data.SampSummary!$C$2:$C$1407,C2412)</f>
        <v>0</v>
      </c>
    </row>
    <row r="2413" spans="1:4" x14ac:dyDescent="0.25">
      <c r="A2413" t="s">
        <v>2928</v>
      </c>
      <c r="B2413" s="5">
        <v>40724</v>
      </c>
      <c r="C2413" t="str">
        <f t="shared" si="37"/>
        <v>SRCRS006.20_40724</v>
      </c>
      <c r="D2413">
        <f>COUNTIF(data.SampSummary!$C$2:$C$1407,C2413)</f>
        <v>0</v>
      </c>
    </row>
    <row r="2414" spans="1:4" x14ac:dyDescent="0.25">
      <c r="A2414" t="s">
        <v>2958</v>
      </c>
      <c r="B2414" s="5">
        <v>40724</v>
      </c>
      <c r="C2414" t="str">
        <f t="shared" si="37"/>
        <v>SRTON060.28_40724</v>
      </c>
      <c r="D2414">
        <f>COUNTIF(data.SampSummary!$C$2:$C$1407,C2414)</f>
        <v>0</v>
      </c>
    </row>
    <row r="2415" spans="1:4" x14ac:dyDescent="0.25">
      <c r="A2415" t="s">
        <v>51</v>
      </c>
      <c r="B2415" s="5">
        <v>40724</v>
      </c>
      <c r="C2415" t="str">
        <f t="shared" si="37"/>
        <v>SRTON061.37_40724</v>
      </c>
      <c r="D2415">
        <f>COUNTIF(data.SampSummary!$C$2:$C$1407,C2415)</f>
        <v>0</v>
      </c>
    </row>
    <row r="2416" spans="1:4" x14ac:dyDescent="0.25">
      <c r="A2416" t="s">
        <v>17</v>
      </c>
      <c r="B2416" s="5">
        <v>40724</v>
      </c>
      <c r="C2416" t="str">
        <f t="shared" si="37"/>
        <v>SRTON062.28_40724</v>
      </c>
      <c r="D2416">
        <f>COUNTIF(data.SampSummary!$C$2:$C$1407,C2416)</f>
        <v>0</v>
      </c>
    </row>
    <row r="2417" spans="1:4" x14ac:dyDescent="0.25">
      <c r="A2417" t="s">
        <v>2203</v>
      </c>
      <c r="B2417" s="5">
        <v>40724</v>
      </c>
      <c r="C2417" t="str">
        <f t="shared" si="37"/>
        <v>SRTON062.89_40724</v>
      </c>
      <c r="D2417">
        <f>COUNTIF(data.SampSummary!$C$2:$C$1407,C2417)</f>
        <v>0</v>
      </c>
    </row>
    <row r="2418" spans="1:4" x14ac:dyDescent="0.25">
      <c r="A2418" t="s">
        <v>2927</v>
      </c>
      <c r="B2418" s="5">
        <v>40723</v>
      </c>
      <c r="C2418" t="str">
        <f t="shared" si="37"/>
        <v>SRTON056.59_40723</v>
      </c>
      <c r="D2418">
        <f>COUNTIF(data.SampSummary!$C$2:$C$1407,C2418)</f>
        <v>0</v>
      </c>
    </row>
    <row r="2419" spans="1:4" x14ac:dyDescent="0.25">
      <c r="A2419" t="s">
        <v>2929</v>
      </c>
      <c r="B2419" s="5">
        <v>40723</v>
      </c>
      <c r="C2419" t="str">
        <f t="shared" si="37"/>
        <v>SRCRS000.08_40723</v>
      </c>
      <c r="D2419">
        <f>COUNTIF(data.SampSummary!$C$2:$C$1407,C2419)</f>
        <v>0</v>
      </c>
    </row>
    <row r="2420" spans="1:4" x14ac:dyDescent="0.25">
      <c r="A2420" t="s">
        <v>197</v>
      </c>
      <c r="B2420" s="5">
        <v>40723</v>
      </c>
      <c r="C2420" t="str">
        <f t="shared" si="37"/>
        <v>SRTON053.87_40723</v>
      </c>
      <c r="D2420">
        <f>COUNTIF(data.SampSummary!$C$2:$C$1407,C2420)</f>
        <v>0</v>
      </c>
    </row>
    <row r="2421" spans="1:4" x14ac:dyDescent="0.25">
      <c r="A2421" t="s">
        <v>2698</v>
      </c>
      <c r="B2421" s="5">
        <v>40723</v>
      </c>
      <c r="C2421" t="str">
        <f t="shared" si="37"/>
        <v>SRTON055.09_40723</v>
      </c>
      <c r="D2421">
        <f>COUNTIF(data.SampSummary!$C$2:$C$1407,C2421)</f>
        <v>0</v>
      </c>
    </row>
    <row r="2422" spans="1:4" x14ac:dyDescent="0.25">
      <c r="A2422" t="s">
        <v>2953</v>
      </c>
      <c r="B2422" s="5">
        <v>40723</v>
      </c>
      <c r="C2422" t="str">
        <f t="shared" si="37"/>
        <v>SRCRS001.24_40723</v>
      </c>
      <c r="D2422">
        <f>COUNTIF(data.SampSummary!$C$2:$C$1407,C2422)</f>
        <v>0</v>
      </c>
    </row>
    <row r="2423" spans="1:4" x14ac:dyDescent="0.25">
      <c r="A2423" t="s">
        <v>2950</v>
      </c>
      <c r="B2423" s="5">
        <v>40723</v>
      </c>
      <c r="C2423" t="str">
        <f t="shared" si="37"/>
        <v>SRCRS001.74_40723</v>
      </c>
      <c r="D2423">
        <f>COUNTIF(data.SampSummary!$C$2:$C$1407,C2423)</f>
        <v>0</v>
      </c>
    </row>
    <row r="2424" spans="1:4" x14ac:dyDescent="0.25">
      <c r="A2424" t="s">
        <v>2836</v>
      </c>
      <c r="B2424" s="5">
        <v>41458</v>
      </c>
      <c r="C2424" t="str">
        <f t="shared" si="37"/>
        <v>CLGLR010.53_41458</v>
      </c>
      <c r="D2424">
        <f>COUNTIF(data.SampSummary!$C$2:$C$1407,C2424)</f>
        <v>0</v>
      </c>
    </row>
    <row r="2425" spans="1:4" x14ac:dyDescent="0.25">
      <c r="A2425" t="s">
        <v>2445</v>
      </c>
      <c r="B2425" s="5">
        <v>40429</v>
      </c>
      <c r="C2425" t="str">
        <f t="shared" si="37"/>
        <v>SRCRS002.25_40429</v>
      </c>
      <c r="D2425">
        <f>COUNTIF(data.SampSummary!$C$2:$C$1407,C2425)</f>
        <v>0</v>
      </c>
    </row>
    <row r="2426" spans="1:4" x14ac:dyDescent="0.25">
      <c r="A2426" t="s">
        <v>17</v>
      </c>
      <c r="B2426" s="5">
        <v>41829</v>
      </c>
      <c r="C2426" t="str">
        <f t="shared" si="37"/>
        <v>SRTON062.28_41829</v>
      </c>
      <c r="D2426">
        <f>COUNTIF(data.SampSummary!$C$2:$C$1407,C2426)</f>
        <v>0</v>
      </c>
    </row>
    <row r="2427" spans="1:4" x14ac:dyDescent="0.25">
      <c r="A2427" t="s">
        <v>2927</v>
      </c>
      <c r="B2427" s="5">
        <v>41828</v>
      </c>
      <c r="C2427" t="str">
        <f t="shared" si="37"/>
        <v>SRTON056.59_41828</v>
      </c>
      <c r="D2427">
        <f>COUNTIF(data.SampSummary!$C$2:$C$1407,C2427)</f>
        <v>0</v>
      </c>
    </row>
    <row r="2428" spans="1:4" x14ac:dyDescent="0.25">
      <c r="A2428" t="s">
        <v>2953</v>
      </c>
      <c r="B2428" s="5">
        <v>41828</v>
      </c>
      <c r="C2428" t="str">
        <f t="shared" si="37"/>
        <v>SRCRS001.24_41828</v>
      </c>
      <c r="D2428">
        <f>COUNTIF(data.SampSummary!$C$2:$C$1407,C2428)</f>
        <v>0</v>
      </c>
    </row>
    <row r="2429" spans="1:4" x14ac:dyDescent="0.25">
      <c r="A2429" t="s">
        <v>2445</v>
      </c>
      <c r="B2429" s="5">
        <v>41828</v>
      </c>
      <c r="C2429" t="str">
        <f t="shared" si="37"/>
        <v>SRCRS002.25_41828</v>
      </c>
      <c r="D2429">
        <f>COUNTIF(data.SampSummary!$C$2:$C$1407,C2429)</f>
        <v>0</v>
      </c>
    </row>
    <row r="2430" spans="1:4" x14ac:dyDescent="0.25">
      <c r="A2430" t="s">
        <v>197</v>
      </c>
      <c r="B2430" s="5">
        <v>41828</v>
      </c>
      <c r="C2430" t="str">
        <f t="shared" si="37"/>
        <v>SRTON053.87_41828</v>
      </c>
      <c r="D2430">
        <f>COUNTIF(data.SampSummary!$C$2:$C$1407,C2430)</f>
        <v>0</v>
      </c>
    </row>
    <row r="2431" spans="1:4" x14ac:dyDescent="0.25">
      <c r="A2431" t="s">
        <v>51</v>
      </c>
      <c r="B2431" s="5">
        <v>40752</v>
      </c>
      <c r="C2431" t="str">
        <f t="shared" si="37"/>
        <v>SRTON061.37_40752</v>
      </c>
      <c r="D2431">
        <f>COUNTIF(data.SampSummary!$C$2:$C$1407,C2431)</f>
        <v>0</v>
      </c>
    </row>
    <row r="2432" spans="1:4" x14ac:dyDescent="0.25">
      <c r="A2432" t="s">
        <v>17</v>
      </c>
      <c r="B2432" s="5">
        <v>40752</v>
      </c>
      <c r="C2432" t="str">
        <f t="shared" si="37"/>
        <v>SRTON062.28_40752</v>
      </c>
      <c r="D2432">
        <f>COUNTIF(data.SampSummary!$C$2:$C$1407,C2432)</f>
        <v>0</v>
      </c>
    </row>
    <row r="2433" spans="1:4" x14ac:dyDescent="0.25">
      <c r="A2433" t="s">
        <v>2928</v>
      </c>
      <c r="B2433" s="5">
        <v>40752</v>
      </c>
      <c r="C2433" t="str">
        <f t="shared" si="37"/>
        <v>SRCRS006.20_40752</v>
      </c>
      <c r="D2433">
        <f>COUNTIF(data.SampSummary!$C$2:$C$1407,C2433)</f>
        <v>0</v>
      </c>
    </row>
    <row r="2434" spans="1:4" x14ac:dyDescent="0.25">
      <c r="A2434" t="s">
        <v>2954</v>
      </c>
      <c r="B2434" s="5">
        <v>40752</v>
      </c>
      <c r="C2434" t="str">
        <f t="shared" si="37"/>
        <v>SRTON057.70_40752</v>
      </c>
      <c r="D2434">
        <f>COUNTIF(data.SampSummary!$C$2:$C$1407,C2434)</f>
        <v>0</v>
      </c>
    </row>
    <row r="2435" spans="1:4" x14ac:dyDescent="0.25">
      <c r="A2435" t="s">
        <v>2445</v>
      </c>
      <c r="B2435" s="5">
        <v>40751</v>
      </c>
      <c r="C2435" t="str">
        <f t="shared" ref="C2435:C2498" si="38">A2435&amp;"_"&amp;B2435</f>
        <v>SRCRS002.25_40751</v>
      </c>
      <c r="D2435">
        <f>COUNTIF(data.SampSummary!$C$2:$C$1407,C2435)</f>
        <v>0</v>
      </c>
    </row>
    <row r="2436" spans="1:4" x14ac:dyDescent="0.25">
      <c r="A2436" t="s">
        <v>2953</v>
      </c>
      <c r="B2436" s="5">
        <v>40751</v>
      </c>
      <c r="C2436" t="str">
        <f t="shared" si="38"/>
        <v>SRCRS001.24_40751</v>
      </c>
      <c r="D2436">
        <f>COUNTIF(data.SampSummary!$C$2:$C$1407,C2436)</f>
        <v>0</v>
      </c>
    </row>
    <row r="2437" spans="1:4" x14ac:dyDescent="0.25">
      <c r="A2437" t="s">
        <v>2929</v>
      </c>
      <c r="B2437" s="5">
        <v>40751</v>
      </c>
      <c r="C2437" t="str">
        <f t="shared" si="38"/>
        <v>SRCRS000.08_40751</v>
      </c>
      <c r="D2437">
        <f>COUNTIF(data.SampSummary!$C$2:$C$1407,C2437)</f>
        <v>0</v>
      </c>
    </row>
    <row r="2438" spans="1:4" x14ac:dyDescent="0.25">
      <c r="A2438" t="s">
        <v>197</v>
      </c>
      <c r="B2438" s="5">
        <v>40751</v>
      </c>
      <c r="C2438" t="str">
        <f t="shared" si="38"/>
        <v>SRTON053.87_40751</v>
      </c>
      <c r="D2438">
        <f>COUNTIF(data.SampSummary!$C$2:$C$1407,C2438)</f>
        <v>0</v>
      </c>
    </row>
    <row r="2439" spans="1:4" x14ac:dyDescent="0.25">
      <c r="A2439" t="s">
        <v>2927</v>
      </c>
      <c r="B2439" s="5">
        <v>40751</v>
      </c>
      <c r="C2439" t="str">
        <f t="shared" si="38"/>
        <v>SRTON056.59_40751</v>
      </c>
      <c r="D2439">
        <f>COUNTIF(data.SampSummary!$C$2:$C$1407,C2439)</f>
        <v>0</v>
      </c>
    </row>
    <row r="2440" spans="1:4" x14ac:dyDescent="0.25">
      <c r="A2440" t="s">
        <v>170</v>
      </c>
      <c r="B2440" s="5">
        <v>41829</v>
      </c>
      <c r="C2440" t="str">
        <f t="shared" si="38"/>
        <v>SRTON058.63_41829</v>
      </c>
      <c r="D2440">
        <f>COUNTIF(data.SampSummary!$C$2:$C$1407,C2440)</f>
        <v>0</v>
      </c>
    </row>
    <row r="2441" spans="1:4" x14ac:dyDescent="0.25">
      <c r="A2441" t="s">
        <v>2954</v>
      </c>
      <c r="B2441" s="5">
        <v>41829</v>
      </c>
      <c r="C2441" t="str">
        <f t="shared" si="38"/>
        <v>SRTON057.70_41829</v>
      </c>
      <c r="D2441">
        <f>COUNTIF(data.SampSummary!$C$2:$C$1407,C2441)</f>
        <v>0</v>
      </c>
    </row>
    <row r="2442" spans="1:4" x14ac:dyDescent="0.25">
      <c r="A2442" t="s">
        <v>2929</v>
      </c>
      <c r="B2442" s="5">
        <v>41828</v>
      </c>
      <c r="C2442" t="str">
        <f t="shared" si="38"/>
        <v>SRCRS000.08_41828</v>
      </c>
      <c r="D2442">
        <f>COUNTIF(data.SampSummary!$C$2:$C$1407,C2442)</f>
        <v>0</v>
      </c>
    </row>
    <row r="2443" spans="1:4" x14ac:dyDescent="0.25">
      <c r="A2443" t="s">
        <v>2698</v>
      </c>
      <c r="B2443" s="5">
        <v>41828</v>
      </c>
      <c r="C2443" t="str">
        <f t="shared" si="38"/>
        <v>SRTON055.09_41828</v>
      </c>
      <c r="D2443">
        <f>COUNTIF(data.SampSummary!$C$2:$C$1407,C2443)</f>
        <v>0</v>
      </c>
    </row>
    <row r="2444" spans="1:4" x14ac:dyDescent="0.25">
      <c r="A2444" t="s">
        <v>2928</v>
      </c>
      <c r="B2444" s="5">
        <v>41828</v>
      </c>
      <c r="C2444" t="str">
        <f t="shared" si="38"/>
        <v>SRCRS006.20_41828</v>
      </c>
      <c r="D2444">
        <f>COUNTIF(data.SampSummary!$C$2:$C$1407,C2444)</f>
        <v>0</v>
      </c>
    </row>
    <row r="2445" spans="1:4" x14ac:dyDescent="0.25">
      <c r="A2445" t="s">
        <v>2203</v>
      </c>
      <c r="B2445" s="5">
        <v>41829</v>
      </c>
      <c r="C2445" t="str">
        <f t="shared" si="38"/>
        <v>SRTON062.89_41829</v>
      </c>
      <c r="D2445">
        <f>COUNTIF(data.SampSummary!$C$2:$C$1407,C2445)</f>
        <v>0</v>
      </c>
    </row>
    <row r="2446" spans="1:4" x14ac:dyDescent="0.25">
      <c r="A2446" t="s">
        <v>2945</v>
      </c>
      <c r="B2446" s="5">
        <v>38536</v>
      </c>
      <c r="C2446" t="str">
        <f t="shared" si="38"/>
        <v>VROAK038.52_38536</v>
      </c>
      <c r="D2446">
        <f>COUNTIF(data.SampSummary!$C$2:$C$1407,C2446)</f>
        <v>0</v>
      </c>
    </row>
    <row r="2447" spans="1:4" x14ac:dyDescent="0.25">
      <c r="A2447" t="s">
        <v>260</v>
      </c>
      <c r="B2447" s="5">
        <v>38536</v>
      </c>
      <c r="C2447" t="str">
        <f t="shared" si="38"/>
        <v>VROAK034.02_38536</v>
      </c>
      <c r="D2447">
        <f>COUNTIF(data.SampSummary!$C$2:$C$1407,C2447)</f>
        <v>0</v>
      </c>
    </row>
    <row r="2448" spans="1:4" x14ac:dyDescent="0.25">
      <c r="A2448" t="s">
        <v>242</v>
      </c>
      <c r="B2448" s="5">
        <v>38536</v>
      </c>
      <c r="C2448" t="str">
        <f t="shared" si="38"/>
        <v>VROAK031.38_38536</v>
      </c>
      <c r="D2448">
        <f>COUNTIF(data.SampSummary!$C$2:$C$1407,C2448)</f>
        <v>0</v>
      </c>
    </row>
    <row r="2449" spans="1:4" x14ac:dyDescent="0.25">
      <c r="A2449" t="s">
        <v>2946</v>
      </c>
      <c r="B2449" s="5">
        <v>38536</v>
      </c>
      <c r="C2449" t="str">
        <f t="shared" si="38"/>
        <v>VROAK035.79_38536</v>
      </c>
      <c r="D2449">
        <f>COUNTIF(data.SampSummary!$C$2:$C$1407,C2449)</f>
        <v>0</v>
      </c>
    </row>
    <row r="2450" spans="1:4" x14ac:dyDescent="0.25">
      <c r="A2450" t="s">
        <v>131</v>
      </c>
      <c r="B2450" s="5">
        <v>38537</v>
      </c>
      <c r="C2450" t="str">
        <f t="shared" si="38"/>
        <v>VROAK043.73_38537</v>
      </c>
      <c r="D2450">
        <f>COUNTIF(data.SampSummary!$C$2:$C$1407,C2450)</f>
        <v>0</v>
      </c>
    </row>
    <row r="2451" spans="1:4" x14ac:dyDescent="0.25">
      <c r="A2451" t="s">
        <v>2945</v>
      </c>
      <c r="B2451" s="5">
        <v>38537</v>
      </c>
      <c r="C2451" t="str">
        <f t="shared" si="38"/>
        <v>VROAK038.52_38537</v>
      </c>
      <c r="D2451">
        <f>COUNTIF(data.SampSummary!$C$2:$C$1407,C2451)</f>
        <v>0</v>
      </c>
    </row>
    <row r="2452" spans="1:4" x14ac:dyDescent="0.25">
      <c r="A2452" t="s">
        <v>260</v>
      </c>
      <c r="B2452" s="5">
        <v>38537</v>
      </c>
      <c r="C2452" t="str">
        <f t="shared" si="38"/>
        <v>VROAK034.02_38537</v>
      </c>
      <c r="D2452">
        <f>COUNTIF(data.SampSummary!$C$2:$C$1407,C2452)</f>
        <v>0</v>
      </c>
    </row>
    <row r="2453" spans="1:4" x14ac:dyDescent="0.25">
      <c r="A2453" t="s">
        <v>242</v>
      </c>
      <c r="B2453" s="5">
        <v>38537</v>
      </c>
      <c r="C2453" t="str">
        <f t="shared" si="38"/>
        <v>VROAK031.38_38537</v>
      </c>
      <c r="D2453">
        <f>COUNTIF(data.SampSummary!$C$2:$C$1407,C2453)</f>
        <v>0</v>
      </c>
    </row>
    <row r="2454" spans="1:4" x14ac:dyDescent="0.25">
      <c r="A2454" t="s">
        <v>2946</v>
      </c>
      <c r="B2454" s="5">
        <v>38537</v>
      </c>
      <c r="C2454" t="str">
        <f t="shared" si="38"/>
        <v>VROAK035.79_38537</v>
      </c>
      <c r="D2454">
        <f>COUNTIF(data.SampSummary!$C$2:$C$1407,C2454)</f>
        <v>0</v>
      </c>
    </row>
    <row r="2455" spans="1:4" x14ac:dyDescent="0.25">
      <c r="A2455" t="s">
        <v>2937</v>
      </c>
      <c r="B2455" s="5">
        <v>38538</v>
      </c>
      <c r="C2455" t="str">
        <f t="shared" si="38"/>
        <v>VROAK043.88_38538</v>
      </c>
      <c r="D2455">
        <f>COUNTIF(data.SampSummary!$C$2:$C$1407,C2455)</f>
        <v>0</v>
      </c>
    </row>
    <row r="2456" spans="1:4" x14ac:dyDescent="0.25">
      <c r="A2456" t="s">
        <v>131</v>
      </c>
      <c r="B2456" s="5">
        <v>38538</v>
      </c>
      <c r="C2456" t="str">
        <f t="shared" si="38"/>
        <v>VROAK043.73_38538</v>
      </c>
      <c r="D2456">
        <f>COUNTIF(data.SampSummary!$C$2:$C$1407,C2456)</f>
        <v>0</v>
      </c>
    </row>
    <row r="2457" spans="1:4" x14ac:dyDescent="0.25">
      <c r="A2457" t="s">
        <v>260</v>
      </c>
      <c r="B2457" s="5">
        <v>38538</v>
      </c>
      <c r="C2457" t="str">
        <f t="shared" si="38"/>
        <v>VROAK034.02_38538</v>
      </c>
      <c r="D2457">
        <f>COUNTIF(data.SampSummary!$C$2:$C$1407,C2457)</f>
        <v>0</v>
      </c>
    </row>
    <row r="2458" spans="1:4" x14ac:dyDescent="0.25">
      <c r="A2458" t="s">
        <v>2945</v>
      </c>
      <c r="B2458" s="5">
        <v>38538</v>
      </c>
      <c r="C2458" t="str">
        <f t="shared" si="38"/>
        <v>VROAK038.52_38538</v>
      </c>
      <c r="D2458">
        <f>COUNTIF(data.SampSummary!$C$2:$C$1407,C2458)</f>
        <v>0</v>
      </c>
    </row>
    <row r="2459" spans="1:4" x14ac:dyDescent="0.25">
      <c r="A2459" t="s">
        <v>242</v>
      </c>
      <c r="B2459" s="5">
        <v>38538</v>
      </c>
      <c r="C2459" t="str">
        <f t="shared" si="38"/>
        <v>VROAK031.38_38538</v>
      </c>
      <c r="D2459">
        <f>COUNTIF(data.SampSummary!$C$2:$C$1407,C2459)</f>
        <v>0</v>
      </c>
    </row>
    <row r="2460" spans="1:4" x14ac:dyDescent="0.25">
      <c r="A2460" t="s">
        <v>2946</v>
      </c>
      <c r="B2460" s="5">
        <v>38538</v>
      </c>
      <c r="C2460" t="str">
        <f t="shared" si="38"/>
        <v>VROAK035.79_38538</v>
      </c>
      <c r="D2460">
        <f>COUNTIF(data.SampSummary!$C$2:$C$1407,C2460)</f>
        <v>0</v>
      </c>
    </row>
    <row r="2461" spans="1:4" x14ac:dyDescent="0.25">
      <c r="A2461" t="s">
        <v>382</v>
      </c>
      <c r="B2461" s="5">
        <v>38623</v>
      </c>
      <c r="C2461" t="str">
        <f t="shared" si="38"/>
        <v>SCRED005.58_38623</v>
      </c>
      <c r="D2461">
        <f>COUNTIF(data.SampSummary!$C$2:$C$1407,C2461)</f>
        <v>0</v>
      </c>
    </row>
    <row r="2462" spans="1:4" x14ac:dyDescent="0.25">
      <c r="A2462" t="s">
        <v>2170</v>
      </c>
      <c r="B2462" s="5">
        <v>38658</v>
      </c>
      <c r="C2462" t="str">
        <f t="shared" si="38"/>
        <v>LCNUT020.23_38658</v>
      </c>
      <c r="D2462">
        <f>COUNTIF(data.SampSummary!$C$2:$C$1407,C2462)</f>
        <v>0</v>
      </c>
    </row>
    <row r="2463" spans="1:4" x14ac:dyDescent="0.25">
      <c r="A2463" t="s">
        <v>382</v>
      </c>
      <c r="B2463" s="5">
        <v>38694</v>
      </c>
      <c r="C2463" t="str">
        <f t="shared" si="38"/>
        <v>SCRED005.58_38694</v>
      </c>
      <c r="D2463">
        <f>COUNTIF(data.SampSummary!$C$2:$C$1407,C2463)</f>
        <v>0</v>
      </c>
    </row>
    <row r="2464" spans="1:4" x14ac:dyDescent="0.25">
      <c r="A2464" t="s">
        <v>382</v>
      </c>
      <c r="B2464" s="5">
        <v>38763</v>
      </c>
      <c r="C2464" t="str">
        <f t="shared" si="38"/>
        <v>SCRED005.58_38763</v>
      </c>
      <c r="D2464">
        <f>COUNTIF(data.SampSummary!$C$2:$C$1407,C2464)</f>
        <v>0</v>
      </c>
    </row>
    <row r="2465" spans="1:4" x14ac:dyDescent="0.25">
      <c r="A2465" t="s">
        <v>2980</v>
      </c>
      <c r="B2465" s="5">
        <v>38791</v>
      </c>
      <c r="C2465" t="str">
        <f t="shared" si="38"/>
        <v>LCNUT023.45_38791</v>
      </c>
      <c r="D2465">
        <f>COUNTIF(data.SampSummary!$C$2:$C$1407,C2465)</f>
        <v>0</v>
      </c>
    </row>
    <row r="2466" spans="1:4" x14ac:dyDescent="0.25">
      <c r="A2466" t="s">
        <v>342</v>
      </c>
      <c r="B2466" s="5">
        <v>38797</v>
      </c>
      <c r="C2466" t="str">
        <f t="shared" si="38"/>
        <v>UGBON000.17_38797</v>
      </c>
      <c r="D2466">
        <f>COUNTIF(data.SampSummary!$C$2:$C$1407,C2466)</f>
        <v>0</v>
      </c>
    </row>
    <row r="2467" spans="1:4" x14ac:dyDescent="0.25">
      <c r="A2467" t="s">
        <v>382</v>
      </c>
      <c r="B2467" s="5">
        <v>38818</v>
      </c>
      <c r="C2467" t="str">
        <f t="shared" si="38"/>
        <v>SCRED005.58_38818</v>
      </c>
      <c r="D2467">
        <f>COUNTIF(data.SampSummary!$C$2:$C$1407,C2467)</f>
        <v>0</v>
      </c>
    </row>
    <row r="2468" spans="1:4" x14ac:dyDescent="0.25">
      <c r="A2468" t="s">
        <v>2960</v>
      </c>
      <c r="B2468" s="5">
        <v>38819</v>
      </c>
      <c r="C2468" t="str">
        <f t="shared" si="38"/>
        <v>LCNUT026.83_38819</v>
      </c>
      <c r="D2468">
        <f>COUNTIF(data.SampSummary!$C$2:$C$1407,C2468)</f>
        <v>0</v>
      </c>
    </row>
    <row r="2469" spans="1:4" x14ac:dyDescent="0.25">
      <c r="A2469" t="s">
        <v>2836</v>
      </c>
      <c r="B2469" s="5">
        <v>41144</v>
      </c>
      <c r="C2469" t="str">
        <f t="shared" si="38"/>
        <v>CLGLR010.53_41144</v>
      </c>
      <c r="D2469">
        <f>COUNTIF(data.SampSummary!$C$2:$C$1407,C2469)</f>
        <v>0</v>
      </c>
    </row>
    <row r="2470" spans="1:4" x14ac:dyDescent="0.25">
      <c r="A2470" t="s">
        <v>2812</v>
      </c>
      <c r="B2470" s="5">
        <v>39837</v>
      </c>
      <c r="C2470" t="str">
        <f t="shared" si="38"/>
        <v>LCLCR226.31_39837</v>
      </c>
      <c r="D2470">
        <f>COUNTIF(data.SampSummary!$C$2:$C$1407,C2470)</f>
        <v>0</v>
      </c>
    </row>
    <row r="2471" spans="1:4" x14ac:dyDescent="0.25">
      <c r="A2471" t="s">
        <v>2812</v>
      </c>
      <c r="B2471" s="5">
        <v>39811</v>
      </c>
      <c r="C2471" t="str">
        <f t="shared" si="38"/>
        <v>LCLCR226.31_39811</v>
      </c>
      <c r="D2471">
        <f>COUNTIF(data.SampSummary!$C$2:$C$1407,C2471)</f>
        <v>0</v>
      </c>
    </row>
    <row r="2472" spans="1:4" x14ac:dyDescent="0.25">
      <c r="A2472" t="s">
        <v>342</v>
      </c>
      <c r="B2472" s="5">
        <v>38966</v>
      </c>
      <c r="C2472" t="str">
        <f t="shared" si="38"/>
        <v>UGBON000.17_38966</v>
      </c>
      <c r="D2472">
        <f>COUNTIF(data.SampSummary!$C$2:$C$1407,C2472)</f>
        <v>0</v>
      </c>
    </row>
    <row r="2473" spans="1:4" x14ac:dyDescent="0.25">
      <c r="A2473" t="s">
        <v>2115</v>
      </c>
      <c r="B2473" s="5">
        <v>38993</v>
      </c>
      <c r="C2473" t="str">
        <f t="shared" si="38"/>
        <v>UGGLR471.49_38993</v>
      </c>
      <c r="D2473">
        <f>COUNTIF(data.SampSummary!$C$2:$C$1407,C2473)</f>
        <v>0</v>
      </c>
    </row>
    <row r="2474" spans="1:4" x14ac:dyDescent="0.25">
      <c r="A2474" t="s">
        <v>326</v>
      </c>
      <c r="B2474" s="5">
        <v>38993</v>
      </c>
      <c r="C2474" t="str">
        <f t="shared" si="38"/>
        <v>UGSFR006.42_38993</v>
      </c>
      <c r="D2474">
        <f>COUNTIF(data.SampSummary!$C$2:$C$1407,C2474)</f>
        <v>0</v>
      </c>
    </row>
    <row r="2475" spans="1:4" x14ac:dyDescent="0.25">
      <c r="A2475" t="s">
        <v>2952</v>
      </c>
      <c r="B2475" s="5">
        <v>38994</v>
      </c>
      <c r="C2475" t="str">
        <f t="shared" si="38"/>
        <v>MGGLR337.14_38994</v>
      </c>
      <c r="D2475">
        <f>COUNTIF(data.SampSummary!$C$2:$C$1407,C2475)</f>
        <v>0</v>
      </c>
    </row>
    <row r="2476" spans="1:4" x14ac:dyDescent="0.25">
      <c r="A2476" t="s">
        <v>342</v>
      </c>
      <c r="B2476" s="5">
        <v>39260</v>
      </c>
      <c r="C2476" t="str">
        <f t="shared" si="38"/>
        <v>UGBON000.17_39260</v>
      </c>
      <c r="D2476">
        <f>COUNTIF(data.SampSummary!$C$2:$C$1407,C2476)</f>
        <v>0</v>
      </c>
    </row>
    <row r="2477" spans="1:4" x14ac:dyDescent="0.25">
      <c r="A2477" t="s">
        <v>285</v>
      </c>
      <c r="B2477" s="5">
        <v>39625</v>
      </c>
      <c r="C2477" t="str">
        <f t="shared" si="38"/>
        <v>VRPIE000.29_39625</v>
      </c>
      <c r="D2477">
        <f>COUNTIF(data.SampSummary!$C$2:$C$1407,C2477)</f>
        <v>0</v>
      </c>
    </row>
    <row r="2478" spans="1:4" x14ac:dyDescent="0.25">
      <c r="A2478" t="s">
        <v>2941</v>
      </c>
      <c r="B2478" s="5">
        <v>39562</v>
      </c>
      <c r="C2478" t="str">
        <f t="shared" si="38"/>
        <v>VROAK050.30_39562</v>
      </c>
      <c r="D2478">
        <f>COUNTIF(data.SampSummary!$C$2:$C$1407,C2478)</f>
        <v>0</v>
      </c>
    </row>
    <row r="2479" spans="1:4" x14ac:dyDescent="0.25">
      <c r="A2479" t="s">
        <v>2967</v>
      </c>
      <c r="B2479" s="5">
        <v>39453</v>
      </c>
      <c r="C2479" t="str">
        <f t="shared" si="38"/>
        <v>VROAK017.30_39453</v>
      </c>
      <c r="D2479">
        <f>COUNTIF(data.SampSummary!$C$2:$C$1407,C2479)</f>
        <v>0</v>
      </c>
    </row>
    <row r="2480" spans="1:4" x14ac:dyDescent="0.25">
      <c r="A2480" t="s">
        <v>2946</v>
      </c>
      <c r="B2480" s="5">
        <v>39453</v>
      </c>
      <c r="C2480" t="str">
        <f t="shared" si="38"/>
        <v>VROAK035.79_39453</v>
      </c>
      <c r="D2480">
        <f>COUNTIF(data.SampSummary!$C$2:$C$1407,C2480)</f>
        <v>0</v>
      </c>
    </row>
    <row r="2481" spans="1:4" x14ac:dyDescent="0.25">
      <c r="A2481" t="s">
        <v>2981</v>
      </c>
      <c r="B2481" s="5">
        <v>39453</v>
      </c>
      <c r="C2481" t="str">
        <f t="shared" si="38"/>
        <v>VROAK031.52_39453</v>
      </c>
      <c r="D2481">
        <f>COUNTIF(data.SampSummary!$C$2:$C$1407,C2481)</f>
        <v>0</v>
      </c>
    </row>
    <row r="2482" spans="1:4" x14ac:dyDescent="0.25">
      <c r="A2482" t="s">
        <v>2940</v>
      </c>
      <c r="B2482" s="5">
        <v>39453</v>
      </c>
      <c r="C2482" t="str">
        <f t="shared" si="38"/>
        <v>VROAK043.79_39453</v>
      </c>
      <c r="D2482">
        <f>COUNTIF(data.SampSummary!$C$2:$C$1407,C2482)</f>
        <v>0</v>
      </c>
    </row>
    <row r="2483" spans="1:4" x14ac:dyDescent="0.25">
      <c r="A2483" t="s">
        <v>2963</v>
      </c>
      <c r="B2483" s="5">
        <v>39453</v>
      </c>
      <c r="C2483" t="str">
        <f t="shared" si="38"/>
        <v>VRWOK000.10_39453</v>
      </c>
      <c r="D2483">
        <f>COUNTIF(data.SampSummary!$C$2:$C$1407,C2483)</f>
        <v>0</v>
      </c>
    </row>
    <row r="2484" spans="1:4" x14ac:dyDescent="0.25">
      <c r="A2484" t="s">
        <v>172</v>
      </c>
      <c r="B2484" s="5">
        <v>39453</v>
      </c>
      <c r="C2484" t="str">
        <f t="shared" si="38"/>
        <v>VROAK048.92_39453</v>
      </c>
      <c r="D2484">
        <f>COUNTIF(data.SampSummary!$C$2:$C$1407,C2484)</f>
        <v>0</v>
      </c>
    </row>
    <row r="2485" spans="1:4" x14ac:dyDescent="0.25">
      <c r="A2485" t="s">
        <v>2962</v>
      </c>
      <c r="B2485" s="5">
        <v>39453</v>
      </c>
      <c r="C2485" t="str">
        <f t="shared" si="38"/>
        <v>VROAK050.55_39453</v>
      </c>
      <c r="D2485">
        <f>COUNTIF(data.SampSummary!$C$2:$C$1407,C2485)</f>
        <v>0</v>
      </c>
    </row>
    <row r="2486" spans="1:4" x14ac:dyDescent="0.25">
      <c r="A2486" t="s">
        <v>2836</v>
      </c>
      <c r="B2486" s="5">
        <v>41526</v>
      </c>
      <c r="C2486" t="str">
        <f t="shared" si="38"/>
        <v>CLGLR010.53_41526</v>
      </c>
      <c r="D2486">
        <f>COUNTIF(data.SampSummary!$C$2:$C$1407,C2486)</f>
        <v>0</v>
      </c>
    </row>
    <row r="2487" spans="1:4" x14ac:dyDescent="0.25">
      <c r="A2487" t="s">
        <v>190</v>
      </c>
      <c r="B2487" s="5">
        <v>39702</v>
      </c>
      <c r="C2487" t="str">
        <f t="shared" si="38"/>
        <v>MGAFR087.06_39702</v>
      </c>
      <c r="D2487">
        <f>COUNTIF(data.SampSummary!$C$2:$C$1407,C2487)</f>
        <v>0</v>
      </c>
    </row>
    <row r="2488" spans="1:4" x14ac:dyDescent="0.25">
      <c r="A2488" t="s">
        <v>2812</v>
      </c>
      <c r="B2488" s="5">
        <v>39838</v>
      </c>
      <c r="C2488" t="str">
        <f t="shared" si="38"/>
        <v>LCLCR226.31_39838</v>
      </c>
      <c r="D2488">
        <f>COUNTIF(data.SampSummary!$C$2:$C$1407,C2488)</f>
        <v>0</v>
      </c>
    </row>
    <row r="2489" spans="1:4" x14ac:dyDescent="0.25">
      <c r="A2489" t="s">
        <v>2897</v>
      </c>
      <c r="B2489" s="5">
        <v>41233</v>
      </c>
      <c r="C2489" t="str">
        <f t="shared" si="38"/>
        <v>CLGLR013.33_41233</v>
      </c>
      <c r="D2489">
        <f>COUNTIF(data.SampSummary!$C$2:$C$1407,C2489)</f>
        <v>0</v>
      </c>
    </row>
    <row r="2490" spans="1:4" x14ac:dyDescent="0.25">
      <c r="A2490" t="s">
        <v>2812</v>
      </c>
      <c r="B2490" s="5">
        <v>39727</v>
      </c>
      <c r="C2490" t="str">
        <f t="shared" si="38"/>
        <v>LCLCR226.31_39727</v>
      </c>
      <c r="D2490">
        <f>COUNTIF(data.SampSummary!$C$2:$C$1407,C2490)</f>
        <v>0</v>
      </c>
    </row>
    <row r="2491" spans="1:4" x14ac:dyDescent="0.25">
      <c r="A2491" t="s">
        <v>2812</v>
      </c>
      <c r="B2491" s="5">
        <v>39726</v>
      </c>
      <c r="C2491" t="str">
        <f t="shared" si="38"/>
        <v>LCLCR226.31_39726</v>
      </c>
      <c r="D2491">
        <f>COUNTIF(data.SampSummary!$C$2:$C$1407,C2491)</f>
        <v>0</v>
      </c>
    </row>
    <row r="2492" spans="1:4" x14ac:dyDescent="0.25">
      <c r="A2492" t="s">
        <v>2975</v>
      </c>
      <c r="B2492" s="5">
        <v>39712</v>
      </c>
      <c r="C2492" t="str">
        <f t="shared" si="38"/>
        <v>LCWAN000.56_39712</v>
      </c>
      <c r="D2492">
        <f>COUNTIF(data.SampSummary!$C$2:$C$1407,C2492)</f>
        <v>0</v>
      </c>
    </row>
    <row r="2493" spans="1:4" x14ac:dyDescent="0.25">
      <c r="A2493" t="s">
        <v>211</v>
      </c>
      <c r="B2493" s="5">
        <v>39702</v>
      </c>
      <c r="C2493" t="str">
        <f t="shared" si="38"/>
        <v>MGAFR110.01_39702</v>
      </c>
      <c r="D2493">
        <f>COUNTIF(data.SampSummary!$C$2:$C$1407,C2493)</f>
        <v>0</v>
      </c>
    </row>
    <row r="2494" spans="1:4" x14ac:dyDescent="0.25">
      <c r="A2494" t="s">
        <v>2897</v>
      </c>
      <c r="B2494" s="5">
        <v>41368</v>
      </c>
      <c r="C2494" t="str">
        <f t="shared" si="38"/>
        <v>CLGLR013.33_41368</v>
      </c>
      <c r="D2494">
        <f>COUNTIF(data.SampSummary!$C$2:$C$1407,C2494)</f>
        <v>0</v>
      </c>
    </row>
    <row r="2495" spans="1:4" x14ac:dyDescent="0.25">
      <c r="A2495" t="s">
        <v>2841</v>
      </c>
      <c r="B2495" s="5">
        <v>40064</v>
      </c>
      <c r="C2495" t="str">
        <f t="shared" si="38"/>
        <v>LCLCR206.75_40064</v>
      </c>
      <c r="D2495">
        <f>COUNTIF(data.SampSummary!$C$2:$C$1407,C2495)</f>
        <v>0</v>
      </c>
    </row>
    <row r="2496" spans="1:4" x14ac:dyDescent="0.25">
      <c r="A2496" t="s">
        <v>2936</v>
      </c>
      <c r="B2496" s="5">
        <v>40051</v>
      </c>
      <c r="C2496" t="str">
        <f t="shared" si="38"/>
        <v>LCWAN000.54_40051</v>
      </c>
      <c r="D2496">
        <f>COUNTIF(data.SampSummary!$C$2:$C$1407,C2496)</f>
        <v>0</v>
      </c>
    </row>
    <row r="2497" spans="1:4" x14ac:dyDescent="0.25">
      <c r="A2497" t="s">
        <v>2815</v>
      </c>
      <c r="B2497" s="5">
        <v>40001</v>
      </c>
      <c r="C2497" t="str">
        <f t="shared" si="38"/>
        <v>LCLCR212.96_40001</v>
      </c>
      <c r="D2497">
        <f>COUNTIF(data.SampSummary!$C$2:$C$1407,C2497)</f>
        <v>0</v>
      </c>
    </row>
    <row r="2498" spans="1:4" x14ac:dyDescent="0.25">
      <c r="A2498" t="s">
        <v>2811</v>
      </c>
      <c r="B2498" s="5">
        <v>40001</v>
      </c>
      <c r="C2498" t="str">
        <f t="shared" si="38"/>
        <v>LCLCR216.67_40001</v>
      </c>
      <c r="D2498">
        <f>COUNTIF(data.SampSummary!$C$2:$C$1407,C2498)</f>
        <v>0</v>
      </c>
    </row>
    <row r="2499" spans="1:4" x14ac:dyDescent="0.25">
      <c r="A2499" t="s">
        <v>2841</v>
      </c>
      <c r="B2499" s="5">
        <v>40000</v>
      </c>
      <c r="C2499" t="str">
        <f t="shared" ref="C2499:C2543" si="39">A2499&amp;"_"&amp;B2499</f>
        <v>LCLCR206.75_40000</v>
      </c>
      <c r="D2499">
        <f>COUNTIF(data.SampSummary!$C$2:$C$1407,C2499)</f>
        <v>0</v>
      </c>
    </row>
    <row r="2500" spans="1:4" x14ac:dyDescent="0.25">
      <c r="A2500" t="s">
        <v>2845</v>
      </c>
      <c r="B2500" s="5">
        <v>40724</v>
      </c>
      <c r="C2500" t="str">
        <f t="shared" si="39"/>
        <v>VRAMG003.62_40724</v>
      </c>
      <c r="D2500">
        <f>COUNTIF(data.SampSummary!$C$2:$C$1407,C2500)</f>
        <v>0</v>
      </c>
    </row>
    <row r="2501" spans="1:4" x14ac:dyDescent="0.25">
      <c r="A2501" t="s">
        <v>2836</v>
      </c>
      <c r="B2501" s="5">
        <v>41527</v>
      </c>
      <c r="C2501" t="str">
        <f t="shared" si="39"/>
        <v>CLGLR010.53_41527</v>
      </c>
      <c r="D2501">
        <f>COUNTIF(data.SampSummary!$C$2:$C$1407,C2501)</f>
        <v>0</v>
      </c>
    </row>
    <row r="2502" spans="1:4" x14ac:dyDescent="0.25">
      <c r="A2502" t="s">
        <v>2836</v>
      </c>
      <c r="B2502" s="5">
        <v>41509</v>
      </c>
      <c r="C2502" t="str">
        <f t="shared" si="39"/>
        <v>CLGLR010.53_41509</v>
      </c>
      <c r="D2502">
        <f>COUNTIF(data.SampSummary!$C$2:$C$1407,C2502)</f>
        <v>0</v>
      </c>
    </row>
    <row r="2503" spans="1:4" x14ac:dyDescent="0.25">
      <c r="A2503" t="s">
        <v>2950</v>
      </c>
      <c r="B2503" s="5">
        <v>40429</v>
      </c>
      <c r="C2503" t="str">
        <f t="shared" si="39"/>
        <v>SRCRS001.74_40429</v>
      </c>
      <c r="D2503">
        <f>COUNTIF(data.SampSummary!$C$2:$C$1407,C2503)</f>
        <v>0</v>
      </c>
    </row>
    <row r="2504" spans="1:4" x14ac:dyDescent="0.25">
      <c r="A2504" t="s">
        <v>197</v>
      </c>
      <c r="B2504" s="5">
        <v>40382</v>
      </c>
      <c r="C2504" t="str">
        <f t="shared" si="39"/>
        <v>SRTON053.87_40382</v>
      </c>
      <c r="D2504">
        <f>COUNTIF(data.SampSummary!$C$2:$C$1407,C2504)</f>
        <v>0</v>
      </c>
    </row>
    <row r="2505" spans="1:4" x14ac:dyDescent="0.25">
      <c r="A2505" t="s">
        <v>2953</v>
      </c>
      <c r="B2505" s="5">
        <v>40371</v>
      </c>
      <c r="C2505" t="str">
        <f t="shared" si="39"/>
        <v>SRCRS001.24_40371</v>
      </c>
      <c r="D2505">
        <f>COUNTIF(data.SampSummary!$C$2:$C$1407,C2505)</f>
        <v>0</v>
      </c>
    </row>
    <row r="2506" spans="1:4" x14ac:dyDescent="0.25">
      <c r="A2506" t="s">
        <v>2445</v>
      </c>
      <c r="B2506" s="5">
        <v>40371</v>
      </c>
      <c r="C2506" t="str">
        <f t="shared" si="39"/>
        <v>SRCRS002.25_40371</v>
      </c>
      <c r="D2506">
        <f>COUNTIF(data.SampSummary!$C$2:$C$1407,C2506)</f>
        <v>0</v>
      </c>
    </row>
    <row r="2507" spans="1:4" x14ac:dyDescent="0.25">
      <c r="A2507" t="s">
        <v>2950</v>
      </c>
      <c r="B2507" s="5">
        <v>40371</v>
      </c>
      <c r="C2507" t="str">
        <f t="shared" si="39"/>
        <v>SRCRS001.74_40371</v>
      </c>
      <c r="D2507">
        <f>COUNTIF(data.SampSummary!$C$2:$C$1407,C2507)</f>
        <v>0</v>
      </c>
    </row>
    <row r="2508" spans="1:4" x14ac:dyDescent="0.25">
      <c r="A2508" t="s">
        <v>2897</v>
      </c>
      <c r="B2508" s="5">
        <v>41079</v>
      </c>
      <c r="C2508" t="str">
        <f t="shared" si="39"/>
        <v>CLGLR013.33_41079</v>
      </c>
      <c r="D2508">
        <f>COUNTIF(data.SampSummary!$C$2:$C$1407,C2508)</f>
        <v>0</v>
      </c>
    </row>
    <row r="2509" spans="1:4" x14ac:dyDescent="0.25">
      <c r="A2509" t="s">
        <v>2845</v>
      </c>
      <c r="B2509" s="5">
        <v>40862</v>
      </c>
      <c r="C2509" t="str">
        <f t="shared" si="39"/>
        <v>VRAMG003.62_40862</v>
      </c>
      <c r="D2509">
        <f>COUNTIF(data.SampSummary!$C$2:$C$1407,C2509)</f>
        <v>0</v>
      </c>
    </row>
    <row r="2510" spans="1:4" x14ac:dyDescent="0.25">
      <c r="A2510" t="s">
        <v>2872</v>
      </c>
      <c r="B2510" s="5">
        <v>41416</v>
      </c>
      <c r="C2510" t="str">
        <f t="shared" si="39"/>
        <v>MGSLR003.96_41416</v>
      </c>
      <c r="D2510">
        <f>COUNTIF(data.SampSummary!$C$2:$C$1407,C2510)</f>
        <v>0</v>
      </c>
    </row>
    <row r="2511" spans="1:4" x14ac:dyDescent="0.25">
      <c r="A2511" t="s">
        <v>2897</v>
      </c>
      <c r="B2511" s="5">
        <v>41597</v>
      </c>
      <c r="C2511" t="str">
        <f t="shared" si="39"/>
        <v>CLGLR013.33_41597</v>
      </c>
      <c r="D2511">
        <f>COUNTIF(data.SampSummary!$C$2:$C$1407,C2511)</f>
        <v>0</v>
      </c>
    </row>
    <row r="2512" spans="1:4" x14ac:dyDescent="0.25">
      <c r="A2512" t="s">
        <v>2836</v>
      </c>
      <c r="B2512" s="5">
        <v>41508</v>
      </c>
      <c r="C2512" t="str">
        <f t="shared" si="39"/>
        <v>CLGLR010.53_41508</v>
      </c>
      <c r="D2512">
        <f>COUNTIF(data.SampSummary!$C$2:$C$1407,C2512)</f>
        <v>0</v>
      </c>
    </row>
    <row r="2513" spans="1:4" x14ac:dyDescent="0.25">
      <c r="A2513" t="s">
        <v>2938</v>
      </c>
      <c r="B2513" s="5">
        <v>38537</v>
      </c>
      <c r="C2513" t="str">
        <f t="shared" si="39"/>
        <v>VROAK043.83_38537</v>
      </c>
      <c r="D2513">
        <f>COUNTIF(data.SampSummary!$C$2:$C$1407,C2513)</f>
        <v>0</v>
      </c>
    </row>
    <row r="2514" spans="1:4" x14ac:dyDescent="0.25">
      <c r="A2514" t="s">
        <v>2939</v>
      </c>
      <c r="B2514" s="5">
        <v>38537</v>
      </c>
      <c r="C2514" t="str">
        <f t="shared" si="39"/>
        <v>VROAK043.81_38537</v>
      </c>
      <c r="D2514">
        <f>COUNTIF(data.SampSummary!$C$2:$C$1407,C2514)</f>
        <v>0</v>
      </c>
    </row>
    <row r="2515" spans="1:4" x14ac:dyDescent="0.25">
      <c r="A2515" t="s">
        <v>2940</v>
      </c>
      <c r="B2515" s="5">
        <v>38537</v>
      </c>
      <c r="C2515" t="str">
        <f t="shared" si="39"/>
        <v>VROAK043.79_38537</v>
      </c>
      <c r="D2515">
        <f>COUNTIF(data.SampSummary!$C$2:$C$1407,C2515)</f>
        <v>0</v>
      </c>
    </row>
    <row r="2516" spans="1:4" x14ac:dyDescent="0.25">
      <c r="A2516" t="s">
        <v>2937</v>
      </c>
      <c r="B2516" s="5">
        <v>38537</v>
      </c>
      <c r="C2516" t="str">
        <f t="shared" si="39"/>
        <v>VROAK043.88_38537</v>
      </c>
      <c r="D2516">
        <f>COUNTIF(data.SampSummary!$C$2:$C$1407,C2516)</f>
        <v>0</v>
      </c>
    </row>
    <row r="2517" spans="1:4" x14ac:dyDescent="0.25">
      <c r="A2517" t="s">
        <v>2938</v>
      </c>
      <c r="B2517" s="5">
        <v>38538</v>
      </c>
      <c r="C2517" t="str">
        <f t="shared" si="39"/>
        <v>VROAK043.83_38538</v>
      </c>
      <c r="D2517">
        <f>COUNTIF(data.SampSummary!$C$2:$C$1407,C2517)</f>
        <v>0</v>
      </c>
    </row>
    <row r="2518" spans="1:4" x14ac:dyDescent="0.25">
      <c r="A2518" t="s">
        <v>2939</v>
      </c>
      <c r="B2518" s="5">
        <v>38538</v>
      </c>
      <c r="C2518" t="str">
        <f t="shared" si="39"/>
        <v>VROAK043.81_38538</v>
      </c>
      <c r="D2518">
        <f>COUNTIF(data.SampSummary!$C$2:$C$1407,C2518)</f>
        <v>0</v>
      </c>
    </row>
    <row r="2519" spans="1:4" x14ac:dyDescent="0.25">
      <c r="A2519" t="s">
        <v>2940</v>
      </c>
      <c r="B2519" s="5">
        <v>38538</v>
      </c>
      <c r="C2519" t="str">
        <f t="shared" si="39"/>
        <v>VROAK043.79_38538</v>
      </c>
      <c r="D2519">
        <f>COUNTIF(data.SampSummary!$C$2:$C$1407,C2519)</f>
        <v>0</v>
      </c>
    </row>
    <row r="2520" spans="1:4" x14ac:dyDescent="0.25">
      <c r="A2520" t="s">
        <v>2975</v>
      </c>
      <c r="B2520" s="5">
        <v>39321</v>
      </c>
      <c r="C2520" t="str">
        <f t="shared" si="39"/>
        <v>LCWAN000.56_39321</v>
      </c>
      <c r="D2520">
        <f>COUNTIF(data.SampSummary!$C$2:$C$1407,C2520)</f>
        <v>0</v>
      </c>
    </row>
    <row r="2521" spans="1:4" x14ac:dyDescent="0.25">
      <c r="A2521" t="s">
        <v>182</v>
      </c>
      <c r="B2521" s="5">
        <v>39612</v>
      </c>
      <c r="C2521" t="str">
        <f t="shared" si="39"/>
        <v>VRBON002.71_39612</v>
      </c>
      <c r="D2521">
        <f>COUNTIF(data.SampSummary!$C$2:$C$1407,C2521)</f>
        <v>0</v>
      </c>
    </row>
    <row r="2522" spans="1:4" x14ac:dyDescent="0.25">
      <c r="A2522" t="s">
        <v>2982</v>
      </c>
      <c r="B2522" s="5">
        <v>39624</v>
      </c>
      <c r="C2522" t="str">
        <f t="shared" si="39"/>
        <v>SRUT2000.01_39624</v>
      </c>
      <c r="D2522">
        <f>COUNTIF(data.SampSummary!$C$2:$C$1407,C2522)</f>
        <v>0</v>
      </c>
    </row>
    <row r="2523" spans="1:4" x14ac:dyDescent="0.25">
      <c r="A2523" t="s">
        <v>2982</v>
      </c>
      <c r="B2523" s="5">
        <v>39596</v>
      </c>
      <c r="C2523" t="str">
        <f t="shared" si="39"/>
        <v>SRUT2000.01_39596</v>
      </c>
      <c r="D2523">
        <f>COUNTIF(data.SampSummary!$C$2:$C$1407,C2523)</f>
        <v>0</v>
      </c>
    </row>
    <row r="2524" spans="1:4" x14ac:dyDescent="0.25">
      <c r="A2524" t="s">
        <v>2982</v>
      </c>
      <c r="B2524" s="5">
        <v>39570</v>
      </c>
      <c r="C2524" t="str">
        <f t="shared" si="39"/>
        <v>SRUT2000.01_39570</v>
      </c>
      <c r="D2524">
        <f>COUNTIF(data.SampSummary!$C$2:$C$1407,C2524)</f>
        <v>0</v>
      </c>
    </row>
    <row r="2525" spans="1:4" x14ac:dyDescent="0.25">
      <c r="A2525" t="s">
        <v>2983</v>
      </c>
      <c r="B2525" s="5">
        <v>39387</v>
      </c>
      <c r="C2525" t="str">
        <f t="shared" si="39"/>
        <v>VROAK049.31_39387</v>
      </c>
      <c r="D2525">
        <f>COUNTIF(data.SampSummary!$C$2:$C$1407,C2525)</f>
        <v>0</v>
      </c>
    </row>
    <row r="2526" spans="1:4" x14ac:dyDescent="0.25">
      <c r="A2526" t="s">
        <v>2982</v>
      </c>
      <c r="B2526" s="5">
        <v>39637</v>
      </c>
      <c r="C2526" t="str">
        <f t="shared" si="39"/>
        <v>SRUT2000.01_39637</v>
      </c>
      <c r="D2526">
        <f>COUNTIF(data.SampSummary!$C$2:$C$1407,C2526)</f>
        <v>0</v>
      </c>
    </row>
    <row r="2527" spans="1:4" x14ac:dyDescent="0.25">
      <c r="A2527" t="s">
        <v>2984</v>
      </c>
      <c r="B2527" s="5">
        <v>40051</v>
      </c>
      <c r="C2527" t="str">
        <f t="shared" si="39"/>
        <v>SRTON032.38_40051</v>
      </c>
      <c r="D2527">
        <f>COUNTIF(data.SampSummary!$C$2:$C$1407,C2527)</f>
        <v>0</v>
      </c>
    </row>
    <row r="2528" spans="1:4" x14ac:dyDescent="0.25">
      <c r="A2528" t="s">
        <v>2932</v>
      </c>
      <c r="B2528" s="5">
        <v>42138</v>
      </c>
      <c r="C2528" t="str">
        <f t="shared" si="39"/>
        <v>LCWAN002.60_42138</v>
      </c>
      <c r="D2528">
        <f>COUNTIF(data.SampSummary!$C$2:$C$1407,C2528)</f>
        <v>0</v>
      </c>
    </row>
    <row r="2529" spans="1:4" x14ac:dyDescent="0.25">
      <c r="A2529" t="s">
        <v>2813</v>
      </c>
      <c r="B2529" s="5">
        <v>42248</v>
      </c>
      <c r="C2529" t="str">
        <f t="shared" si="39"/>
        <v>LCWAN002.19_42248</v>
      </c>
      <c r="D2529">
        <f>COUNTIF(data.SampSummary!$C$2:$C$1407,C2529)</f>
        <v>0</v>
      </c>
    </row>
    <row r="2530" spans="1:4" x14ac:dyDescent="0.25">
      <c r="A2530" t="s">
        <v>2933</v>
      </c>
      <c r="B2530" s="5">
        <v>42248</v>
      </c>
      <c r="C2530" t="str">
        <f t="shared" si="39"/>
        <v>LCBIL005.75_42248</v>
      </c>
      <c r="D2530">
        <f>COUNTIF(data.SampSummary!$C$2:$C$1407,C2530)</f>
        <v>0</v>
      </c>
    </row>
    <row r="2531" spans="1:4" x14ac:dyDescent="0.25">
      <c r="A2531" t="s">
        <v>2933</v>
      </c>
      <c r="B2531" s="5">
        <v>42138</v>
      </c>
      <c r="C2531" t="str">
        <f t="shared" si="39"/>
        <v>LCBIL005.75_42138</v>
      </c>
      <c r="D2531">
        <f>COUNTIF(data.SampSummary!$C$2:$C$1407,C2531)</f>
        <v>0</v>
      </c>
    </row>
    <row r="2532" spans="1:4" x14ac:dyDescent="0.25">
      <c r="A2532" t="s">
        <v>2932</v>
      </c>
      <c r="B2532" s="5">
        <v>42248</v>
      </c>
      <c r="C2532" t="str">
        <f t="shared" si="39"/>
        <v>LCWAN002.60_42248</v>
      </c>
      <c r="D2532">
        <f>COUNTIF(data.SampSummary!$C$2:$C$1407,C2532)</f>
        <v>0</v>
      </c>
    </row>
    <row r="2533" spans="1:4" x14ac:dyDescent="0.25">
      <c r="A2533" t="s">
        <v>2861</v>
      </c>
      <c r="B2533" s="5">
        <v>38911</v>
      </c>
      <c r="C2533" t="str">
        <f t="shared" si="39"/>
        <v>SPSPR101.25_38911</v>
      </c>
      <c r="D2533">
        <f>COUNTIF(data.SampSummary!$C$2:$C$1407,C2533)</f>
        <v>0</v>
      </c>
    </row>
    <row r="2534" spans="1:4" x14ac:dyDescent="0.25">
      <c r="A2534" t="s">
        <v>2985</v>
      </c>
      <c r="B2534" s="5">
        <v>41113</v>
      </c>
      <c r="C2534" t="str">
        <f t="shared" si="39"/>
        <v>VRVER101.15_41113</v>
      </c>
      <c r="D2534">
        <f>COUNTIF(data.SampSummary!$C$2:$C$1407,C2534)</f>
        <v>0</v>
      </c>
    </row>
    <row r="2535" spans="1:4" x14ac:dyDescent="0.25">
      <c r="A2535" t="s">
        <v>332</v>
      </c>
      <c r="B2535" s="5">
        <v>40395</v>
      </c>
      <c r="C2535" t="str">
        <f t="shared" si="39"/>
        <v>VROAK013.95_40395</v>
      </c>
      <c r="D2535">
        <f>COUNTIF(data.SampSummary!$C$2:$C$1407,C2535)</f>
        <v>0</v>
      </c>
    </row>
    <row r="2536" spans="1:4" x14ac:dyDescent="0.25">
      <c r="A2536" t="s">
        <v>2812</v>
      </c>
      <c r="B2536" s="5">
        <v>40212</v>
      </c>
      <c r="C2536" t="str">
        <f t="shared" si="39"/>
        <v>LCLCR226.31_40212</v>
      </c>
      <c r="D2536">
        <f>COUNTIF(data.SampSummary!$C$2:$C$1407,C2536)</f>
        <v>0</v>
      </c>
    </row>
    <row r="2537" spans="1:4" x14ac:dyDescent="0.25">
      <c r="A2537" t="s">
        <v>59</v>
      </c>
      <c r="B2537" s="5">
        <v>40395</v>
      </c>
      <c r="C2537" t="str">
        <f t="shared" si="39"/>
        <v>VROAK045.64_40395</v>
      </c>
      <c r="D2537">
        <f>COUNTIF(data.SampSummary!$C$2:$C$1407,C2537)</f>
        <v>0</v>
      </c>
    </row>
    <row r="2538" spans="1:4" x14ac:dyDescent="0.25">
      <c r="A2538" t="s">
        <v>2866</v>
      </c>
      <c r="B2538" s="5">
        <v>40395</v>
      </c>
      <c r="C2538" t="str">
        <f t="shared" si="39"/>
        <v>VRWLK000.99_40395</v>
      </c>
      <c r="D2538">
        <f>COUNTIF(data.SampSummary!$C$2:$C$1407,C2538)</f>
        <v>0</v>
      </c>
    </row>
    <row r="2539" spans="1:4" x14ac:dyDescent="0.25">
      <c r="A2539" t="s">
        <v>318</v>
      </c>
      <c r="B2539" s="5">
        <v>40395</v>
      </c>
      <c r="C2539" t="str">
        <f t="shared" si="39"/>
        <v>VROAK042.78_40395</v>
      </c>
      <c r="D2539">
        <f>COUNTIF(data.SampSummary!$C$2:$C$1407,C2539)</f>
        <v>0</v>
      </c>
    </row>
    <row r="2540" spans="1:4" x14ac:dyDescent="0.25">
      <c r="A2540" t="s">
        <v>315</v>
      </c>
      <c r="B2540" s="5">
        <v>42249</v>
      </c>
      <c r="C2540" t="str">
        <f t="shared" si="39"/>
        <v>BWBRO029.91_42249</v>
      </c>
      <c r="D2540">
        <f>COUNTIF(data.SampSummary!$C$2:$C$1407,C2540)</f>
        <v>0</v>
      </c>
    </row>
    <row r="2541" spans="1:4" x14ac:dyDescent="0.25">
      <c r="A2541" t="s">
        <v>2813</v>
      </c>
      <c r="B2541" s="5">
        <v>39204</v>
      </c>
      <c r="C2541" t="str">
        <f t="shared" si="39"/>
        <v>LCWAN002.19_39204</v>
      </c>
      <c r="D2541">
        <f>COUNTIF(data.SampSummary!$C$2:$C$1407,C2541)</f>
        <v>0</v>
      </c>
    </row>
    <row r="2542" spans="1:4" x14ac:dyDescent="0.25">
      <c r="A2542" t="s">
        <v>2975</v>
      </c>
      <c r="B2542" s="5">
        <v>39288</v>
      </c>
      <c r="C2542" t="str">
        <f t="shared" si="39"/>
        <v>LCWAN000.56_39288</v>
      </c>
      <c r="D2542">
        <f>COUNTIF(data.SampSummary!$C$2:$C$1407,C2542)</f>
        <v>0</v>
      </c>
    </row>
    <row r="2543" spans="1:4" x14ac:dyDescent="0.25">
      <c r="A2543" t="s">
        <v>2975</v>
      </c>
      <c r="B2543" s="5">
        <v>39644</v>
      </c>
      <c r="C2543" t="str">
        <f t="shared" si="39"/>
        <v>LCWAN000.56_39644</v>
      </c>
      <c r="D2543">
        <f>COUNTIF(data.SampSummary!$C$2:$C$1407,C2543)</f>
        <v>0</v>
      </c>
    </row>
  </sheetData>
  <autoFilter ref="A1:D254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8"/>
  <sheetViews>
    <sheetView workbookViewId="0">
      <selection activeCell="E2" sqref="E2:E1318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20.28515625" bestFit="1" customWidth="1"/>
    <col min="4" max="4" width="10" bestFit="1" customWidth="1"/>
    <col min="5" max="5" width="14.85546875" bestFit="1" customWidth="1"/>
  </cols>
  <sheetData>
    <row r="1" spans="1:5" x14ac:dyDescent="0.25">
      <c r="A1" t="s">
        <v>15</v>
      </c>
      <c r="B1" t="s">
        <v>1344</v>
      </c>
      <c r="C1" s="5" t="str">
        <f>A1&amp;"_"&amp;B1</f>
        <v>StationID_CollDate</v>
      </c>
      <c r="D1" t="s">
        <v>1350</v>
      </c>
      <c r="E1" t="s">
        <v>2806</v>
      </c>
    </row>
    <row r="2" spans="1:5" x14ac:dyDescent="0.25">
      <c r="A2" t="s">
        <v>225</v>
      </c>
      <c r="B2" s="5">
        <v>38909</v>
      </c>
      <c r="C2" s="5" t="str">
        <f>A2&amp;"_"&amp;B2</f>
        <v>CGNAN000.20_38909</v>
      </c>
      <c r="D2" t="s">
        <v>1351</v>
      </c>
      <c r="E2">
        <f>COUNTIF(data.SampSummary!$C$2:$C$958,C2)</f>
        <v>1</v>
      </c>
    </row>
    <row r="3" spans="1:5" x14ac:dyDescent="0.25">
      <c r="A3" t="s">
        <v>294</v>
      </c>
      <c r="B3" s="5">
        <v>37047</v>
      </c>
      <c r="C3" s="5" t="str">
        <f t="shared" ref="C3:C66" si="0">A3&amp;"_"&amp;B3</f>
        <v>VRVER164.63_37047</v>
      </c>
      <c r="D3" t="s">
        <v>1352</v>
      </c>
      <c r="E3">
        <f>COUNTIF(data.SampSummary!$C$2:$C$958,C3)</f>
        <v>1</v>
      </c>
    </row>
    <row r="4" spans="1:5" x14ac:dyDescent="0.25">
      <c r="A4" t="s">
        <v>158</v>
      </c>
      <c r="B4" s="5">
        <v>41043</v>
      </c>
      <c r="C4" s="5" t="str">
        <f t="shared" si="0"/>
        <v>SPTUR028.53_41043</v>
      </c>
      <c r="D4" t="s">
        <v>1353</v>
      </c>
      <c r="E4">
        <f>COUNTIF(data.SampSummary!$C$2:$C$958,C4)</f>
        <v>1</v>
      </c>
    </row>
    <row r="5" spans="1:5" x14ac:dyDescent="0.25">
      <c r="A5" t="s">
        <v>262</v>
      </c>
      <c r="B5" s="5">
        <v>38854</v>
      </c>
      <c r="C5" s="5" t="str">
        <f t="shared" si="0"/>
        <v>UGEAG040.33_38854</v>
      </c>
      <c r="D5" t="s">
        <v>1354</v>
      </c>
      <c r="E5">
        <f>COUNTIF(data.SampSummary!$C$2:$C$958,C5)</f>
        <v>1</v>
      </c>
    </row>
    <row r="6" spans="1:5" x14ac:dyDescent="0.25">
      <c r="A6" t="s">
        <v>119</v>
      </c>
      <c r="B6" s="5">
        <v>39225</v>
      </c>
      <c r="C6" s="5" t="str">
        <f t="shared" si="0"/>
        <v>LCRUD003.45_39225</v>
      </c>
      <c r="D6" t="s">
        <v>1355</v>
      </c>
      <c r="E6">
        <f>COUNTIF(data.SampSummary!$C$2:$C$958,C6)</f>
        <v>1</v>
      </c>
    </row>
    <row r="7" spans="1:5" x14ac:dyDescent="0.25">
      <c r="A7" t="s">
        <v>357</v>
      </c>
      <c r="B7" s="5">
        <v>41416</v>
      </c>
      <c r="C7" s="5" t="str">
        <f t="shared" si="0"/>
        <v>UGSFR034.57_41416</v>
      </c>
      <c r="D7" t="s">
        <v>1356</v>
      </c>
      <c r="E7">
        <f>COUNTIF(data.SampSummary!$C$2:$C$958,C7)</f>
        <v>1</v>
      </c>
    </row>
    <row r="8" spans="1:5" x14ac:dyDescent="0.25">
      <c r="A8" t="s">
        <v>112</v>
      </c>
      <c r="B8" s="5">
        <v>41771</v>
      </c>
      <c r="C8" s="5" t="str">
        <f t="shared" si="0"/>
        <v>LCSHL031.05_41771</v>
      </c>
      <c r="D8" t="s">
        <v>1357</v>
      </c>
      <c r="E8">
        <f>COUNTIF(data.SampSummary!$C$2:$C$958,C8)</f>
        <v>1</v>
      </c>
    </row>
    <row r="9" spans="1:5" x14ac:dyDescent="0.25">
      <c r="A9" t="s">
        <v>308</v>
      </c>
      <c r="B9" s="5">
        <v>36628</v>
      </c>
      <c r="C9" s="5" t="str">
        <f t="shared" si="0"/>
        <v>SRTON019.37_36628</v>
      </c>
      <c r="D9" t="s">
        <v>1358</v>
      </c>
      <c r="E9">
        <f>COUNTIF(data.SampSummary!$C$2:$C$958,C9)</f>
        <v>2</v>
      </c>
    </row>
    <row r="10" spans="1:5" x14ac:dyDescent="0.25">
      <c r="A10" t="s">
        <v>69</v>
      </c>
      <c r="B10" s="5">
        <v>39615</v>
      </c>
      <c r="C10" s="5" t="str">
        <f t="shared" si="0"/>
        <v>SRWRK007.97_39615</v>
      </c>
      <c r="D10" t="s">
        <v>1359</v>
      </c>
      <c r="E10">
        <f>COUNTIF(data.SampSummary!$C$2:$C$958,C10)</f>
        <v>1</v>
      </c>
    </row>
    <row r="11" spans="1:5" x14ac:dyDescent="0.25">
      <c r="A11" t="s">
        <v>151</v>
      </c>
      <c r="B11" s="5">
        <v>41745</v>
      </c>
      <c r="C11" s="5" t="str">
        <f t="shared" si="0"/>
        <v>SRHAG013.09_41745</v>
      </c>
      <c r="D11" t="s">
        <v>1360</v>
      </c>
      <c r="E11">
        <f>COUNTIF(data.SampSummary!$C$2:$C$958,C11)</f>
        <v>1</v>
      </c>
    </row>
    <row r="12" spans="1:5" x14ac:dyDescent="0.25">
      <c r="A12" t="s">
        <v>271</v>
      </c>
      <c r="B12" s="5">
        <v>36283</v>
      </c>
      <c r="C12" s="5" t="str">
        <f t="shared" si="0"/>
        <v>VRWCL011.16_36283</v>
      </c>
      <c r="D12" t="s">
        <v>1361</v>
      </c>
      <c r="E12">
        <f>COUNTIF(data.SampSummary!$C$2:$C$958,C12)</f>
        <v>1</v>
      </c>
    </row>
    <row r="13" spans="1:5" x14ac:dyDescent="0.25">
      <c r="A13" t="s">
        <v>186</v>
      </c>
      <c r="B13" s="5">
        <v>37732</v>
      </c>
      <c r="C13" s="5" t="str">
        <f t="shared" si="0"/>
        <v>VREVR034.80_37732</v>
      </c>
      <c r="D13" t="s">
        <v>1362</v>
      </c>
      <c r="E13">
        <f>COUNTIF(data.SampSummary!$C$2:$C$958,C13)</f>
        <v>1</v>
      </c>
    </row>
    <row r="14" spans="1:5" x14ac:dyDescent="0.25">
      <c r="A14" t="s">
        <v>160</v>
      </c>
      <c r="B14" s="5">
        <v>38913</v>
      </c>
      <c r="C14" s="5" t="str">
        <f t="shared" si="0"/>
        <v>CGTAP000.08_38913</v>
      </c>
      <c r="D14" t="s">
        <v>1363</v>
      </c>
      <c r="E14">
        <f>COUNTIF(data.SampSummary!$C$2:$C$958,C14)</f>
        <v>1</v>
      </c>
    </row>
    <row r="15" spans="1:5" x14ac:dyDescent="0.25">
      <c r="A15" t="s">
        <v>204</v>
      </c>
      <c r="B15" s="5">
        <v>36663</v>
      </c>
      <c r="C15" s="5" t="str">
        <f t="shared" si="0"/>
        <v>SPBAS001.64_36663</v>
      </c>
      <c r="D15" t="s">
        <v>1364</v>
      </c>
      <c r="E15">
        <f>COUNTIF(data.SampSummary!$C$2:$C$958,C15)</f>
        <v>1</v>
      </c>
    </row>
    <row r="16" spans="1:5" x14ac:dyDescent="0.25">
      <c r="A16" t="s">
        <v>41</v>
      </c>
      <c r="B16" s="5">
        <v>38519</v>
      </c>
      <c r="C16" s="5" t="str">
        <f t="shared" si="0"/>
        <v>SPRUC007.81_38519</v>
      </c>
      <c r="D16" t="s">
        <v>1365</v>
      </c>
      <c r="E16">
        <f>COUNTIF(data.SampSummary!$C$2:$C$958,C16)</f>
        <v>1</v>
      </c>
    </row>
    <row r="17" spans="1:5" x14ac:dyDescent="0.25">
      <c r="A17" t="s">
        <v>1366</v>
      </c>
      <c r="B17" s="5">
        <v>36642</v>
      </c>
      <c r="C17" s="5" t="str">
        <f t="shared" si="0"/>
        <v>SPSPR102.01_36642</v>
      </c>
      <c r="D17" t="s">
        <v>1367</v>
      </c>
      <c r="E17">
        <f>COUNTIF(data.SampSummary!$C$2:$C$958,C17)</f>
        <v>0</v>
      </c>
    </row>
    <row r="18" spans="1:5" x14ac:dyDescent="0.25">
      <c r="A18" t="s">
        <v>374</v>
      </c>
      <c r="B18" s="5">
        <v>39558</v>
      </c>
      <c r="C18" s="5" t="str">
        <f t="shared" si="0"/>
        <v>SRCOO001.92_39558</v>
      </c>
      <c r="D18" t="s">
        <v>1368</v>
      </c>
      <c r="E18">
        <f>COUNTIF(data.SampSummary!$C$2:$C$958,C18)</f>
        <v>1</v>
      </c>
    </row>
    <row r="19" spans="1:5" x14ac:dyDescent="0.25">
      <c r="A19" t="s">
        <v>107</v>
      </c>
      <c r="B19" s="5">
        <v>39246</v>
      </c>
      <c r="C19" s="5" t="str">
        <f t="shared" si="0"/>
        <v>LCELR007.19_39246</v>
      </c>
      <c r="D19" t="s">
        <v>1369</v>
      </c>
      <c r="E19">
        <f>COUNTIF(data.SampSummary!$C$2:$C$958,C19)</f>
        <v>1</v>
      </c>
    </row>
    <row r="20" spans="1:5" x14ac:dyDescent="0.25">
      <c r="A20" t="s">
        <v>278</v>
      </c>
      <c r="B20" s="5">
        <v>41410</v>
      </c>
      <c r="C20" s="5" t="str">
        <f t="shared" si="0"/>
        <v>BWBSR037.79_41410</v>
      </c>
      <c r="D20" t="s">
        <v>1370</v>
      </c>
      <c r="E20">
        <f>COUNTIF(data.SampSummary!$C$2:$C$958,C20)</f>
        <v>2</v>
      </c>
    </row>
    <row r="21" spans="1:5" x14ac:dyDescent="0.25">
      <c r="A21" t="s">
        <v>308</v>
      </c>
      <c r="B21" s="5">
        <v>38113</v>
      </c>
      <c r="C21" s="5" t="str">
        <f t="shared" si="0"/>
        <v>SRTON019.37_38113</v>
      </c>
      <c r="D21" t="s">
        <v>1371</v>
      </c>
      <c r="E21">
        <f>COUNTIF(data.SampSummary!$C$2:$C$958,C21)</f>
        <v>1</v>
      </c>
    </row>
    <row r="22" spans="1:5" x14ac:dyDescent="0.25">
      <c r="A22" t="s">
        <v>134</v>
      </c>
      <c r="B22" s="5">
        <v>40332</v>
      </c>
      <c r="C22" s="5" t="str">
        <f t="shared" si="0"/>
        <v>LCLCR323.60_40332</v>
      </c>
      <c r="D22" t="s">
        <v>1372</v>
      </c>
      <c r="E22">
        <f>COUNTIF(data.SampSummary!$C$2:$C$958,C22)</f>
        <v>1</v>
      </c>
    </row>
    <row r="23" spans="1:5" x14ac:dyDescent="0.25">
      <c r="A23" t="s">
        <v>73</v>
      </c>
      <c r="B23" s="5">
        <v>39245</v>
      </c>
      <c r="C23" s="5" t="str">
        <f t="shared" si="0"/>
        <v>LCELR000.13_39245</v>
      </c>
      <c r="D23" t="s">
        <v>1373</v>
      </c>
      <c r="E23">
        <f>COUNTIF(data.SampSummary!$C$2:$C$958,C23)</f>
        <v>1</v>
      </c>
    </row>
    <row r="24" spans="1:5" x14ac:dyDescent="0.25">
      <c r="A24" t="s">
        <v>273</v>
      </c>
      <c r="B24" s="5">
        <v>36605</v>
      </c>
      <c r="C24" s="5" t="str">
        <f t="shared" si="0"/>
        <v>MGHSR058.80_36605</v>
      </c>
      <c r="D24" t="s">
        <v>1374</v>
      </c>
      <c r="E24">
        <f>COUNTIF(data.SampSummary!$C$2:$C$958,C24)</f>
        <v>1</v>
      </c>
    </row>
    <row r="25" spans="1:5" x14ac:dyDescent="0.25">
      <c r="A25" t="s">
        <v>1375</v>
      </c>
      <c r="B25" s="5">
        <v>37006</v>
      </c>
      <c r="C25" s="5" t="str">
        <f t="shared" si="0"/>
        <v>SCMAD012.71_37006</v>
      </c>
      <c r="D25" t="s">
        <v>1376</v>
      </c>
      <c r="E25">
        <f>COUNTIF(data.SampSummary!$C$2:$C$958,C25)</f>
        <v>0</v>
      </c>
    </row>
    <row r="26" spans="1:5" x14ac:dyDescent="0.25">
      <c r="A26" t="s">
        <v>290</v>
      </c>
      <c r="B26" s="5">
        <v>36663</v>
      </c>
      <c r="C26" s="5" t="str">
        <f t="shared" si="0"/>
        <v>SPHSC010.67_36663</v>
      </c>
      <c r="D26" t="s">
        <v>1377</v>
      </c>
      <c r="E26">
        <f>COUNTIF(data.SampSummary!$C$2:$C$958,C26)</f>
        <v>1</v>
      </c>
    </row>
    <row r="27" spans="1:5" x14ac:dyDescent="0.25">
      <c r="A27" t="s">
        <v>340</v>
      </c>
      <c r="B27" s="5">
        <v>35544</v>
      </c>
      <c r="C27" s="5" t="str">
        <f t="shared" si="0"/>
        <v>BWSMR029.44_35544</v>
      </c>
      <c r="D27" t="s">
        <v>1378</v>
      </c>
      <c r="E27">
        <f>COUNTIF(data.SampSummary!$C$2:$C$958,C27)</f>
        <v>1</v>
      </c>
    </row>
    <row r="28" spans="1:5" x14ac:dyDescent="0.25">
      <c r="A28" t="s">
        <v>192</v>
      </c>
      <c r="B28" s="5">
        <v>42170</v>
      </c>
      <c r="C28" s="5" t="str">
        <f t="shared" si="0"/>
        <v>SPSPR150.09_42170</v>
      </c>
      <c r="D28" t="s">
        <v>1379</v>
      </c>
      <c r="E28">
        <f>COUNTIF(data.SampSummary!$C$2:$C$958,C28)</f>
        <v>1</v>
      </c>
    </row>
    <row r="29" spans="1:5" x14ac:dyDescent="0.25">
      <c r="A29" t="s">
        <v>324</v>
      </c>
      <c r="B29" s="5">
        <v>39216</v>
      </c>
      <c r="C29" s="5" t="str">
        <f t="shared" si="0"/>
        <v>UGGLR451.46_39216</v>
      </c>
      <c r="D29" t="s">
        <v>1380</v>
      </c>
      <c r="E29">
        <f>COUNTIF(data.SampSummary!$C$2:$C$958,C29)</f>
        <v>1</v>
      </c>
    </row>
    <row r="30" spans="1:5" x14ac:dyDescent="0.25">
      <c r="A30" t="s">
        <v>190</v>
      </c>
      <c r="B30" s="5">
        <v>41052</v>
      </c>
      <c r="C30" s="5" t="str">
        <f t="shared" si="0"/>
        <v>MGAFR087.06_41052</v>
      </c>
      <c r="D30" t="s">
        <v>1381</v>
      </c>
      <c r="E30">
        <f>COUNTIF(data.SampSummary!$C$2:$C$958,C30)</f>
        <v>1</v>
      </c>
    </row>
    <row r="31" spans="1:5" x14ac:dyDescent="0.25">
      <c r="A31" t="s">
        <v>22</v>
      </c>
      <c r="B31" s="5">
        <v>35934</v>
      </c>
      <c r="C31" s="5" t="str">
        <f t="shared" si="0"/>
        <v>SPRMC011.48_35934</v>
      </c>
      <c r="D31" t="s">
        <v>1382</v>
      </c>
      <c r="E31">
        <f>COUNTIF(data.SampSummary!$C$2:$C$958,C31)</f>
        <v>1</v>
      </c>
    </row>
    <row r="32" spans="1:5" x14ac:dyDescent="0.25">
      <c r="A32" t="s">
        <v>98</v>
      </c>
      <c r="B32" s="5">
        <v>40358</v>
      </c>
      <c r="C32" s="5" t="str">
        <f t="shared" si="0"/>
        <v>LCFIS003.86_40358</v>
      </c>
      <c r="D32" t="s">
        <v>1383</v>
      </c>
      <c r="E32">
        <f>COUNTIF(data.SampSummary!$C$2:$C$958,C32)</f>
        <v>1</v>
      </c>
    </row>
    <row r="33" spans="1:5" x14ac:dyDescent="0.25">
      <c r="A33" t="s">
        <v>104</v>
      </c>
      <c r="B33" s="5">
        <v>37782</v>
      </c>
      <c r="C33" s="5" t="str">
        <f t="shared" si="0"/>
        <v>LCWLR000.92_37782</v>
      </c>
      <c r="D33" t="s">
        <v>1384</v>
      </c>
      <c r="E33">
        <f>COUNTIF(data.SampSummary!$C$2:$C$958,C33)</f>
        <v>1</v>
      </c>
    </row>
    <row r="34" spans="1:5" x14ac:dyDescent="0.25">
      <c r="A34" t="s">
        <v>164</v>
      </c>
      <c r="B34" s="5">
        <v>42537</v>
      </c>
      <c r="C34" s="5" t="str">
        <f t="shared" si="0"/>
        <v>SRWRK002.83_42537</v>
      </c>
      <c r="D34" t="s">
        <v>1385</v>
      </c>
      <c r="E34">
        <f>COUNTIF(data.SampSummary!$C$2:$C$958,C34)</f>
        <v>1</v>
      </c>
    </row>
    <row r="35" spans="1:5" x14ac:dyDescent="0.25">
      <c r="A35" t="s">
        <v>328</v>
      </c>
      <c r="B35" s="5">
        <v>41044</v>
      </c>
      <c r="C35" s="5" t="str">
        <f t="shared" si="0"/>
        <v>UGSFR019.04_41044</v>
      </c>
      <c r="D35" t="s">
        <v>1386</v>
      </c>
      <c r="E35">
        <f>COUNTIF(data.SampSummary!$C$2:$C$958,C35)</f>
        <v>1</v>
      </c>
    </row>
    <row r="36" spans="1:5" x14ac:dyDescent="0.25">
      <c r="A36" t="s">
        <v>1387</v>
      </c>
      <c r="B36" s="5">
        <v>39884</v>
      </c>
      <c r="C36" s="5" t="str">
        <f t="shared" si="0"/>
        <v>SRFSH006.38_39884</v>
      </c>
      <c r="D36" t="s">
        <v>1388</v>
      </c>
      <c r="E36">
        <f>COUNTIF(data.SampSummary!$C$2:$C$958,C36)</f>
        <v>0</v>
      </c>
    </row>
    <row r="37" spans="1:5" x14ac:dyDescent="0.25">
      <c r="A37" t="s">
        <v>43</v>
      </c>
      <c r="B37" s="5">
        <v>35564</v>
      </c>
      <c r="C37" s="5" t="str">
        <f t="shared" si="0"/>
        <v>SRCYN045.73_35564</v>
      </c>
      <c r="D37" t="s">
        <v>1389</v>
      </c>
      <c r="E37">
        <f>COUNTIF(data.SampSummary!$C$2:$C$958,C37)</f>
        <v>1</v>
      </c>
    </row>
    <row r="38" spans="1:5" x14ac:dyDescent="0.25">
      <c r="A38" t="s">
        <v>375</v>
      </c>
      <c r="B38" s="5">
        <v>39721</v>
      </c>
      <c r="C38" s="5" t="str">
        <f t="shared" si="0"/>
        <v>SRPNL005.12_39721</v>
      </c>
      <c r="D38" t="s">
        <v>1390</v>
      </c>
      <c r="E38">
        <f>COUNTIF(data.SampSummary!$C$2:$C$958,C38)</f>
        <v>0</v>
      </c>
    </row>
    <row r="39" spans="1:5" x14ac:dyDescent="0.25">
      <c r="A39" t="s">
        <v>183</v>
      </c>
      <c r="B39" s="5">
        <v>39800</v>
      </c>
      <c r="C39" s="5" t="str">
        <f t="shared" si="0"/>
        <v>SPSPR126.35_39800</v>
      </c>
      <c r="D39" t="s">
        <v>1391</v>
      </c>
      <c r="E39">
        <f>COUNTIF(data.SampSummary!$C$2:$C$958,C39)</f>
        <v>0</v>
      </c>
    </row>
    <row r="40" spans="1:5" x14ac:dyDescent="0.25">
      <c r="A40" t="s">
        <v>33</v>
      </c>
      <c r="B40" s="5">
        <v>37047</v>
      </c>
      <c r="C40" s="5" t="str">
        <f t="shared" si="0"/>
        <v>LCMIN018.05_37047</v>
      </c>
      <c r="D40" t="s">
        <v>1392</v>
      </c>
      <c r="E40">
        <f>COUNTIF(data.SampSummary!$C$2:$C$958,C40)</f>
        <v>1</v>
      </c>
    </row>
    <row r="41" spans="1:5" x14ac:dyDescent="0.25">
      <c r="A41" t="s">
        <v>53</v>
      </c>
      <c r="B41" s="5">
        <v>39582</v>
      </c>
      <c r="C41" s="5" t="str">
        <f t="shared" si="0"/>
        <v>SRTON059.43_39582</v>
      </c>
      <c r="D41" t="s">
        <v>1393</v>
      </c>
      <c r="E41">
        <f>COUNTIF(data.SampSummary!$C$2:$C$958,C41)</f>
        <v>1</v>
      </c>
    </row>
    <row r="42" spans="1:5" x14ac:dyDescent="0.25">
      <c r="A42" t="s">
        <v>204</v>
      </c>
      <c r="B42" s="5">
        <v>41366</v>
      </c>
      <c r="C42" s="5" t="str">
        <f t="shared" si="0"/>
        <v>SPBAS001.64_41366</v>
      </c>
      <c r="D42" t="s">
        <v>1394</v>
      </c>
      <c r="E42">
        <f>COUNTIF(data.SampSummary!$C$2:$C$958,C42)</f>
        <v>1</v>
      </c>
    </row>
    <row r="43" spans="1:5" x14ac:dyDescent="0.25">
      <c r="A43" t="s">
        <v>333</v>
      </c>
      <c r="B43" s="5">
        <v>39931</v>
      </c>
      <c r="C43" s="5" t="str">
        <f t="shared" si="0"/>
        <v>UGEAG011.09_39931</v>
      </c>
      <c r="D43" t="s">
        <v>1395</v>
      </c>
      <c r="E43">
        <f>COUNTIF(data.SampSummary!$C$2:$C$958,C43)</f>
        <v>1</v>
      </c>
    </row>
    <row r="44" spans="1:5" x14ac:dyDescent="0.25">
      <c r="A44" t="s">
        <v>149</v>
      </c>
      <c r="B44" s="5">
        <v>42172</v>
      </c>
      <c r="C44" s="5" t="str">
        <f t="shared" si="0"/>
        <v>SPRMC011.11_42172</v>
      </c>
      <c r="D44" t="s">
        <v>1396</v>
      </c>
      <c r="E44">
        <f>COUNTIF(data.SampSummary!$C$2:$C$958,C44)</f>
        <v>1</v>
      </c>
    </row>
    <row r="45" spans="1:5" x14ac:dyDescent="0.25">
      <c r="A45" t="s">
        <v>234</v>
      </c>
      <c r="B45" s="5">
        <v>41367</v>
      </c>
      <c r="C45" s="5" t="str">
        <f t="shared" si="0"/>
        <v>SPSPR014.18_41367</v>
      </c>
      <c r="D45" t="s">
        <v>1397</v>
      </c>
      <c r="E45">
        <f>COUNTIF(data.SampSummary!$C$2:$C$958,C45)</f>
        <v>1</v>
      </c>
    </row>
    <row r="46" spans="1:5" x14ac:dyDescent="0.25">
      <c r="A46" t="s">
        <v>1398</v>
      </c>
      <c r="B46" s="5">
        <v>38914</v>
      </c>
      <c r="C46" s="5" t="str">
        <f t="shared" si="0"/>
        <v>CGNAT000.48_38914</v>
      </c>
      <c r="D46" t="s">
        <v>1399</v>
      </c>
      <c r="E46">
        <f>COUNTIF(data.SampSummary!$C$2:$C$958,C46)</f>
        <v>0</v>
      </c>
    </row>
    <row r="47" spans="1:5" x14ac:dyDescent="0.25">
      <c r="A47" t="s">
        <v>305</v>
      </c>
      <c r="B47" s="5">
        <v>41052</v>
      </c>
      <c r="C47" s="5" t="str">
        <f t="shared" si="0"/>
        <v>MGAFR087.35_41052</v>
      </c>
      <c r="D47" t="s">
        <v>1400</v>
      </c>
      <c r="E47">
        <f>COUNTIF(data.SampSummary!$C$2:$C$958,C47)</f>
        <v>1</v>
      </c>
    </row>
    <row r="48" spans="1:5" x14ac:dyDescent="0.25">
      <c r="A48" t="s">
        <v>289</v>
      </c>
      <c r="B48" s="5">
        <v>36999</v>
      </c>
      <c r="C48" s="5" t="str">
        <f t="shared" si="0"/>
        <v>SPARA013.78_36999</v>
      </c>
      <c r="D48" t="s">
        <v>1401</v>
      </c>
      <c r="E48">
        <f>COUNTIF(data.SampSummary!$C$2:$C$958,C48)</f>
        <v>1</v>
      </c>
    </row>
    <row r="49" spans="1:5" x14ac:dyDescent="0.25">
      <c r="A49" t="s">
        <v>1402</v>
      </c>
      <c r="B49" s="5">
        <v>42474</v>
      </c>
      <c r="C49" s="5" t="str">
        <f t="shared" si="0"/>
        <v>SRSAL008.74_42474</v>
      </c>
      <c r="D49" t="s">
        <v>1403</v>
      </c>
      <c r="E49">
        <f>COUNTIF(data.SampSummary!$C$2:$C$958,C49)</f>
        <v>0</v>
      </c>
    </row>
    <row r="50" spans="1:5" x14ac:dyDescent="0.25">
      <c r="A50" t="s">
        <v>238</v>
      </c>
      <c r="B50" s="5">
        <v>38496</v>
      </c>
      <c r="C50" s="5" t="str">
        <f t="shared" si="0"/>
        <v>UGBLR008.19_38496</v>
      </c>
      <c r="D50" t="s">
        <v>1404</v>
      </c>
      <c r="E50">
        <f>COUNTIF(data.SampSummary!$C$2:$C$958,C50)</f>
        <v>1</v>
      </c>
    </row>
    <row r="51" spans="1:5" x14ac:dyDescent="0.25">
      <c r="A51" t="s">
        <v>262</v>
      </c>
      <c r="B51" s="5">
        <v>41045</v>
      </c>
      <c r="C51" s="5" t="str">
        <f t="shared" si="0"/>
        <v>UGEAG040.33_41045</v>
      </c>
      <c r="D51" t="s">
        <v>1405</v>
      </c>
      <c r="E51">
        <f>COUNTIF(data.SampSummary!$C$2:$C$958,C51)</f>
        <v>1</v>
      </c>
    </row>
    <row r="52" spans="1:5" x14ac:dyDescent="0.25">
      <c r="A52" t="s">
        <v>264</v>
      </c>
      <c r="B52" s="5">
        <v>36276</v>
      </c>
      <c r="C52" s="5" t="str">
        <f t="shared" si="0"/>
        <v>VRVER137.80_36276</v>
      </c>
      <c r="D52" t="s">
        <v>1406</v>
      </c>
      <c r="E52">
        <f>COUNTIF(data.SampSummary!$C$2:$C$958,C52)</f>
        <v>1</v>
      </c>
    </row>
    <row r="53" spans="1:5" x14ac:dyDescent="0.25">
      <c r="A53" t="s">
        <v>1407</v>
      </c>
      <c r="B53" s="5">
        <v>37909</v>
      </c>
      <c r="C53" s="5" t="str">
        <f t="shared" si="0"/>
        <v>SRCRS002.97_37909</v>
      </c>
      <c r="D53" t="s">
        <v>1408</v>
      </c>
      <c r="E53">
        <f>COUNTIF(data.SampSummary!$C$2:$C$958,C53)</f>
        <v>0</v>
      </c>
    </row>
    <row r="54" spans="1:5" x14ac:dyDescent="0.25">
      <c r="A54" t="s">
        <v>161</v>
      </c>
      <c r="B54" s="5">
        <v>36690</v>
      </c>
      <c r="C54" s="5" t="str">
        <f t="shared" si="0"/>
        <v>UGBLR028.99_36690</v>
      </c>
      <c r="D54" t="s">
        <v>1409</v>
      </c>
      <c r="E54">
        <f>COUNTIF(data.SampSummary!$C$2:$C$958,C54)</f>
        <v>1</v>
      </c>
    </row>
    <row r="55" spans="1:5" x14ac:dyDescent="0.25">
      <c r="A55" t="s">
        <v>62</v>
      </c>
      <c r="B55" s="5">
        <v>39251</v>
      </c>
      <c r="C55" s="5" t="str">
        <f t="shared" si="0"/>
        <v>LCBRB006.74_39251</v>
      </c>
      <c r="D55" t="s">
        <v>1410</v>
      </c>
      <c r="E55">
        <f>COUNTIF(data.SampSummary!$C$2:$C$958,C55)</f>
        <v>1</v>
      </c>
    </row>
    <row r="56" spans="1:5" x14ac:dyDescent="0.25">
      <c r="A56" t="s">
        <v>1411</v>
      </c>
      <c r="B56" s="5">
        <v>39562</v>
      </c>
      <c r="C56" s="5" t="str">
        <f t="shared" si="0"/>
        <v>VRBTT005.70_39562</v>
      </c>
      <c r="D56" t="s">
        <v>1412</v>
      </c>
      <c r="E56">
        <f>COUNTIF(data.SampSummary!$C$2:$C$958,C56)</f>
        <v>0</v>
      </c>
    </row>
    <row r="57" spans="1:5" x14ac:dyDescent="0.25">
      <c r="A57" t="s">
        <v>1413</v>
      </c>
      <c r="B57" s="5">
        <v>38461</v>
      </c>
      <c r="C57" s="5" t="str">
        <f t="shared" si="0"/>
        <v>MGQEN037.17_38461</v>
      </c>
      <c r="D57" t="s">
        <v>1414</v>
      </c>
      <c r="E57">
        <f>COUNTIF(data.SampSummary!$C$2:$C$958,C57)</f>
        <v>0</v>
      </c>
    </row>
    <row r="58" spans="1:5" x14ac:dyDescent="0.25">
      <c r="A58" t="s">
        <v>81</v>
      </c>
      <c r="B58" s="5">
        <v>40004</v>
      </c>
      <c r="C58" s="5" t="str">
        <f t="shared" si="0"/>
        <v>SPCRC013.37_40004</v>
      </c>
      <c r="D58" t="s">
        <v>1415</v>
      </c>
      <c r="E58">
        <f>COUNTIF(data.SampSummary!$C$2:$C$958,C58)</f>
        <v>1</v>
      </c>
    </row>
    <row r="59" spans="1:5" x14ac:dyDescent="0.25">
      <c r="A59" t="s">
        <v>189</v>
      </c>
      <c r="B59" s="5">
        <v>35914</v>
      </c>
      <c r="C59" s="5" t="str">
        <f t="shared" si="0"/>
        <v>MGANT013.35_35914</v>
      </c>
      <c r="D59" t="s">
        <v>1416</v>
      </c>
      <c r="E59">
        <f>COUNTIF(data.SampSummary!$C$2:$C$958,C59)</f>
        <v>1</v>
      </c>
    </row>
    <row r="60" spans="1:5" x14ac:dyDescent="0.25">
      <c r="A60" t="s">
        <v>150</v>
      </c>
      <c r="B60" s="5">
        <v>39910</v>
      </c>
      <c r="C60" s="5" t="str">
        <f t="shared" si="0"/>
        <v>MGHSR110.58_39910</v>
      </c>
      <c r="D60" t="s">
        <v>1417</v>
      </c>
      <c r="E60">
        <f>COUNTIF(data.SampSummary!$C$2:$C$958,C60)</f>
        <v>1</v>
      </c>
    </row>
    <row r="61" spans="1:5" x14ac:dyDescent="0.25">
      <c r="A61" t="s">
        <v>87</v>
      </c>
      <c r="B61" s="5">
        <v>37061</v>
      </c>
      <c r="C61" s="5" t="str">
        <f t="shared" si="0"/>
        <v>LCLVL001.32_37061</v>
      </c>
      <c r="D61" t="s">
        <v>1418</v>
      </c>
      <c r="E61">
        <f>COUNTIF(data.SampSummary!$C$2:$C$958,C61)</f>
        <v>1</v>
      </c>
    </row>
    <row r="62" spans="1:5" x14ac:dyDescent="0.25">
      <c r="A62" t="s">
        <v>220</v>
      </c>
      <c r="B62" s="5">
        <v>39721</v>
      </c>
      <c r="C62" s="5" t="str">
        <f t="shared" si="0"/>
        <v>SRWPN004.47_39721</v>
      </c>
      <c r="D62" t="s">
        <v>1419</v>
      </c>
      <c r="E62">
        <f>COUNTIF(data.SampSummary!$C$2:$C$958,C62)</f>
        <v>0</v>
      </c>
    </row>
    <row r="63" spans="1:5" x14ac:dyDescent="0.25">
      <c r="A63" t="s">
        <v>86</v>
      </c>
      <c r="B63" s="5">
        <v>39743</v>
      </c>
      <c r="C63" s="5" t="str">
        <f t="shared" si="0"/>
        <v>SRWFB005.34_39743</v>
      </c>
      <c r="D63" t="s">
        <v>1420</v>
      </c>
      <c r="E63">
        <f>COUNTIF(data.SampSummary!$C$2:$C$958,C63)</f>
        <v>0</v>
      </c>
    </row>
    <row r="64" spans="1:5" x14ac:dyDescent="0.25">
      <c r="A64" t="s">
        <v>139</v>
      </c>
      <c r="B64" s="5">
        <v>37068</v>
      </c>
      <c r="C64" s="5" t="str">
        <f t="shared" si="0"/>
        <v>LCBIL000.01_37068</v>
      </c>
      <c r="D64" t="s">
        <v>1421</v>
      </c>
      <c r="E64">
        <f>COUNTIF(data.SampSummary!$C$2:$C$958,C64)</f>
        <v>1</v>
      </c>
    </row>
    <row r="65" spans="1:5" x14ac:dyDescent="0.25">
      <c r="A65" t="s">
        <v>328</v>
      </c>
      <c r="B65" s="5">
        <v>37026</v>
      </c>
      <c r="C65" s="5" t="str">
        <f t="shared" si="0"/>
        <v>UGSFR019.04_37026</v>
      </c>
      <c r="D65" t="s">
        <v>1422</v>
      </c>
      <c r="E65">
        <f>COUNTIF(data.SampSummary!$C$2:$C$958,C65)</f>
        <v>1</v>
      </c>
    </row>
    <row r="66" spans="1:5" x14ac:dyDescent="0.25">
      <c r="A66" t="s">
        <v>247</v>
      </c>
      <c r="B66" s="5">
        <v>37741</v>
      </c>
      <c r="C66" s="5" t="str">
        <f t="shared" si="0"/>
        <v>BWTRT002.43_37741</v>
      </c>
      <c r="D66" t="s">
        <v>1423</v>
      </c>
      <c r="E66">
        <f>COUNTIF(data.SampSummary!$C$2:$C$958,C66)</f>
        <v>1</v>
      </c>
    </row>
    <row r="67" spans="1:5" x14ac:dyDescent="0.25">
      <c r="A67" t="s">
        <v>140</v>
      </c>
      <c r="B67" s="5">
        <v>36656</v>
      </c>
      <c r="C67" s="5" t="str">
        <f t="shared" ref="C67:C130" si="1">A67&amp;"_"&amp;B67</f>
        <v>UGEAG056.85_36656</v>
      </c>
      <c r="D67" t="s">
        <v>1424</v>
      </c>
      <c r="E67">
        <f>COUNTIF(data.SampSummary!$C$2:$C$958,C67)</f>
        <v>1</v>
      </c>
    </row>
    <row r="68" spans="1:5" x14ac:dyDescent="0.25">
      <c r="A68" t="s">
        <v>1411</v>
      </c>
      <c r="B68" s="5">
        <v>39910</v>
      </c>
      <c r="C68" s="5" t="str">
        <f t="shared" si="1"/>
        <v>VRBTT005.70_39910</v>
      </c>
      <c r="D68" t="s">
        <v>1425</v>
      </c>
      <c r="E68">
        <f>COUNTIF(data.SampSummary!$C$2:$C$958,C68)</f>
        <v>0</v>
      </c>
    </row>
    <row r="69" spans="1:5" x14ac:dyDescent="0.25">
      <c r="A69" t="s">
        <v>243</v>
      </c>
      <c r="B69" s="5">
        <v>36662</v>
      </c>
      <c r="C69" s="5" t="str">
        <f t="shared" si="1"/>
        <v>SPBHC004.66_36662</v>
      </c>
      <c r="D69" t="s">
        <v>1426</v>
      </c>
      <c r="E69">
        <f>COUNTIF(data.SampSummary!$C$2:$C$958,C69)</f>
        <v>1</v>
      </c>
    </row>
    <row r="70" spans="1:5" x14ac:dyDescent="0.25">
      <c r="A70" t="s">
        <v>16</v>
      </c>
      <c r="B70" s="5">
        <v>35947</v>
      </c>
      <c r="C70" s="5" t="str">
        <f t="shared" si="1"/>
        <v>LCWLR001.23_35947</v>
      </c>
      <c r="D70" t="s">
        <v>1427</v>
      </c>
      <c r="E70">
        <f>COUNTIF(data.SampSummary!$C$2:$C$958,C70)</f>
        <v>1</v>
      </c>
    </row>
    <row r="71" spans="1:5" x14ac:dyDescent="0.25">
      <c r="A71" t="s">
        <v>93</v>
      </c>
      <c r="B71" s="5">
        <v>42542</v>
      </c>
      <c r="C71" s="5" t="str">
        <f t="shared" si="1"/>
        <v>SRCDY002.95_42542</v>
      </c>
      <c r="D71" t="s">
        <v>1428</v>
      </c>
      <c r="E71">
        <f>COUNTIF(data.SampSummary!$C$2:$C$958,C71)</f>
        <v>1</v>
      </c>
    </row>
    <row r="72" spans="1:5" x14ac:dyDescent="0.25">
      <c r="A72" t="s">
        <v>247</v>
      </c>
      <c r="B72" s="5">
        <v>37349</v>
      </c>
      <c r="C72" s="5" t="str">
        <f t="shared" si="1"/>
        <v>BWTRT002.43_37349</v>
      </c>
      <c r="D72" t="s">
        <v>1429</v>
      </c>
      <c r="E72">
        <f>COUNTIF(data.SampSummary!$C$2:$C$958,C72)</f>
        <v>1</v>
      </c>
    </row>
    <row r="73" spans="1:5" x14ac:dyDescent="0.25">
      <c r="A73" t="s">
        <v>220</v>
      </c>
      <c r="B73" s="5">
        <v>39553</v>
      </c>
      <c r="C73" s="5" t="str">
        <f t="shared" si="1"/>
        <v>SRWPN004.47_39553</v>
      </c>
      <c r="D73" t="s">
        <v>1430</v>
      </c>
      <c r="E73">
        <f>COUNTIF(data.SampSummary!$C$2:$C$958,C73)</f>
        <v>1</v>
      </c>
    </row>
    <row r="74" spans="1:5" x14ac:dyDescent="0.25">
      <c r="A74" t="s">
        <v>274</v>
      </c>
      <c r="B74" s="5">
        <v>39755</v>
      </c>
      <c r="C74" s="5" t="str">
        <f t="shared" si="1"/>
        <v>VRVER165.07_39755</v>
      </c>
      <c r="D74" t="s">
        <v>1431</v>
      </c>
      <c r="E74">
        <f>COUNTIF(data.SampSummary!$C$2:$C$958,C74)</f>
        <v>0</v>
      </c>
    </row>
    <row r="75" spans="1:5" x14ac:dyDescent="0.25">
      <c r="A75" t="s">
        <v>250</v>
      </c>
      <c r="B75" s="5">
        <v>42507</v>
      </c>
      <c r="C75" s="5" t="str">
        <f t="shared" si="1"/>
        <v>SRDEV000.38_42507</v>
      </c>
      <c r="D75" t="s">
        <v>1432</v>
      </c>
      <c r="E75">
        <f>COUNTIF(data.SampSummary!$C$2:$C$958,C75)</f>
        <v>1</v>
      </c>
    </row>
    <row r="76" spans="1:5" x14ac:dyDescent="0.25">
      <c r="A76" t="s">
        <v>383</v>
      </c>
      <c r="B76" s="5">
        <v>42142</v>
      </c>
      <c r="C76" s="5" t="str">
        <f t="shared" si="1"/>
        <v>UGGLR401.85_42142</v>
      </c>
      <c r="D76" t="s">
        <v>1433</v>
      </c>
      <c r="E76">
        <f>COUNTIF(data.SampSummary!$C$2:$C$958,C76)</f>
        <v>1</v>
      </c>
    </row>
    <row r="77" spans="1:5" x14ac:dyDescent="0.25">
      <c r="A77" t="s">
        <v>56</v>
      </c>
      <c r="B77" s="5">
        <v>37061</v>
      </c>
      <c r="C77" s="5" t="str">
        <f t="shared" si="1"/>
        <v>LCHAL008.83_37061</v>
      </c>
      <c r="D77" t="s">
        <v>1434</v>
      </c>
      <c r="E77">
        <f>COUNTIF(data.SampSummary!$C$2:$C$958,C77)</f>
        <v>1</v>
      </c>
    </row>
    <row r="78" spans="1:5" x14ac:dyDescent="0.25">
      <c r="A78" t="s">
        <v>289</v>
      </c>
      <c r="B78" s="5">
        <v>37391</v>
      </c>
      <c r="C78" s="5" t="str">
        <f t="shared" si="1"/>
        <v>SPARA013.78_37391</v>
      </c>
      <c r="D78" t="s">
        <v>1435</v>
      </c>
      <c r="E78">
        <f>COUNTIF(data.SampSummary!$C$2:$C$958,C78)</f>
        <v>1</v>
      </c>
    </row>
    <row r="79" spans="1:5" x14ac:dyDescent="0.25">
      <c r="A79" t="s">
        <v>74</v>
      </c>
      <c r="B79" s="5">
        <v>41788</v>
      </c>
      <c r="C79" s="5" t="str">
        <f t="shared" si="1"/>
        <v>SRSTI000.38_41788</v>
      </c>
      <c r="D79" t="s">
        <v>1436</v>
      </c>
      <c r="E79">
        <f>COUNTIF(data.SampSummary!$C$2:$C$958,C79)</f>
        <v>1</v>
      </c>
    </row>
    <row r="80" spans="1:5" x14ac:dyDescent="0.25">
      <c r="A80" t="s">
        <v>129</v>
      </c>
      <c r="B80" s="5">
        <v>40322</v>
      </c>
      <c r="C80" s="5" t="str">
        <f t="shared" si="1"/>
        <v>LCECL009.39_40322</v>
      </c>
      <c r="D80" t="s">
        <v>1437</v>
      </c>
      <c r="E80">
        <f>COUNTIF(data.SampSummary!$C$2:$C$958,C80)</f>
        <v>1</v>
      </c>
    </row>
    <row r="81" spans="1:5" x14ac:dyDescent="0.25">
      <c r="A81" t="s">
        <v>359</v>
      </c>
      <c r="B81" s="5">
        <v>35403</v>
      </c>
      <c r="C81" s="5" t="str">
        <f t="shared" si="1"/>
        <v>UGBON014.47_35403</v>
      </c>
      <c r="D81" t="s">
        <v>1438</v>
      </c>
      <c r="E81">
        <f>COUNTIF(data.SampSummary!$C$2:$C$958,C81)</f>
        <v>0</v>
      </c>
    </row>
    <row r="82" spans="1:5" x14ac:dyDescent="0.25">
      <c r="A82" t="s">
        <v>26</v>
      </c>
      <c r="B82" s="5">
        <v>35571</v>
      </c>
      <c r="C82" s="5" t="str">
        <f t="shared" si="1"/>
        <v>VRPIE016.49_35571</v>
      </c>
      <c r="D82" t="s">
        <v>1439</v>
      </c>
      <c r="E82">
        <f>COUNTIF(data.SampSummary!$C$2:$C$958,C82)</f>
        <v>1</v>
      </c>
    </row>
    <row r="83" spans="1:5" x14ac:dyDescent="0.25">
      <c r="A83" t="s">
        <v>1440</v>
      </c>
      <c r="B83" s="5">
        <v>39886</v>
      </c>
      <c r="C83" s="5" t="str">
        <f t="shared" si="1"/>
        <v>SRR2K007.10_39886</v>
      </c>
      <c r="D83" t="s">
        <v>1441</v>
      </c>
      <c r="E83">
        <f>COUNTIF(data.SampSummary!$C$2:$C$958,C83)</f>
        <v>0</v>
      </c>
    </row>
    <row r="84" spans="1:5" x14ac:dyDescent="0.25">
      <c r="A84" t="s">
        <v>242</v>
      </c>
      <c r="B84" s="5">
        <v>38463</v>
      </c>
      <c r="C84" s="5" t="str">
        <f t="shared" si="1"/>
        <v>VROAK031.38_38463</v>
      </c>
      <c r="D84" t="s">
        <v>1442</v>
      </c>
      <c r="E84">
        <f>COUNTIF(data.SampSummary!$C$2:$C$958,C84)</f>
        <v>1</v>
      </c>
    </row>
    <row r="85" spans="1:5" x14ac:dyDescent="0.25">
      <c r="A85" t="s">
        <v>98</v>
      </c>
      <c r="B85" s="5">
        <v>37060</v>
      </c>
      <c r="C85" s="5" t="str">
        <f t="shared" si="1"/>
        <v>LCFIS003.86_37060</v>
      </c>
      <c r="D85" t="s">
        <v>1443</v>
      </c>
      <c r="E85">
        <f>COUNTIF(data.SampSummary!$C$2:$C$958,C85)</f>
        <v>1</v>
      </c>
    </row>
    <row r="86" spans="1:5" x14ac:dyDescent="0.25">
      <c r="A86" t="s">
        <v>128</v>
      </c>
      <c r="B86" s="5">
        <v>38512</v>
      </c>
      <c r="C86" s="5" t="str">
        <f t="shared" si="1"/>
        <v>LCLCR340.02_38512</v>
      </c>
      <c r="D86" t="s">
        <v>1444</v>
      </c>
      <c r="E86">
        <f>COUNTIF(data.SampSummary!$C$2:$C$958,C86)</f>
        <v>1</v>
      </c>
    </row>
    <row r="87" spans="1:5" x14ac:dyDescent="0.25">
      <c r="A87" t="s">
        <v>307</v>
      </c>
      <c r="B87" s="5">
        <v>36285</v>
      </c>
      <c r="C87" s="5" t="str">
        <f t="shared" si="1"/>
        <v>VRWBV009.31_36285</v>
      </c>
      <c r="D87" t="s">
        <v>1445</v>
      </c>
      <c r="E87">
        <f>COUNTIF(data.SampSummary!$C$2:$C$958,C87)</f>
        <v>1</v>
      </c>
    </row>
    <row r="88" spans="1:5" x14ac:dyDescent="0.25">
      <c r="A88" t="s">
        <v>213</v>
      </c>
      <c r="B88" s="5">
        <v>41396</v>
      </c>
      <c r="C88" s="5" t="str">
        <f t="shared" si="1"/>
        <v>VRPIE008.19_41396</v>
      </c>
      <c r="D88" t="s">
        <v>1446</v>
      </c>
      <c r="E88">
        <f>COUNTIF(data.SampSummary!$C$2:$C$958,C88)</f>
        <v>1</v>
      </c>
    </row>
    <row r="89" spans="1:5" x14ac:dyDescent="0.25">
      <c r="A89" t="s">
        <v>50</v>
      </c>
      <c r="B89" s="5">
        <v>42543</v>
      </c>
      <c r="C89" s="5" t="str">
        <f t="shared" si="1"/>
        <v>SRDCN001.90_42543</v>
      </c>
      <c r="D89" t="s">
        <v>1447</v>
      </c>
      <c r="E89">
        <f>COUNTIF(data.SampSummary!$C$2:$C$958,C89)</f>
        <v>1</v>
      </c>
    </row>
    <row r="90" spans="1:5" x14ac:dyDescent="0.25">
      <c r="A90" t="s">
        <v>297</v>
      </c>
      <c r="B90" s="5">
        <v>36643</v>
      </c>
      <c r="C90" s="5" t="str">
        <f t="shared" si="1"/>
        <v>SPSPR059.21_36643</v>
      </c>
      <c r="D90" t="s">
        <v>1448</v>
      </c>
      <c r="E90">
        <f>COUNTIF(data.SampSummary!$C$2:$C$958,C90)</f>
        <v>1</v>
      </c>
    </row>
    <row r="91" spans="1:5" x14ac:dyDescent="0.25">
      <c r="A91" t="s">
        <v>103</v>
      </c>
      <c r="B91" s="5">
        <v>39254</v>
      </c>
      <c r="C91" s="5" t="str">
        <f t="shared" si="1"/>
        <v>LCSLR003.72_39254</v>
      </c>
      <c r="D91" t="s">
        <v>1449</v>
      </c>
      <c r="E91">
        <f>COUNTIF(data.SampSummary!$C$2:$C$958,C91)</f>
        <v>1</v>
      </c>
    </row>
    <row r="92" spans="1:5" x14ac:dyDescent="0.25">
      <c r="A92" t="s">
        <v>333</v>
      </c>
      <c r="B92" s="5">
        <v>41429</v>
      </c>
      <c r="C92" s="5" t="str">
        <f t="shared" si="1"/>
        <v>UGEAG011.09_41429</v>
      </c>
      <c r="D92" t="s">
        <v>1450</v>
      </c>
      <c r="E92">
        <f>COUNTIF(data.SampSummary!$C$2:$C$958,C92)</f>
        <v>1</v>
      </c>
    </row>
    <row r="93" spans="1:5" x14ac:dyDescent="0.25">
      <c r="A93" t="s">
        <v>289</v>
      </c>
      <c r="B93" s="5">
        <v>41001</v>
      </c>
      <c r="C93" s="5" t="str">
        <f t="shared" si="1"/>
        <v>SPARA013.78_41001</v>
      </c>
      <c r="D93" t="s">
        <v>1451</v>
      </c>
      <c r="E93">
        <f>COUNTIF(data.SampSummary!$C$2:$C$958,C93)</f>
        <v>1</v>
      </c>
    </row>
    <row r="94" spans="1:5" x14ac:dyDescent="0.25">
      <c r="A94" t="s">
        <v>124</v>
      </c>
      <c r="B94" s="5">
        <v>40672</v>
      </c>
      <c r="C94" s="5" t="str">
        <f t="shared" si="1"/>
        <v>LCSIL043.84_40672</v>
      </c>
      <c r="D94" t="s">
        <v>1452</v>
      </c>
      <c r="E94">
        <f>COUNTIF(data.SampSummary!$C$2:$C$958,C94)</f>
        <v>1</v>
      </c>
    </row>
    <row r="95" spans="1:5" x14ac:dyDescent="0.25">
      <c r="A95" t="s">
        <v>45</v>
      </c>
      <c r="B95" s="5">
        <v>42550</v>
      </c>
      <c r="C95" s="5" t="str">
        <f t="shared" si="1"/>
        <v>SRREY001.14_42550</v>
      </c>
      <c r="D95" t="s">
        <v>1453</v>
      </c>
      <c r="E95">
        <f>COUNTIF(data.SampSummary!$C$2:$C$958,C95)</f>
        <v>0</v>
      </c>
    </row>
    <row r="96" spans="1:5" x14ac:dyDescent="0.25">
      <c r="A96" t="s">
        <v>1454</v>
      </c>
      <c r="B96" s="5">
        <v>38481</v>
      </c>
      <c r="C96" s="5" t="str">
        <f t="shared" si="1"/>
        <v>CGMAT000.03_38481</v>
      </c>
      <c r="D96" t="s">
        <v>1455</v>
      </c>
      <c r="E96">
        <f>COUNTIF(data.SampSummary!$C$2:$C$958,C96)</f>
        <v>0</v>
      </c>
    </row>
    <row r="97" spans="1:5" x14ac:dyDescent="0.25">
      <c r="A97" t="s">
        <v>149</v>
      </c>
      <c r="B97" s="5">
        <v>39931</v>
      </c>
      <c r="C97" s="5" t="str">
        <f t="shared" si="1"/>
        <v>SPRMC011.11_39931</v>
      </c>
      <c r="D97" t="s">
        <v>1456</v>
      </c>
      <c r="E97">
        <f>COUNTIF(data.SampSummary!$C$2:$C$958,C97)</f>
        <v>1</v>
      </c>
    </row>
    <row r="98" spans="1:5" x14ac:dyDescent="0.25">
      <c r="A98" t="s">
        <v>103</v>
      </c>
      <c r="B98" s="5">
        <v>40359</v>
      </c>
      <c r="C98" s="5" t="str">
        <f t="shared" si="1"/>
        <v>LCSLR003.72_40359</v>
      </c>
      <c r="D98" t="s">
        <v>1457</v>
      </c>
      <c r="E98">
        <f>COUNTIF(data.SampSummary!$C$2:$C$958,C98)</f>
        <v>1</v>
      </c>
    </row>
    <row r="99" spans="1:5" x14ac:dyDescent="0.25">
      <c r="A99" t="s">
        <v>1458</v>
      </c>
      <c r="B99" s="5">
        <v>39883</v>
      </c>
      <c r="C99" s="5" t="str">
        <f t="shared" si="1"/>
        <v>SRCOT005.74_39883</v>
      </c>
      <c r="D99" t="s">
        <v>1459</v>
      </c>
      <c r="E99">
        <f>COUNTIF(data.SampSummary!$C$2:$C$958,C99)</f>
        <v>0</v>
      </c>
    </row>
    <row r="100" spans="1:5" x14ac:dyDescent="0.25">
      <c r="A100" t="s">
        <v>1460</v>
      </c>
      <c r="B100" s="5">
        <v>35696</v>
      </c>
      <c r="C100" s="5" t="str">
        <f t="shared" si="1"/>
        <v>VRWCL009.24_35696</v>
      </c>
      <c r="D100" t="s">
        <v>1461</v>
      </c>
      <c r="E100">
        <f>COUNTIF(data.SampSummary!$C$2:$C$958,C100)</f>
        <v>0</v>
      </c>
    </row>
    <row r="101" spans="1:5" x14ac:dyDescent="0.25">
      <c r="A101" t="s">
        <v>308</v>
      </c>
      <c r="B101" s="5">
        <v>37385</v>
      </c>
      <c r="C101" s="5" t="str">
        <f t="shared" si="1"/>
        <v>SRTON019.37_37385</v>
      </c>
      <c r="D101" t="s">
        <v>1462</v>
      </c>
      <c r="E101">
        <f>COUNTIF(data.SampSummary!$C$2:$C$958,C101)</f>
        <v>1</v>
      </c>
    </row>
    <row r="102" spans="1:5" x14ac:dyDescent="0.25">
      <c r="A102" t="s">
        <v>281</v>
      </c>
      <c r="B102" s="5">
        <v>38912</v>
      </c>
      <c r="C102" s="5" t="str">
        <f t="shared" si="1"/>
        <v>CGCRY000.05_38912</v>
      </c>
      <c r="D102" t="s">
        <v>1463</v>
      </c>
      <c r="E102">
        <f>COUNTIF(data.SampSummary!$C$2:$C$958,C102)</f>
        <v>0</v>
      </c>
    </row>
    <row r="103" spans="1:5" x14ac:dyDescent="0.25">
      <c r="A103" t="s">
        <v>222</v>
      </c>
      <c r="B103" s="5">
        <v>40686</v>
      </c>
      <c r="C103" s="5" t="str">
        <f t="shared" si="1"/>
        <v>SRCHE013.65_40686</v>
      </c>
      <c r="D103" t="s">
        <v>1464</v>
      </c>
      <c r="E103">
        <f>COUNTIF(data.SampSummary!$C$2:$C$958,C103)</f>
        <v>1</v>
      </c>
    </row>
    <row r="104" spans="1:5" x14ac:dyDescent="0.25">
      <c r="A104" t="s">
        <v>163</v>
      </c>
      <c r="B104" s="5">
        <v>42492</v>
      </c>
      <c r="C104" s="5" t="str">
        <f t="shared" si="1"/>
        <v>LCECL021.13_42492</v>
      </c>
      <c r="D104" t="s">
        <v>1465</v>
      </c>
      <c r="E104">
        <f>COUNTIF(data.SampSummary!$C$2:$C$958,C104)</f>
        <v>1</v>
      </c>
    </row>
    <row r="105" spans="1:5" x14ac:dyDescent="0.25">
      <c r="A105" t="s">
        <v>54</v>
      </c>
      <c r="B105" s="5">
        <v>42158</v>
      </c>
      <c r="C105" s="5" t="str">
        <f t="shared" si="1"/>
        <v>UGCOL003.48_42158</v>
      </c>
      <c r="D105" t="s">
        <v>1466</v>
      </c>
      <c r="E105">
        <f>COUNTIF(data.SampSummary!$C$2:$C$958,C105)</f>
        <v>1</v>
      </c>
    </row>
    <row r="106" spans="1:5" x14ac:dyDescent="0.25">
      <c r="A106" t="s">
        <v>49</v>
      </c>
      <c r="B106" s="5">
        <v>39638</v>
      </c>
      <c r="C106" s="5" t="str">
        <f t="shared" si="1"/>
        <v>VRWCL036.37_39638</v>
      </c>
      <c r="D106" t="s">
        <v>1467</v>
      </c>
      <c r="E106">
        <f>COUNTIF(data.SampSummary!$C$2:$C$958,C106)</f>
        <v>1</v>
      </c>
    </row>
    <row r="107" spans="1:5" x14ac:dyDescent="0.25">
      <c r="A107" t="s">
        <v>176</v>
      </c>
      <c r="B107" s="5">
        <v>40031</v>
      </c>
      <c r="C107" s="5" t="str">
        <f t="shared" si="1"/>
        <v>UGBLR036.37_40031</v>
      </c>
      <c r="D107" t="s">
        <v>1468</v>
      </c>
      <c r="E107">
        <f>COUNTIF(data.SampSummary!$C$2:$C$958,C107)</f>
        <v>2</v>
      </c>
    </row>
    <row r="108" spans="1:5" x14ac:dyDescent="0.25">
      <c r="A108" t="s">
        <v>178</v>
      </c>
      <c r="B108" s="5">
        <v>40673</v>
      </c>
      <c r="C108" s="5" t="str">
        <f t="shared" si="1"/>
        <v>SRCYN048.21_40673</v>
      </c>
      <c r="D108" t="s">
        <v>1469</v>
      </c>
      <c r="E108">
        <f>COUNTIF(data.SampSummary!$C$2:$C$958,C108)</f>
        <v>1</v>
      </c>
    </row>
    <row r="109" spans="1:5" x14ac:dyDescent="0.25">
      <c r="A109" t="s">
        <v>234</v>
      </c>
      <c r="B109" s="5">
        <v>41744</v>
      </c>
      <c r="C109" s="5" t="str">
        <f t="shared" si="1"/>
        <v>SPSPR014.18_41744</v>
      </c>
      <c r="D109" t="s">
        <v>1470</v>
      </c>
      <c r="E109">
        <f>COUNTIF(data.SampSummary!$C$2:$C$958,C109)</f>
        <v>1</v>
      </c>
    </row>
    <row r="110" spans="1:5" x14ac:dyDescent="0.25">
      <c r="A110" t="s">
        <v>71</v>
      </c>
      <c r="B110" s="5">
        <v>38112</v>
      </c>
      <c r="C110" s="5" t="str">
        <f t="shared" si="1"/>
        <v>SRTON056.39_38112</v>
      </c>
      <c r="D110" t="s">
        <v>1471</v>
      </c>
      <c r="E110">
        <f>COUNTIF(data.SampSummary!$C$2:$C$958,C110)</f>
        <v>1</v>
      </c>
    </row>
    <row r="111" spans="1:5" x14ac:dyDescent="0.25">
      <c r="A111" t="s">
        <v>289</v>
      </c>
      <c r="B111" s="5">
        <v>35556</v>
      </c>
      <c r="C111" s="5" t="str">
        <f t="shared" si="1"/>
        <v>SPARA013.78_35556</v>
      </c>
      <c r="D111" t="s">
        <v>1472</v>
      </c>
      <c r="E111">
        <f>COUNTIF(data.SampSummary!$C$2:$C$958,C111)</f>
        <v>1</v>
      </c>
    </row>
    <row r="112" spans="1:5" x14ac:dyDescent="0.25">
      <c r="A112" t="s">
        <v>59</v>
      </c>
      <c r="B112" s="5">
        <v>40680</v>
      </c>
      <c r="C112" s="5" t="str">
        <f t="shared" si="1"/>
        <v>VROAK045.64_40680</v>
      </c>
      <c r="D112" t="s">
        <v>1473</v>
      </c>
      <c r="E112">
        <f>COUNTIF(data.SampSummary!$C$2:$C$958,C112)</f>
        <v>1</v>
      </c>
    </row>
    <row r="113" spans="1:5" x14ac:dyDescent="0.25">
      <c r="A113" t="s">
        <v>63</v>
      </c>
      <c r="B113" s="5">
        <v>39260</v>
      </c>
      <c r="C113" s="5" t="str">
        <f t="shared" si="1"/>
        <v>LCRUD007.23_39260</v>
      </c>
      <c r="D113" t="s">
        <v>1474</v>
      </c>
      <c r="E113">
        <f>COUNTIF(data.SampSummary!$C$2:$C$958,C113)</f>
        <v>1</v>
      </c>
    </row>
    <row r="114" spans="1:5" x14ac:dyDescent="0.25">
      <c r="A114" t="s">
        <v>35</v>
      </c>
      <c r="B114" s="5">
        <v>36704</v>
      </c>
      <c r="C114" s="5" t="str">
        <f t="shared" si="1"/>
        <v>UGCMB004.23_36704</v>
      </c>
      <c r="D114" t="s">
        <v>1475</v>
      </c>
      <c r="E114">
        <f>COUNTIF(data.SampSummary!$C$2:$C$958,C114)</f>
        <v>1</v>
      </c>
    </row>
    <row r="115" spans="1:5" x14ac:dyDescent="0.25">
      <c r="A115" t="s">
        <v>1476</v>
      </c>
      <c r="B115" s="5">
        <v>35683</v>
      </c>
      <c r="C115" s="5" t="str">
        <f t="shared" si="1"/>
        <v>VRWCL001.16_35683</v>
      </c>
      <c r="D115" t="s">
        <v>1477</v>
      </c>
      <c r="E115">
        <f>COUNTIF(data.SampSummary!$C$2:$C$958,C115)</f>
        <v>0</v>
      </c>
    </row>
    <row r="116" spans="1:5" x14ac:dyDescent="0.25">
      <c r="A116" t="s">
        <v>238</v>
      </c>
      <c r="B116" s="5">
        <v>39980</v>
      </c>
      <c r="C116" s="5" t="str">
        <f t="shared" si="1"/>
        <v>UGBLR008.19_39980</v>
      </c>
      <c r="D116" t="s">
        <v>1478</v>
      </c>
      <c r="E116">
        <f>COUNTIF(data.SampSummary!$C$2:$C$958,C116)</f>
        <v>1</v>
      </c>
    </row>
    <row r="117" spans="1:5" x14ac:dyDescent="0.25">
      <c r="A117" t="s">
        <v>204</v>
      </c>
      <c r="B117" s="5">
        <v>41003</v>
      </c>
      <c r="C117" s="5" t="str">
        <f t="shared" si="1"/>
        <v>SPBAS001.64_41003</v>
      </c>
      <c r="D117" t="s">
        <v>1479</v>
      </c>
      <c r="E117">
        <f>COUNTIF(data.SampSummary!$C$2:$C$958,C117)</f>
        <v>1</v>
      </c>
    </row>
    <row r="118" spans="1:5" x14ac:dyDescent="0.25">
      <c r="A118" t="s">
        <v>1480</v>
      </c>
      <c r="B118" s="5">
        <v>37910</v>
      </c>
      <c r="C118" s="5" t="str">
        <f t="shared" si="1"/>
        <v>SRTON058.93_37910</v>
      </c>
      <c r="D118" t="s">
        <v>1481</v>
      </c>
      <c r="E118">
        <f>COUNTIF(data.SampSummary!$C$2:$C$958,C118)</f>
        <v>0</v>
      </c>
    </row>
    <row r="119" spans="1:5" x14ac:dyDescent="0.25">
      <c r="A119" t="s">
        <v>18</v>
      </c>
      <c r="B119" s="5">
        <v>39798</v>
      </c>
      <c r="C119" s="5" t="str">
        <f t="shared" si="1"/>
        <v>SPGRA007.71_39798</v>
      </c>
      <c r="D119" t="s">
        <v>1482</v>
      </c>
      <c r="E119">
        <f>COUNTIF(data.SampSummary!$C$2:$C$958,C119)</f>
        <v>0</v>
      </c>
    </row>
    <row r="120" spans="1:5" x14ac:dyDescent="0.25">
      <c r="A120" t="s">
        <v>147</v>
      </c>
      <c r="B120" s="5">
        <v>41778</v>
      </c>
      <c r="C120" s="5" t="str">
        <f t="shared" si="1"/>
        <v>SRUNF002.31_41778</v>
      </c>
      <c r="D120" t="s">
        <v>1483</v>
      </c>
      <c r="E120">
        <f>COUNTIF(data.SampSummary!$C$2:$C$958,C120)</f>
        <v>1</v>
      </c>
    </row>
    <row r="121" spans="1:5" x14ac:dyDescent="0.25">
      <c r="A121" t="s">
        <v>49</v>
      </c>
      <c r="B121" s="5">
        <v>35572</v>
      </c>
      <c r="C121" s="5" t="str">
        <f t="shared" si="1"/>
        <v>VRWCL036.37_35572</v>
      </c>
      <c r="D121" t="s">
        <v>1484</v>
      </c>
      <c r="E121">
        <f>COUNTIF(data.SampSummary!$C$2:$C$958,C121)</f>
        <v>1</v>
      </c>
    </row>
    <row r="122" spans="1:5" x14ac:dyDescent="0.25">
      <c r="A122" t="s">
        <v>215</v>
      </c>
      <c r="B122" s="5">
        <v>41428</v>
      </c>
      <c r="C122" s="5" t="str">
        <f t="shared" si="1"/>
        <v>UGBON002.00_41428</v>
      </c>
      <c r="D122" t="s">
        <v>1485</v>
      </c>
      <c r="E122">
        <f>COUNTIF(data.SampSummary!$C$2:$C$958,C122)</f>
        <v>1</v>
      </c>
    </row>
    <row r="123" spans="1:5" x14ac:dyDescent="0.25">
      <c r="A123" t="s">
        <v>344</v>
      </c>
      <c r="B123" s="5">
        <v>39932</v>
      </c>
      <c r="C123" s="5" t="str">
        <f t="shared" si="1"/>
        <v>UGSFR006.08_39932</v>
      </c>
      <c r="D123" t="s">
        <v>1486</v>
      </c>
      <c r="E123">
        <f>COUNTIF(data.SampSummary!$C$2:$C$958,C123)</f>
        <v>1</v>
      </c>
    </row>
    <row r="124" spans="1:5" x14ac:dyDescent="0.25">
      <c r="A124" t="s">
        <v>52</v>
      </c>
      <c r="B124" s="5">
        <v>37014</v>
      </c>
      <c r="C124" s="5" t="str">
        <f t="shared" si="1"/>
        <v>UGCAV016.84_37014</v>
      </c>
      <c r="D124" t="s">
        <v>1487</v>
      </c>
      <c r="E124">
        <f>COUNTIF(data.SampSummary!$C$2:$C$958,C124)</f>
        <v>1</v>
      </c>
    </row>
    <row r="125" spans="1:5" x14ac:dyDescent="0.25">
      <c r="A125" t="s">
        <v>308</v>
      </c>
      <c r="B125" s="5">
        <v>37749</v>
      </c>
      <c r="C125" s="5" t="str">
        <f t="shared" si="1"/>
        <v>SRTON019.37_37749</v>
      </c>
      <c r="D125" t="s">
        <v>1488</v>
      </c>
      <c r="E125">
        <f>COUNTIF(data.SampSummary!$C$2:$C$958,C125)</f>
        <v>1</v>
      </c>
    </row>
    <row r="126" spans="1:5" x14ac:dyDescent="0.25">
      <c r="A126" t="s">
        <v>43</v>
      </c>
      <c r="B126" s="5">
        <v>39581</v>
      </c>
      <c r="C126" s="5" t="str">
        <f t="shared" si="1"/>
        <v>SRCYN045.73_39581</v>
      </c>
      <c r="D126" t="s">
        <v>1489</v>
      </c>
      <c r="E126">
        <f>COUNTIF(data.SampSummary!$C$2:$C$958,C126)</f>
        <v>1</v>
      </c>
    </row>
    <row r="127" spans="1:5" x14ac:dyDescent="0.25">
      <c r="A127" t="s">
        <v>338</v>
      </c>
      <c r="B127" s="5">
        <v>35605</v>
      </c>
      <c r="C127" s="5" t="str">
        <f t="shared" si="1"/>
        <v>VRSPN000.78_35605</v>
      </c>
      <c r="D127" t="s">
        <v>1490</v>
      </c>
      <c r="E127">
        <f>COUNTIF(data.SampSummary!$C$2:$C$958,C127)</f>
        <v>1</v>
      </c>
    </row>
    <row r="128" spans="1:5" x14ac:dyDescent="0.25">
      <c r="A128" t="s">
        <v>376</v>
      </c>
      <c r="B128" s="5">
        <v>38475</v>
      </c>
      <c r="C128" s="5" t="str">
        <f t="shared" si="1"/>
        <v>CGCLE000.19_38475</v>
      </c>
      <c r="D128" t="s">
        <v>1491</v>
      </c>
      <c r="E128">
        <f>COUNTIF(data.SampSummary!$C$2:$C$958,C128)</f>
        <v>1</v>
      </c>
    </row>
    <row r="129" spans="1:5" x14ac:dyDescent="0.25">
      <c r="A129" t="s">
        <v>1492</v>
      </c>
      <c r="B129" s="5">
        <v>38112</v>
      </c>
      <c r="C129" s="5" t="str">
        <f t="shared" si="1"/>
        <v>MGFRG008.09_38112</v>
      </c>
      <c r="D129" t="s">
        <v>1493</v>
      </c>
      <c r="E129">
        <f>COUNTIF(data.SampSummary!$C$2:$C$958,C129)</f>
        <v>0</v>
      </c>
    </row>
    <row r="130" spans="1:5" x14ac:dyDescent="0.25">
      <c r="A130" t="s">
        <v>122</v>
      </c>
      <c r="B130" s="5">
        <v>37062</v>
      </c>
      <c r="C130" s="5" t="str">
        <f t="shared" si="1"/>
        <v>LCBRO018.13_37062</v>
      </c>
      <c r="D130" t="s">
        <v>1494</v>
      </c>
      <c r="E130">
        <f>COUNTIF(data.SampSummary!$C$2:$C$958,C130)</f>
        <v>1</v>
      </c>
    </row>
    <row r="131" spans="1:5" x14ac:dyDescent="0.25">
      <c r="A131" t="s">
        <v>1495</v>
      </c>
      <c r="B131" s="5">
        <v>35718</v>
      </c>
      <c r="C131" s="5" t="str">
        <f t="shared" ref="C131:C194" si="2">A131&amp;"_"&amp;B131</f>
        <v>CGHRM000.27_35718</v>
      </c>
      <c r="D131" t="s">
        <v>1496</v>
      </c>
      <c r="E131">
        <f>COUNTIF(data.SampSummary!$C$2:$C$958,C131)</f>
        <v>0</v>
      </c>
    </row>
    <row r="132" spans="1:5" x14ac:dyDescent="0.25">
      <c r="A132" t="s">
        <v>253</v>
      </c>
      <c r="B132" s="5">
        <v>38905</v>
      </c>
      <c r="C132" s="5" t="str">
        <f t="shared" si="2"/>
        <v>VRWBV006.54_38905</v>
      </c>
      <c r="D132" t="s">
        <v>1497</v>
      </c>
      <c r="E132">
        <f>COUNTIF(data.SampSummary!$C$2:$C$958,C132)</f>
        <v>1</v>
      </c>
    </row>
    <row r="133" spans="1:5" x14ac:dyDescent="0.25">
      <c r="A133" t="s">
        <v>366</v>
      </c>
      <c r="B133" s="5">
        <v>37404</v>
      </c>
      <c r="C133" s="5" t="str">
        <f t="shared" si="2"/>
        <v>SPMLG010.37_37404</v>
      </c>
      <c r="D133" t="s">
        <v>1498</v>
      </c>
      <c r="E133">
        <f>COUNTIF(data.SampSummary!$C$2:$C$958,C133)</f>
        <v>1</v>
      </c>
    </row>
    <row r="134" spans="1:5" x14ac:dyDescent="0.25">
      <c r="A134" t="s">
        <v>133</v>
      </c>
      <c r="B134" s="5">
        <v>42542</v>
      </c>
      <c r="C134" s="5" t="str">
        <f t="shared" si="2"/>
        <v>SRHAY003.25_42542</v>
      </c>
      <c r="D134" t="s">
        <v>1499</v>
      </c>
      <c r="E134">
        <f>COUNTIF(data.SampSummary!$C$2:$C$958,C134)</f>
        <v>1</v>
      </c>
    </row>
    <row r="135" spans="1:5" x14ac:dyDescent="0.25">
      <c r="A135" t="s">
        <v>318</v>
      </c>
      <c r="B135" s="5">
        <v>40658</v>
      </c>
      <c r="C135" s="5" t="str">
        <f t="shared" si="2"/>
        <v>VROAK042.78_40658</v>
      </c>
      <c r="D135" t="s">
        <v>1500</v>
      </c>
      <c r="E135">
        <f>COUNTIF(data.SampSummary!$C$2:$C$958,C135)</f>
        <v>1</v>
      </c>
    </row>
    <row r="136" spans="1:5" x14ac:dyDescent="0.25">
      <c r="A136" t="s">
        <v>1501</v>
      </c>
      <c r="B136" s="5">
        <v>42479</v>
      </c>
      <c r="C136" s="5" t="str">
        <f t="shared" si="2"/>
        <v>MGLOG000.56_42479</v>
      </c>
      <c r="D136" t="s">
        <v>1502</v>
      </c>
      <c r="E136">
        <f>COUNTIF(data.SampSummary!$C$2:$C$958,C136)</f>
        <v>0</v>
      </c>
    </row>
    <row r="137" spans="1:5" x14ac:dyDescent="0.25">
      <c r="A137" t="s">
        <v>222</v>
      </c>
      <c r="B137" s="5">
        <v>41402</v>
      </c>
      <c r="C137" s="5" t="str">
        <f t="shared" si="2"/>
        <v>SRCHE013.65_41402</v>
      </c>
      <c r="D137" t="s">
        <v>1503</v>
      </c>
      <c r="E137">
        <f>COUNTIF(data.SampSummary!$C$2:$C$958,C137)</f>
        <v>1</v>
      </c>
    </row>
    <row r="138" spans="1:5" x14ac:dyDescent="0.25">
      <c r="A138" t="s">
        <v>252</v>
      </c>
      <c r="B138" s="5">
        <v>35563</v>
      </c>
      <c r="C138" s="5" t="str">
        <f t="shared" si="2"/>
        <v>SRCHE033.95_35563</v>
      </c>
      <c r="D138" t="s">
        <v>1504</v>
      </c>
      <c r="E138">
        <f>COUNTIF(data.SampSummary!$C$2:$C$958,C138)</f>
        <v>1</v>
      </c>
    </row>
    <row r="139" spans="1:5" x14ac:dyDescent="0.25">
      <c r="A139" t="s">
        <v>362</v>
      </c>
      <c r="B139" s="5">
        <v>39974</v>
      </c>
      <c r="C139" s="5" t="str">
        <f t="shared" si="2"/>
        <v>SCSCR034.56_39974</v>
      </c>
      <c r="D139" t="s">
        <v>1505</v>
      </c>
      <c r="E139">
        <f>COUNTIF(data.SampSummary!$C$2:$C$958,C139)</f>
        <v>1</v>
      </c>
    </row>
    <row r="140" spans="1:5" x14ac:dyDescent="0.25">
      <c r="A140" t="s">
        <v>298</v>
      </c>
      <c r="B140" s="5">
        <v>35542</v>
      </c>
      <c r="C140" s="5" t="str">
        <f t="shared" si="2"/>
        <v>BWBRO042.16_35542</v>
      </c>
      <c r="D140" t="s">
        <v>1506</v>
      </c>
      <c r="E140">
        <f>COUNTIF(data.SampSummary!$C$2:$C$958,C140)</f>
        <v>1</v>
      </c>
    </row>
    <row r="141" spans="1:5" x14ac:dyDescent="0.25">
      <c r="A141" t="s">
        <v>357</v>
      </c>
      <c r="B141" s="5">
        <v>38855</v>
      </c>
      <c r="C141" s="5" t="str">
        <f t="shared" si="2"/>
        <v>UGSFR034.57_38855</v>
      </c>
      <c r="D141" t="s">
        <v>1507</v>
      </c>
      <c r="E141">
        <f>COUNTIF(data.SampSummary!$C$2:$C$958,C141)</f>
        <v>1</v>
      </c>
    </row>
    <row r="142" spans="1:5" x14ac:dyDescent="0.25">
      <c r="A142" t="s">
        <v>179</v>
      </c>
      <c r="B142" s="5">
        <v>42535</v>
      </c>
      <c r="C142" s="5" t="str">
        <f t="shared" si="2"/>
        <v>SRNFB012.35_42535</v>
      </c>
      <c r="D142" t="s">
        <v>1508</v>
      </c>
      <c r="E142">
        <f>COUNTIF(data.SampSummary!$C$2:$C$958,C142)</f>
        <v>1</v>
      </c>
    </row>
    <row r="143" spans="1:5" x14ac:dyDescent="0.25">
      <c r="A143" t="s">
        <v>1509</v>
      </c>
      <c r="B143" s="5">
        <v>35717</v>
      </c>
      <c r="C143" s="5" t="str">
        <f t="shared" si="2"/>
        <v>CGBRA001.36_35717</v>
      </c>
      <c r="D143" t="s">
        <v>1510</v>
      </c>
      <c r="E143">
        <f>COUNTIF(data.SampSummary!$C$2:$C$958,C143)</f>
        <v>0</v>
      </c>
    </row>
    <row r="144" spans="1:5" x14ac:dyDescent="0.25">
      <c r="A144" t="s">
        <v>195</v>
      </c>
      <c r="B144" s="5">
        <v>36283</v>
      </c>
      <c r="C144" s="5" t="str">
        <f t="shared" si="2"/>
        <v>VRWCL005.10_36283</v>
      </c>
      <c r="D144" t="s">
        <v>1511</v>
      </c>
      <c r="E144">
        <f>COUNTIF(data.SampSummary!$C$2:$C$958,C144)</f>
        <v>1</v>
      </c>
    </row>
    <row r="145" spans="1:5" x14ac:dyDescent="0.25">
      <c r="A145" t="s">
        <v>277</v>
      </c>
      <c r="B145" s="5">
        <v>38483</v>
      </c>
      <c r="C145" s="5" t="str">
        <f t="shared" si="2"/>
        <v>CGTHS000.04_38483</v>
      </c>
      <c r="D145" t="s">
        <v>1512</v>
      </c>
      <c r="E145">
        <f>COUNTIF(data.SampSummary!$C$2:$C$958,C145)</f>
        <v>1</v>
      </c>
    </row>
    <row r="146" spans="1:5" x14ac:dyDescent="0.25">
      <c r="A146" t="s">
        <v>1513</v>
      </c>
      <c r="B146" s="5">
        <v>39800</v>
      </c>
      <c r="C146" s="5" t="str">
        <f t="shared" si="2"/>
        <v>SPSPR117.97_39800</v>
      </c>
      <c r="D146" t="s">
        <v>1514</v>
      </c>
      <c r="E146">
        <f>COUNTIF(data.SampSummary!$C$2:$C$958,C146)</f>
        <v>0</v>
      </c>
    </row>
    <row r="147" spans="1:5" x14ac:dyDescent="0.25">
      <c r="A147" t="s">
        <v>26</v>
      </c>
      <c r="B147" s="5">
        <v>40708</v>
      </c>
      <c r="C147" s="5" t="str">
        <f t="shared" si="2"/>
        <v>VRPIE016.49_40708</v>
      </c>
      <c r="D147" t="s">
        <v>1515</v>
      </c>
      <c r="E147">
        <f>COUNTIF(data.SampSummary!$C$2:$C$958,C147)</f>
        <v>1</v>
      </c>
    </row>
    <row r="148" spans="1:5" x14ac:dyDescent="0.25">
      <c r="A148" t="s">
        <v>339</v>
      </c>
      <c r="B148" s="5">
        <v>39932</v>
      </c>
      <c r="C148" s="5" t="str">
        <f t="shared" si="2"/>
        <v>UGEAG015.23_39932</v>
      </c>
      <c r="D148" t="s">
        <v>1516</v>
      </c>
      <c r="E148">
        <f>COUNTIF(data.SampSummary!$C$2:$C$958,C148)</f>
        <v>0</v>
      </c>
    </row>
    <row r="149" spans="1:5" x14ac:dyDescent="0.25">
      <c r="A149" t="s">
        <v>242</v>
      </c>
      <c r="B149" s="5">
        <v>37734</v>
      </c>
      <c r="C149" s="5" t="str">
        <f t="shared" si="2"/>
        <v>VROAK031.38_37734</v>
      </c>
      <c r="D149" t="s">
        <v>1517</v>
      </c>
      <c r="E149">
        <f>COUNTIF(data.SampSummary!$C$2:$C$958,C149)</f>
        <v>1</v>
      </c>
    </row>
    <row r="150" spans="1:5" x14ac:dyDescent="0.25">
      <c r="A150" t="s">
        <v>200</v>
      </c>
      <c r="B150" s="5">
        <v>41367</v>
      </c>
      <c r="C150" s="5" t="str">
        <f t="shared" si="2"/>
        <v>SPSPR015.42_41367</v>
      </c>
      <c r="D150" t="s">
        <v>1518</v>
      </c>
      <c r="E150">
        <f>COUNTIF(data.SampSummary!$C$2:$C$958,C150)</f>
        <v>1</v>
      </c>
    </row>
    <row r="151" spans="1:5" x14ac:dyDescent="0.25">
      <c r="A151" t="s">
        <v>1519</v>
      </c>
      <c r="B151" s="5">
        <v>39218</v>
      </c>
      <c r="C151" s="5" t="str">
        <f t="shared" si="2"/>
        <v>LCBRB000.27_39218</v>
      </c>
      <c r="D151" t="s">
        <v>1520</v>
      </c>
      <c r="E151">
        <f>COUNTIF(data.SampSummary!$C$2:$C$958,C151)</f>
        <v>0</v>
      </c>
    </row>
    <row r="152" spans="1:5" x14ac:dyDescent="0.25">
      <c r="A152" t="s">
        <v>305</v>
      </c>
      <c r="B152" s="5">
        <v>35915</v>
      </c>
      <c r="C152" s="5" t="str">
        <f t="shared" si="2"/>
        <v>MGAFR087.35_35915</v>
      </c>
      <c r="D152" t="s">
        <v>1521</v>
      </c>
      <c r="E152">
        <f>COUNTIF(data.SampSummary!$C$2:$C$958,C152)</f>
        <v>0</v>
      </c>
    </row>
    <row r="153" spans="1:5" x14ac:dyDescent="0.25">
      <c r="A153" t="s">
        <v>205</v>
      </c>
      <c r="B153" s="5">
        <v>35716</v>
      </c>
      <c r="C153" s="5" t="str">
        <f t="shared" si="2"/>
        <v>CGRYA000.05_35716</v>
      </c>
      <c r="D153" t="s">
        <v>1522</v>
      </c>
      <c r="E153">
        <f>COUNTIF(data.SampSummary!$C$2:$C$958,C153)</f>
        <v>0</v>
      </c>
    </row>
    <row r="154" spans="1:5" x14ac:dyDescent="0.25">
      <c r="A154" t="s">
        <v>47</v>
      </c>
      <c r="B154" s="5">
        <v>35926</v>
      </c>
      <c r="C154" s="5" t="str">
        <f t="shared" si="2"/>
        <v>SPWRC000.48_35926</v>
      </c>
      <c r="D154" t="s">
        <v>1523</v>
      </c>
      <c r="E154">
        <f>COUNTIF(data.SampSummary!$C$2:$C$958,C154)</f>
        <v>1</v>
      </c>
    </row>
    <row r="155" spans="1:5" x14ac:dyDescent="0.25">
      <c r="A155" t="s">
        <v>170</v>
      </c>
      <c r="B155" s="5">
        <v>37910</v>
      </c>
      <c r="C155" s="5" t="str">
        <f t="shared" si="2"/>
        <v>SRTON058.63_37910</v>
      </c>
      <c r="D155" t="s">
        <v>1524</v>
      </c>
      <c r="E155">
        <f>COUNTIF(data.SampSummary!$C$2:$C$958,C155)</f>
        <v>0</v>
      </c>
    </row>
    <row r="156" spans="1:5" x14ac:dyDescent="0.25">
      <c r="A156" t="s">
        <v>232</v>
      </c>
      <c r="B156" s="5">
        <v>41016</v>
      </c>
      <c r="C156" s="5" t="str">
        <f t="shared" si="2"/>
        <v>SCSON016.78_41016</v>
      </c>
      <c r="D156" t="s">
        <v>1525</v>
      </c>
      <c r="E156">
        <f>COUNTIF(data.SampSummary!$C$2:$C$958,C156)</f>
        <v>1</v>
      </c>
    </row>
    <row r="157" spans="1:5" x14ac:dyDescent="0.25">
      <c r="A157" t="s">
        <v>360</v>
      </c>
      <c r="B157" s="5">
        <v>41017</v>
      </c>
      <c r="C157" s="5" t="str">
        <f t="shared" si="2"/>
        <v>SCSCR039.63_41017</v>
      </c>
      <c r="D157" t="s">
        <v>1526</v>
      </c>
      <c r="E157">
        <f>COUNTIF(data.SampSummary!$C$2:$C$958,C157)</f>
        <v>1</v>
      </c>
    </row>
    <row r="158" spans="1:5" x14ac:dyDescent="0.25">
      <c r="A158" t="s">
        <v>326</v>
      </c>
      <c r="B158" s="5">
        <v>37028</v>
      </c>
      <c r="C158" s="5" t="str">
        <f t="shared" si="2"/>
        <v>UGSFR006.42_37028</v>
      </c>
      <c r="D158" t="s">
        <v>1527</v>
      </c>
      <c r="E158">
        <f>COUNTIF(data.SampSummary!$C$2:$C$958,C158)</f>
        <v>1</v>
      </c>
    </row>
    <row r="159" spans="1:5" x14ac:dyDescent="0.25">
      <c r="A159" t="s">
        <v>245</v>
      </c>
      <c r="B159" s="5">
        <v>41442</v>
      </c>
      <c r="C159" s="5" t="str">
        <f t="shared" si="2"/>
        <v>SRHAG007.47_41442</v>
      </c>
      <c r="D159" t="s">
        <v>1528</v>
      </c>
      <c r="E159">
        <f>COUNTIF(data.SampSummary!$C$2:$C$958,C159)</f>
        <v>1</v>
      </c>
    </row>
    <row r="160" spans="1:5" x14ac:dyDescent="0.25">
      <c r="A160" t="s">
        <v>108</v>
      </c>
      <c r="B160" s="5">
        <v>35956</v>
      </c>
      <c r="C160" s="5" t="str">
        <f t="shared" si="2"/>
        <v>SRSNK001.96_35956</v>
      </c>
      <c r="D160" t="s">
        <v>1529</v>
      </c>
      <c r="E160">
        <f>COUNTIF(data.SampSummary!$C$2:$C$958,C160)</f>
        <v>1</v>
      </c>
    </row>
    <row r="161" spans="1:5" x14ac:dyDescent="0.25">
      <c r="A161" t="s">
        <v>1530</v>
      </c>
      <c r="B161" s="5">
        <v>37013</v>
      </c>
      <c r="C161" s="5" t="str">
        <f t="shared" si="2"/>
        <v>UGCAV014.44_37013</v>
      </c>
      <c r="D161" t="s">
        <v>1531</v>
      </c>
      <c r="E161">
        <f>COUNTIF(data.SampSummary!$C$2:$C$958,C161)</f>
        <v>0</v>
      </c>
    </row>
    <row r="162" spans="1:5" x14ac:dyDescent="0.25">
      <c r="A162" t="s">
        <v>134</v>
      </c>
      <c r="B162" s="5">
        <v>41779</v>
      </c>
      <c r="C162" s="5" t="str">
        <f t="shared" si="2"/>
        <v>LCLCR323.60_41779</v>
      </c>
      <c r="D162" t="s">
        <v>1532</v>
      </c>
      <c r="E162">
        <f>COUNTIF(data.SampSummary!$C$2:$C$958,C162)</f>
        <v>1</v>
      </c>
    </row>
    <row r="163" spans="1:5" x14ac:dyDescent="0.25">
      <c r="A163" t="s">
        <v>230</v>
      </c>
      <c r="B163" s="5">
        <v>39624</v>
      </c>
      <c r="C163" s="5" t="str">
        <f t="shared" si="2"/>
        <v>VREVR023.59_39624</v>
      </c>
      <c r="D163" t="s">
        <v>1533</v>
      </c>
      <c r="E163">
        <f>COUNTIF(data.SampSummary!$C$2:$C$958,C163)</f>
        <v>1</v>
      </c>
    </row>
    <row r="164" spans="1:5" x14ac:dyDescent="0.25">
      <c r="A164" t="s">
        <v>360</v>
      </c>
      <c r="B164" s="5">
        <v>41381</v>
      </c>
      <c r="C164" s="5" t="str">
        <f t="shared" si="2"/>
        <v>SCSCR039.63_41381</v>
      </c>
      <c r="D164" t="s">
        <v>1534</v>
      </c>
      <c r="E164">
        <f>COUNTIF(data.SampSummary!$C$2:$C$958,C164)</f>
        <v>1</v>
      </c>
    </row>
    <row r="165" spans="1:5" x14ac:dyDescent="0.25">
      <c r="A165" t="s">
        <v>197</v>
      </c>
      <c r="B165" s="5">
        <v>39583</v>
      </c>
      <c r="C165" s="5" t="str">
        <f t="shared" si="2"/>
        <v>SRTON053.87_39583</v>
      </c>
      <c r="D165" t="s">
        <v>1535</v>
      </c>
      <c r="E165">
        <f>COUNTIF(data.SampSummary!$C$2:$C$958,C165)</f>
        <v>1</v>
      </c>
    </row>
    <row r="166" spans="1:5" x14ac:dyDescent="0.25">
      <c r="A166" t="s">
        <v>378</v>
      </c>
      <c r="B166" s="5">
        <v>40107</v>
      </c>
      <c r="C166" s="5" t="str">
        <f t="shared" si="2"/>
        <v>CGHAV000.36_40107</v>
      </c>
      <c r="D166" t="s">
        <v>1536</v>
      </c>
      <c r="E166">
        <f>COUNTIF(data.SampSummary!$C$2:$C$958,C166)</f>
        <v>0</v>
      </c>
    </row>
    <row r="167" spans="1:5" x14ac:dyDescent="0.25">
      <c r="A167" t="s">
        <v>342</v>
      </c>
      <c r="B167" s="5">
        <v>37390</v>
      </c>
      <c r="C167" s="5" t="str">
        <f t="shared" si="2"/>
        <v>UGBON000.17_37390</v>
      </c>
      <c r="D167" t="s">
        <v>1537</v>
      </c>
      <c r="E167">
        <f>COUNTIF(data.SampSummary!$C$2:$C$958,C167)</f>
        <v>1</v>
      </c>
    </row>
    <row r="168" spans="1:5" x14ac:dyDescent="0.25">
      <c r="A168" t="s">
        <v>186</v>
      </c>
      <c r="B168" s="5">
        <v>38111</v>
      </c>
      <c r="C168" s="5" t="str">
        <f t="shared" si="2"/>
        <v>VREVR034.80_38111</v>
      </c>
      <c r="D168" t="s">
        <v>1538</v>
      </c>
      <c r="E168">
        <f>COUNTIF(data.SampSummary!$C$2:$C$958,C168)</f>
        <v>1</v>
      </c>
    </row>
    <row r="169" spans="1:5" x14ac:dyDescent="0.25">
      <c r="A169" t="s">
        <v>1539</v>
      </c>
      <c r="B169" s="5">
        <v>35557</v>
      </c>
      <c r="C169" s="5" t="str">
        <f t="shared" si="2"/>
        <v>VRUBT000.31_35557</v>
      </c>
      <c r="D169" t="s">
        <v>1540</v>
      </c>
      <c r="E169">
        <f>COUNTIF(data.SampSummary!$C$2:$C$958,C169)</f>
        <v>0</v>
      </c>
    </row>
    <row r="170" spans="1:5" x14ac:dyDescent="0.25">
      <c r="A170" t="s">
        <v>25</v>
      </c>
      <c r="B170" s="5">
        <v>39224</v>
      </c>
      <c r="C170" s="5" t="str">
        <f t="shared" si="2"/>
        <v>LCMLK001.18_39224</v>
      </c>
      <c r="D170" t="s">
        <v>1541</v>
      </c>
      <c r="E170">
        <f>COUNTIF(data.SampSummary!$C$2:$C$958,C170)</f>
        <v>1</v>
      </c>
    </row>
    <row r="171" spans="1:5" x14ac:dyDescent="0.25">
      <c r="A171" t="s">
        <v>279</v>
      </c>
      <c r="B171" s="5">
        <v>36626</v>
      </c>
      <c r="C171" s="5" t="str">
        <f t="shared" si="2"/>
        <v>MGHSR085.79_36626</v>
      </c>
      <c r="D171" t="s">
        <v>1542</v>
      </c>
      <c r="E171">
        <f>COUNTIF(data.SampSummary!$C$2:$C$958,C171)</f>
        <v>1</v>
      </c>
    </row>
    <row r="172" spans="1:5" x14ac:dyDescent="0.25">
      <c r="A172" t="s">
        <v>1543</v>
      </c>
      <c r="B172" s="5">
        <v>35927</v>
      </c>
      <c r="C172" s="5" t="str">
        <f t="shared" si="2"/>
        <v>UGSCV002.80_35927</v>
      </c>
      <c r="D172" t="s">
        <v>1544</v>
      </c>
      <c r="E172">
        <f>COUNTIF(data.SampSummary!$C$2:$C$958,C172)</f>
        <v>0</v>
      </c>
    </row>
    <row r="173" spans="1:5" x14ac:dyDescent="0.25">
      <c r="A173" t="s">
        <v>184</v>
      </c>
      <c r="B173" s="5">
        <v>38913</v>
      </c>
      <c r="C173" s="5" t="str">
        <f t="shared" si="2"/>
        <v>CGDEE000.07_38913</v>
      </c>
      <c r="D173" t="s">
        <v>1545</v>
      </c>
      <c r="E173">
        <f>COUNTIF(data.SampSummary!$C$2:$C$958,C173)</f>
        <v>1</v>
      </c>
    </row>
    <row r="174" spans="1:5" x14ac:dyDescent="0.25">
      <c r="A174" t="s">
        <v>372</v>
      </c>
      <c r="B174" s="5">
        <v>35913</v>
      </c>
      <c r="C174" s="5" t="str">
        <f t="shared" si="2"/>
        <v>VRCMP019.06_35913</v>
      </c>
      <c r="D174" t="s">
        <v>1546</v>
      </c>
      <c r="E174">
        <f>COUNTIF(data.SampSummary!$C$2:$C$958,C174)</f>
        <v>1</v>
      </c>
    </row>
    <row r="175" spans="1:5" x14ac:dyDescent="0.25">
      <c r="A175" t="s">
        <v>373</v>
      </c>
      <c r="B175" s="5">
        <v>36998</v>
      </c>
      <c r="C175" s="5" t="str">
        <f t="shared" si="2"/>
        <v>SCCIE006.69_36998</v>
      </c>
      <c r="D175" t="s">
        <v>1547</v>
      </c>
      <c r="E175">
        <f>COUNTIF(data.SampSummary!$C$2:$C$958,C175)</f>
        <v>1</v>
      </c>
    </row>
    <row r="176" spans="1:5" x14ac:dyDescent="0.25">
      <c r="A176" t="s">
        <v>247</v>
      </c>
      <c r="B176" s="5">
        <v>41410</v>
      </c>
      <c r="C176" s="5" t="str">
        <f t="shared" si="2"/>
        <v>BWTRT002.43_41410</v>
      </c>
      <c r="D176" t="s">
        <v>1548</v>
      </c>
      <c r="E176">
        <f>COUNTIF(data.SampSummary!$C$2:$C$958,C176)</f>
        <v>1</v>
      </c>
    </row>
    <row r="177" spans="1:5" x14ac:dyDescent="0.25">
      <c r="A177" t="s">
        <v>210</v>
      </c>
      <c r="B177" s="5">
        <v>36279</v>
      </c>
      <c r="C177" s="5" t="str">
        <f t="shared" si="2"/>
        <v>VRVER107.68_36279</v>
      </c>
      <c r="D177" t="s">
        <v>1549</v>
      </c>
      <c r="E177">
        <f>COUNTIF(data.SampSummary!$C$2:$C$958,C177)</f>
        <v>1</v>
      </c>
    </row>
    <row r="178" spans="1:5" x14ac:dyDescent="0.25">
      <c r="A178" t="s">
        <v>145</v>
      </c>
      <c r="B178" s="5">
        <v>42157</v>
      </c>
      <c r="C178" s="5" t="str">
        <f t="shared" si="2"/>
        <v>UGSTO003.44_42157</v>
      </c>
      <c r="D178" t="s">
        <v>1550</v>
      </c>
      <c r="E178">
        <f>COUNTIF(data.SampSummary!$C$2:$C$958,C178)</f>
        <v>1</v>
      </c>
    </row>
    <row r="179" spans="1:5" x14ac:dyDescent="0.25">
      <c r="A179" t="s">
        <v>360</v>
      </c>
      <c r="B179" s="5">
        <v>42123</v>
      </c>
      <c r="C179" s="5" t="str">
        <f t="shared" si="2"/>
        <v>SCSCR039.63_42123</v>
      </c>
      <c r="D179" t="s">
        <v>1551</v>
      </c>
      <c r="E179">
        <f>COUNTIF(data.SampSummary!$C$2:$C$958,C179)</f>
        <v>1</v>
      </c>
    </row>
    <row r="180" spans="1:5" x14ac:dyDescent="0.25">
      <c r="A180" t="s">
        <v>234</v>
      </c>
      <c r="B180" s="5">
        <v>42465</v>
      </c>
      <c r="C180" s="5" t="str">
        <f t="shared" si="2"/>
        <v>SPSPR014.18_42465</v>
      </c>
      <c r="D180" t="s">
        <v>1552</v>
      </c>
      <c r="E180">
        <f>COUNTIF(data.SampSummary!$C$2:$C$958,C180)</f>
        <v>1</v>
      </c>
    </row>
    <row r="181" spans="1:5" x14ac:dyDescent="0.25">
      <c r="A181" t="s">
        <v>167</v>
      </c>
      <c r="B181" s="5">
        <v>39742</v>
      </c>
      <c r="C181" s="5" t="str">
        <f t="shared" si="2"/>
        <v>LCSHL029.75_39742</v>
      </c>
      <c r="D181" t="s">
        <v>1553</v>
      </c>
      <c r="E181">
        <f>COUNTIF(data.SampSummary!$C$2:$C$958,C181)</f>
        <v>0</v>
      </c>
    </row>
    <row r="182" spans="1:5" x14ac:dyDescent="0.25">
      <c r="A182" t="s">
        <v>343</v>
      </c>
      <c r="B182" s="5">
        <v>42166</v>
      </c>
      <c r="C182" s="5" t="str">
        <f t="shared" si="2"/>
        <v>SPARA019.41_42166</v>
      </c>
      <c r="D182" t="s">
        <v>1554</v>
      </c>
      <c r="E182">
        <f>COUNTIF(data.SampSummary!$C$2:$C$958,C182)</f>
        <v>1</v>
      </c>
    </row>
    <row r="183" spans="1:5" x14ac:dyDescent="0.25">
      <c r="A183" t="s">
        <v>151</v>
      </c>
      <c r="B183" s="5">
        <v>39582</v>
      </c>
      <c r="C183" s="5" t="str">
        <f t="shared" si="2"/>
        <v>SRHAG013.09_39582</v>
      </c>
      <c r="D183" t="s">
        <v>1555</v>
      </c>
      <c r="E183">
        <f>COUNTIF(data.SampSummary!$C$2:$C$958,C183)</f>
        <v>1</v>
      </c>
    </row>
    <row r="184" spans="1:5" x14ac:dyDescent="0.25">
      <c r="A184" t="s">
        <v>242</v>
      </c>
      <c r="B184" s="5">
        <v>39603</v>
      </c>
      <c r="C184" s="5" t="str">
        <f t="shared" si="2"/>
        <v>VROAK031.38_39603</v>
      </c>
      <c r="D184" t="s">
        <v>1556</v>
      </c>
      <c r="E184">
        <f>COUNTIF(data.SampSummary!$C$2:$C$958,C184)</f>
        <v>1</v>
      </c>
    </row>
    <row r="185" spans="1:5" x14ac:dyDescent="0.25">
      <c r="A185" t="s">
        <v>35</v>
      </c>
      <c r="B185" s="5">
        <v>41079</v>
      </c>
      <c r="C185" s="5" t="str">
        <f t="shared" si="2"/>
        <v>UGCMB004.23_41079</v>
      </c>
      <c r="D185" t="s">
        <v>1557</v>
      </c>
      <c r="E185">
        <f>COUNTIF(data.SampSummary!$C$2:$C$958,C185)</f>
        <v>1</v>
      </c>
    </row>
    <row r="186" spans="1:5" x14ac:dyDescent="0.25">
      <c r="A186" t="s">
        <v>193</v>
      </c>
      <c r="B186" s="5">
        <v>35556</v>
      </c>
      <c r="C186" s="5" t="str">
        <f t="shared" si="2"/>
        <v>VRSYW001.72_35556</v>
      </c>
      <c r="D186" t="s">
        <v>1558</v>
      </c>
      <c r="E186">
        <f>COUNTIF(data.SampSummary!$C$2:$C$958,C186)</f>
        <v>1</v>
      </c>
    </row>
    <row r="187" spans="1:5" x14ac:dyDescent="0.25">
      <c r="A187" t="s">
        <v>299</v>
      </c>
      <c r="B187" s="5">
        <v>42493</v>
      </c>
      <c r="C187" s="5" t="str">
        <f t="shared" si="2"/>
        <v>VREVR023.23_42493</v>
      </c>
      <c r="D187" t="s">
        <v>1559</v>
      </c>
      <c r="E187">
        <f>COUNTIF(data.SampSummary!$C$2:$C$958,C187)</f>
        <v>1</v>
      </c>
    </row>
    <row r="188" spans="1:5" x14ac:dyDescent="0.25">
      <c r="A188" t="s">
        <v>292</v>
      </c>
      <c r="B188" s="5">
        <v>35936</v>
      </c>
      <c r="C188" s="5" t="str">
        <f t="shared" si="2"/>
        <v>SPSPR005.28_35936</v>
      </c>
      <c r="D188" t="s">
        <v>1560</v>
      </c>
      <c r="E188">
        <f>COUNTIF(data.SampSummary!$C$2:$C$958,C188)</f>
        <v>2</v>
      </c>
    </row>
    <row r="189" spans="1:5" x14ac:dyDescent="0.25">
      <c r="A189" t="s">
        <v>285</v>
      </c>
      <c r="B189" s="5">
        <v>35571</v>
      </c>
      <c r="C189" s="5" t="str">
        <f t="shared" si="2"/>
        <v>VRPIE000.29_35571</v>
      </c>
      <c r="D189" t="s">
        <v>1561</v>
      </c>
      <c r="E189">
        <f>COUNTIF(data.SampSummary!$C$2:$C$958,C189)</f>
        <v>1</v>
      </c>
    </row>
    <row r="190" spans="1:5" x14ac:dyDescent="0.25">
      <c r="A190" t="s">
        <v>82</v>
      </c>
      <c r="B190" s="5">
        <v>35948</v>
      </c>
      <c r="C190" s="5" t="str">
        <f t="shared" si="2"/>
        <v>LCLCR352.57_35948</v>
      </c>
      <c r="D190" t="s">
        <v>1562</v>
      </c>
      <c r="E190">
        <f>COUNTIF(data.SampSummary!$C$2:$C$958,C190)</f>
        <v>1</v>
      </c>
    </row>
    <row r="191" spans="1:5" x14ac:dyDescent="0.25">
      <c r="A191" t="s">
        <v>104</v>
      </c>
      <c r="B191" s="5">
        <v>37070</v>
      </c>
      <c r="C191" s="5" t="str">
        <f t="shared" si="2"/>
        <v>LCWLR000.92_37070</v>
      </c>
      <c r="D191" t="s">
        <v>1563</v>
      </c>
      <c r="E191">
        <f>COUNTIF(data.SampSummary!$C$2:$C$958,C191)</f>
        <v>1</v>
      </c>
    </row>
    <row r="192" spans="1:5" x14ac:dyDescent="0.25">
      <c r="A192" t="s">
        <v>18</v>
      </c>
      <c r="B192" s="5">
        <v>38517</v>
      </c>
      <c r="C192" s="5" t="str">
        <f t="shared" si="2"/>
        <v>SPGRA007.71_38517</v>
      </c>
      <c r="D192" t="s">
        <v>1564</v>
      </c>
      <c r="E192">
        <f>COUNTIF(data.SampSummary!$C$2:$C$958,C192)</f>
        <v>1</v>
      </c>
    </row>
    <row r="193" spans="1:5" x14ac:dyDescent="0.25">
      <c r="A193" t="s">
        <v>18</v>
      </c>
      <c r="B193" s="5">
        <v>41045</v>
      </c>
      <c r="C193" s="5" t="str">
        <f t="shared" si="2"/>
        <v>SPGRA007.71_41045</v>
      </c>
      <c r="D193" t="s">
        <v>1565</v>
      </c>
      <c r="E193">
        <f>COUNTIF(data.SampSummary!$C$2:$C$958,C193)</f>
        <v>1</v>
      </c>
    </row>
    <row r="194" spans="1:5" x14ac:dyDescent="0.25">
      <c r="A194" t="s">
        <v>80</v>
      </c>
      <c r="B194" s="5">
        <v>37425</v>
      </c>
      <c r="C194" s="5" t="str">
        <f t="shared" si="2"/>
        <v>SRWFB001.13_37425</v>
      </c>
      <c r="D194" t="s">
        <v>1566</v>
      </c>
      <c r="E194">
        <f>COUNTIF(data.SampSummary!$C$2:$C$958,C194)</f>
        <v>1</v>
      </c>
    </row>
    <row r="195" spans="1:5" x14ac:dyDescent="0.25">
      <c r="A195" t="s">
        <v>240</v>
      </c>
      <c r="B195" s="5">
        <v>41382</v>
      </c>
      <c r="C195" s="5" t="str">
        <f t="shared" ref="C195:C258" si="3">A195&amp;"_"&amp;B195</f>
        <v>SCCIE002.89_41382</v>
      </c>
      <c r="D195" t="s">
        <v>1567</v>
      </c>
      <c r="E195">
        <f>COUNTIF(data.SampSummary!$C$2:$C$958,C195)</f>
        <v>1</v>
      </c>
    </row>
    <row r="196" spans="1:5" x14ac:dyDescent="0.25">
      <c r="A196" t="s">
        <v>1568</v>
      </c>
      <c r="B196" s="5">
        <v>38477</v>
      </c>
      <c r="C196" s="5" t="str">
        <f t="shared" si="3"/>
        <v>CGMON000.19_38477</v>
      </c>
      <c r="D196" t="s">
        <v>1569</v>
      </c>
      <c r="E196">
        <f>COUNTIF(data.SampSummary!$C$2:$C$958,C196)</f>
        <v>0</v>
      </c>
    </row>
    <row r="197" spans="1:5" x14ac:dyDescent="0.25">
      <c r="A197" t="s">
        <v>51</v>
      </c>
      <c r="B197" s="5">
        <v>42131</v>
      </c>
      <c r="C197" s="5" t="str">
        <f t="shared" si="3"/>
        <v>SRTON061.37_42131</v>
      </c>
      <c r="D197" t="s">
        <v>1570</v>
      </c>
      <c r="E197">
        <f>COUNTIF(data.SampSummary!$C$2:$C$958,C197)</f>
        <v>1</v>
      </c>
    </row>
    <row r="198" spans="1:5" x14ac:dyDescent="0.25">
      <c r="A198" t="s">
        <v>1571</v>
      </c>
      <c r="B198" s="5">
        <v>39559</v>
      </c>
      <c r="C198" s="5" t="str">
        <f t="shared" si="3"/>
        <v>VRMIL006.07_39559</v>
      </c>
      <c r="D198" t="s">
        <v>1572</v>
      </c>
      <c r="E198">
        <f>COUNTIF(data.SampSummary!$C$2:$C$958,C198)</f>
        <v>0</v>
      </c>
    </row>
    <row r="199" spans="1:5" x14ac:dyDescent="0.25">
      <c r="A199" t="s">
        <v>1573</v>
      </c>
      <c r="B199" s="5">
        <v>38848</v>
      </c>
      <c r="C199" s="5" t="str">
        <f t="shared" si="3"/>
        <v>CGSPG000.17_38848</v>
      </c>
      <c r="D199" t="s">
        <v>1574</v>
      </c>
      <c r="E199">
        <f>COUNTIF(data.SampSummary!$C$2:$C$958,C199)</f>
        <v>0</v>
      </c>
    </row>
    <row r="200" spans="1:5" x14ac:dyDescent="0.25">
      <c r="A200" t="s">
        <v>1575</v>
      </c>
      <c r="B200" s="5">
        <v>42598</v>
      </c>
      <c r="C200" s="5" t="str">
        <f t="shared" si="3"/>
        <v>SRGVL011.66_42598</v>
      </c>
      <c r="D200" t="s">
        <v>1576</v>
      </c>
      <c r="E200">
        <f>COUNTIF(data.SampSummary!$C$2:$C$958,C200)</f>
        <v>0</v>
      </c>
    </row>
    <row r="201" spans="1:5" x14ac:dyDescent="0.25">
      <c r="A201" t="s">
        <v>1577</v>
      </c>
      <c r="B201" s="5">
        <v>37013</v>
      </c>
      <c r="C201" s="5" t="str">
        <f t="shared" si="3"/>
        <v>UGSCV002.56_37013</v>
      </c>
      <c r="D201" t="s">
        <v>1578</v>
      </c>
      <c r="E201">
        <f>COUNTIF(data.SampSummary!$C$2:$C$958,C201)</f>
        <v>0</v>
      </c>
    </row>
    <row r="202" spans="1:5" x14ac:dyDescent="0.25">
      <c r="A202" t="s">
        <v>120</v>
      </c>
      <c r="B202" s="5">
        <v>39181</v>
      </c>
      <c r="C202" s="5" t="str">
        <f t="shared" si="3"/>
        <v>LCLCR311.31_39181</v>
      </c>
      <c r="D202" t="s">
        <v>1579</v>
      </c>
      <c r="E202">
        <f>COUNTIF(data.SampSummary!$C$2:$C$958,C202)</f>
        <v>1</v>
      </c>
    </row>
    <row r="203" spans="1:5" x14ac:dyDescent="0.25">
      <c r="A203" t="s">
        <v>1580</v>
      </c>
      <c r="B203" s="5">
        <v>35726</v>
      </c>
      <c r="C203" s="5" t="str">
        <f t="shared" si="3"/>
        <v>CGSPG000.43_35726</v>
      </c>
      <c r="D203" t="s">
        <v>1581</v>
      </c>
      <c r="E203">
        <f>COUNTIF(data.SampSummary!$C$2:$C$958,C203)</f>
        <v>0</v>
      </c>
    </row>
    <row r="204" spans="1:5" x14ac:dyDescent="0.25">
      <c r="A204" t="s">
        <v>326</v>
      </c>
      <c r="B204" s="5">
        <v>38119</v>
      </c>
      <c r="C204" s="5" t="str">
        <f t="shared" si="3"/>
        <v>UGSFR006.42_38119</v>
      </c>
      <c r="D204" t="s">
        <v>1582</v>
      </c>
      <c r="E204">
        <f>COUNTIF(data.SampSummary!$C$2:$C$958,C204)</f>
        <v>1</v>
      </c>
    </row>
    <row r="205" spans="1:5" x14ac:dyDescent="0.25">
      <c r="A205" t="s">
        <v>214</v>
      </c>
      <c r="B205" s="5">
        <v>40106</v>
      </c>
      <c r="C205" s="5" t="str">
        <f t="shared" si="3"/>
        <v>CGKAN000.26_40106</v>
      </c>
      <c r="D205" t="s">
        <v>1583</v>
      </c>
      <c r="E205">
        <f>COUNTIF(data.SampSummary!$C$2:$C$958,C205)</f>
        <v>0</v>
      </c>
    </row>
    <row r="206" spans="1:5" x14ac:dyDescent="0.25">
      <c r="A206" t="s">
        <v>202</v>
      </c>
      <c r="B206" s="5">
        <v>39554</v>
      </c>
      <c r="C206" s="5" t="str">
        <f t="shared" si="3"/>
        <v>SRPNT008.48_39554</v>
      </c>
      <c r="D206" t="s">
        <v>1584</v>
      </c>
      <c r="E206">
        <f>COUNTIF(data.SampSummary!$C$2:$C$958,C206)</f>
        <v>1</v>
      </c>
    </row>
    <row r="207" spans="1:5" x14ac:dyDescent="0.25">
      <c r="A207" t="s">
        <v>64</v>
      </c>
      <c r="B207" s="5">
        <v>41436</v>
      </c>
      <c r="C207" s="5" t="str">
        <f t="shared" si="3"/>
        <v>SRCKN001.61_41436</v>
      </c>
      <c r="D207" t="s">
        <v>1585</v>
      </c>
      <c r="E207">
        <f>COUNTIF(data.SampSummary!$C$2:$C$958,C207)</f>
        <v>1</v>
      </c>
    </row>
    <row r="208" spans="1:5" x14ac:dyDescent="0.25">
      <c r="A208" t="s">
        <v>123</v>
      </c>
      <c r="B208" s="5">
        <v>39196</v>
      </c>
      <c r="C208" s="5" t="str">
        <f t="shared" si="3"/>
        <v>LCSIL041.04_39196</v>
      </c>
      <c r="D208" t="s">
        <v>1586</v>
      </c>
      <c r="E208">
        <f>COUNTIF(data.SampSummary!$C$2:$C$958,C208)</f>
        <v>1</v>
      </c>
    </row>
    <row r="209" spans="1:5" x14ac:dyDescent="0.25">
      <c r="A209" t="s">
        <v>304</v>
      </c>
      <c r="B209" s="5">
        <v>38118</v>
      </c>
      <c r="C209" s="5" t="str">
        <f t="shared" si="3"/>
        <v>VRSPN002.04_38118</v>
      </c>
      <c r="D209" t="s">
        <v>1587</v>
      </c>
      <c r="E209">
        <f>COUNTIF(data.SampSummary!$C$2:$C$958,C209)</f>
        <v>1</v>
      </c>
    </row>
    <row r="210" spans="1:5" x14ac:dyDescent="0.25">
      <c r="A210" t="s">
        <v>28</v>
      </c>
      <c r="B210" s="5">
        <v>41828</v>
      </c>
      <c r="C210" s="5" t="str">
        <f t="shared" si="3"/>
        <v>UGBLR030.24_41828</v>
      </c>
      <c r="D210" t="s">
        <v>1588</v>
      </c>
      <c r="E210">
        <f>COUNTIF(data.SampSummary!$C$2:$C$958,C210)</f>
        <v>2</v>
      </c>
    </row>
    <row r="211" spans="1:5" x14ac:dyDescent="0.25">
      <c r="A211" t="s">
        <v>289</v>
      </c>
      <c r="B211" s="5">
        <v>39797</v>
      </c>
      <c r="C211" s="5" t="str">
        <f t="shared" si="3"/>
        <v>SPARA013.78_39797</v>
      </c>
      <c r="D211" t="s">
        <v>1589</v>
      </c>
      <c r="E211">
        <f>COUNTIF(data.SampSummary!$C$2:$C$958,C211)</f>
        <v>0</v>
      </c>
    </row>
    <row r="212" spans="1:5" x14ac:dyDescent="0.25">
      <c r="A212" t="s">
        <v>351</v>
      </c>
      <c r="B212" s="5">
        <v>37760</v>
      </c>
      <c r="C212" s="5" t="str">
        <f t="shared" si="3"/>
        <v>UGEAG010.12_37760</v>
      </c>
      <c r="D212" t="s">
        <v>1590</v>
      </c>
      <c r="E212">
        <f>COUNTIF(data.SampSummary!$C$2:$C$958,C212)</f>
        <v>1</v>
      </c>
    </row>
    <row r="213" spans="1:5" x14ac:dyDescent="0.25">
      <c r="A213" t="s">
        <v>144</v>
      </c>
      <c r="B213" s="5">
        <v>41801</v>
      </c>
      <c r="C213" s="5" t="str">
        <f t="shared" si="3"/>
        <v>UGBTH001.03_41801</v>
      </c>
      <c r="D213" t="s">
        <v>1591</v>
      </c>
      <c r="E213">
        <f>COUNTIF(data.SampSummary!$C$2:$C$958,C213)</f>
        <v>1</v>
      </c>
    </row>
    <row r="214" spans="1:5" x14ac:dyDescent="0.25">
      <c r="A214" t="s">
        <v>203</v>
      </c>
      <c r="B214" s="5">
        <v>41389</v>
      </c>
      <c r="C214" s="5" t="str">
        <f t="shared" si="3"/>
        <v>MGLSY000.42_41389</v>
      </c>
      <c r="D214" t="s">
        <v>1592</v>
      </c>
      <c r="E214">
        <f>COUNTIF(data.SampSummary!$C$2:$C$958,C214)</f>
        <v>1</v>
      </c>
    </row>
    <row r="215" spans="1:5" x14ac:dyDescent="0.25">
      <c r="A215" t="s">
        <v>188</v>
      </c>
      <c r="B215" s="5">
        <v>37005</v>
      </c>
      <c r="C215" s="5" t="str">
        <f t="shared" si="3"/>
        <v>SCSYR004.21_37005</v>
      </c>
      <c r="D215" t="s">
        <v>1593</v>
      </c>
      <c r="E215">
        <f>COUNTIF(data.SampSummary!$C$2:$C$958,C215)</f>
        <v>1</v>
      </c>
    </row>
    <row r="216" spans="1:5" x14ac:dyDescent="0.25">
      <c r="A216" t="s">
        <v>294</v>
      </c>
      <c r="B216" s="5">
        <v>37733</v>
      </c>
      <c r="C216" s="5" t="str">
        <f t="shared" si="3"/>
        <v>VRVER164.63_37733</v>
      </c>
      <c r="D216" t="s">
        <v>1594</v>
      </c>
      <c r="E216">
        <f>COUNTIF(data.SampSummary!$C$2:$C$958,C216)</f>
        <v>1</v>
      </c>
    </row>
    <row r="217" spans="1:5" x14ac:dyDescent="0.25">
      <c r="A217" t="s">
        <v>97</v>
      </c>
      <c r="B217" s="5">
        <v>37070</v>
      </c>
      <c r="C217" s="5" t="str">
        <f t="shared" si="3"/>
        <v>LCELR000.99_37070</v>
      </c>
      <c r="D217" t="s">
        <v>1595</v>
      </c>
      <c r="E217">
        <f>COUNTIF(data.SampSummary!$C$2:$C$958,C217)</f>
        <v>2</v>
      </c>
    </row>
    <row r="218" spans="1:5" x14ac:dyDescent="0.25">
      <c r="A218" t="s">
        <v>166</v>
      </c>
      <c r="B218" s="5">
        <v>39932</v>
      </c>
      <c r="C218" s="5" t="str">
        <f t="shared" si="3"/>
        <v>SPMLC013.56_39932</v>
      </c>
      <c r="D218" t="s">
        <v>1596</v>
      </c>
      <c r="E218">
        <f>COUNTIF(data.SampSummary!$C$2:$C$958,C218)</f>
        <v>1</v>
      </c>
    </row>
    <row r="219" spans="1:5" x14ac:dyDescent="0.25">
      <c r="A219" t="s">
        <v>279</v>
      </c>
      <c r="B219" s="5">
        <v>37046</v>
      </c>
      <c r="C219" s="5" t="str">
        <f t="shared" si="3"/>
        <v>MGHSR085.79_37046</v>
      </c>
      <c r="D219" t="s">
        <v>1597</v>
      </c>
      <c r="E219">
        <f>COUNTIF(data.SampSummary!$C$2:$C$958,C219)</f>
        <v>1</v>
      </c>
    </row>
    <row r="220" spans="1:5" x14ac:dyDescent="0.25">
      <c r="A220" t="s">
        <v>173</v>
      </c>
      <c r="B220" s="5">
        <v>41757</v>
      </c>
      <c r="C220" s="5" t="str">
        <f t="shared" si="3"/>
        <v>LCROS000.25_41757</v>
      </c>
      <c r="D220" t="s">
        <v>1598</v>
      </c>
      <c r="E220">
        <f>COUNTIF(data.SampSummary!$C$2:$C$958,C220)</f>
        <v>1</v>
      </c>
    </row>
    <row r="221" spans="1:5" x14ac:dyDescent="0.25">
      <c r="A221" t="s">
        <v>1513</v>
      </c>
      <c r="B221" s="5">
        <v>39960</v>
      </c>
      <c r="C221" s="5" t="str">
        <f t="shared" si="3"/>
        <v>SPSPR117.97_39960</v>
      </c>
      <c r="D221" t="s">
        <v>1599</v>
      </c>
      <c r="E221">
        <f>COUNTIF(data.SampSummary!$C$2:$C$958,C221)</f>
        <v>0</v>
      </c>
    </row>
    <row r="222" spans="1:5" x14ac:dyDescent="0.25">
      <c r="A222" t="s">
        <v>1600</v>
      </c>
      <c r="B222" s="5">
        <v>42641</v>
      </c>
      <c r="C222" s="5" t="str">
        <f t="shared" si="3"/>
        <v>SRREY001.45_42641</v>
      </c>
      <c r="D222" t="s">
        <v>1601</v>
      </c>
      <c r="E222">
        <f>COUNTIF(data.SampSummary!$C$2:$C$958,C222)</f>
        <v>0</v>
      </c>
    </row>
    <row r="223" spans="1:5" x14ac:dyDescent="0.25">
      <c r="A223" t="s">
        <v>228</v>
      </c>
      <c r="B223" s="5">
        <v>41066</v>
      </c>
      <c r="C223" s="5" t="str">
        <f t="shared" si="3"/>
        <v>MGHSR048.20_41066</v>
      </c>
      <c r="D223" t="s">
        <v>1602</v>
      </c>
      <c r="E223">
        <f>COUNTIF(data.SampSummary!$C$2:$C$958,C223)</f>
        <v>1</v>
      </c>
    </row>
    <row r="224" spans="1:5" x14ac:dyDescent="0.25">
      <c r="A224" t="s">
        <v>137</v>
      </c>
      <c r="B224" s="5">
        <v>39182</v>
      </c>
      <c r="C224" s="5" t="str">
        <f t="shared" si="3"/>
        <v>LCCOY000.71_39182</v>
      </c>
      <c r="D224" t="s">
        <v>1603</v>
      </c>
      <c r="E224">
        <f>COUNTIF(data.SampSummary!$C$2:$C$958,C224)</f>
        <v>1</v>
      </c>
    </row>
    <row r="225" spans="1:5" x14ac:dyDescent="0.25">
      <c r="A225" t="s">
        <v>326</v>
      </c>
      <c r="B225" s="5">
        <v>38825</v>
      </c>
      <c r="C225" s="5" t="str">
        <f t="shared" si="3"/>
        <v>UGSFR006.42_38825</v>
      </c>
      <c r="D225" t="s">
        <v>1604</v>
      </c>
      <c r="E225">
        <f>COUNTIF(data.SampSummary!$C$2:$C$958,C225)</f>
        <v>1</v>
      </c>
    </row>
    <row r="226" spans="1:5" x14ac:dyDescent="0.25">
      <c r="A226" t="s">
        <v>229</v>
      </c>
      <c r="B226" s="5">
        <v>40316</v>
      </c>
      <c r="C226" s="5" t="str">
        <f t="shared" si="3"/>
        <v>BWBSR034.68_40316</v>
      </c>
      <c r="D226" t="s">
        <v>1605</v>
      </c>
      <c r="E226">
        <f>COUNTIF(data.SampSummary!$C$2:$C$958,C226)</f>
        <v>0</v>
      </c>
    </row>
    <row r="227" spans="1:5" x14ac:dyDescent="0.25">
      <c r="A227" t="s">
        <v>312</v>
      </c>
      <c r="B227" s="5">
        <v>38105</v>
      </c>
      <c r="C227" s="5" t="str">
        <f t="shared" si="3"/>
        <v>VRRED004.17_38105</v>
      </c>
      <c r="D227" t="s">
        <v>1606</v>
      </c>
      <c r="E227">
        <f>COUNTIF(data.SampSummary!$C$2:$C$958,C227)</f>
        <v>1</v>
      </c>
    </row>
    <row r="228" spans="1:5" x14ac:dyDescent="0.25">
      <c r="A228" t="s">
        <v>66</v>
      </c>
      <c r="B228" s="5">
        <v>41444</v>
      </c>
      <c r="C228" s="5" t="str">
        <f t="shared" si="3"/>
        <v>SRBLR102.24_41444</v>
      </c>
      <c r="D228" t="s">
        <v>1607</v>
      </c>
      <c r="E228">
        <f>COUNTIF(data.SampSummary!$C$2:$C$958,C228)</f>
        <v>1</v>
      </c>
    </row>
    <row r="229" spans="1:5" x14ac:dyDescent="0.25">
      <c r="A229" t="s">
        <v>327</v>
      </c>
      <c r="B229" s="5">
        <v>38111</v>
      </c>
      <c r="C229" s="5" t="str">
        <f t="shared" si="3"/>
        <v>VRVER179.25_38111</v>
      </c>
      <c r="D229" t="s">
        <v>1608</v>
      </c>
      <c r="E229">
        <f>COUNTIF(data.SampSummary!$C$2:$C$958,C229)</f>
        <v>1</v>
      </c>
    </row>
    <row r="230" spans="1:5" x14ac:dyDescent="0.25">
      <c r="A230" t="s">
        <v>193</v>
      </c>
      <c r="B230" s="5">
        <v>41386</v>
      </c>
      <c r="C230" s="5" t="str">
        <f t="shared" si="3"/>
        <v>VRSYW001.72_41386</v>
      </c>
      <c r="D230" t="s">
        <v>1609</v>
      </c>
      <c r="E230">
        <f>COUNTIF(data.SampSummary!$C$2:$C$958,C230)</f>
        <v>1</v>
      </c>
    </row>
    <row r="231" spans="1:5" x14ac:dyDescent="0.25">
      <c r="A231" t="s">
        <v>118</v>
      </c>
      <c r="B231" s="5">
        <v>41771</v>
      </c>
      <c r="C231" s="5" t="str">
        <f t="shared" si="3"/>
        <v>LCSIL027.05_41771</v>
      </c>
      <c r="D231" t="s">
        <v>1610</v>
      </c>
      <c r="E231">
        <f>COUNTIF(data.SampSummary!$C$2:$C$958,C231)</f>
        <v>1</v>
      </c>
    </row>
    <row r="232" spans="1:5" x14ac:dyDescent="0.25">
      <c r="A232" t="s">
        <v>60</v>
      </c>
      <c r="B232" s="5">
        <v>41746</v>
      </c>
      <c r="C232" s="5" t="str">
        <f t="shared" si="3"/>
        <v>VREVR051.15_41746</v>
      </c>
      <c r="D232" t="s">
        <v>1611</v>
      </c>
      <c r="E232">
        <f>COUNTIF(data.SampSummary!$C$2:$C$958,C232)</f>
        <v>1</v>
      </c>
    </row>
    <row r="233" spans="1:5" x14ac:dyDescent="0.25">
      <c r="A233" t="s">
        <v>37</v>
      </c>
      <c r="B233" s="5">
        <v>39609</v>
      </c>
      <c r="C233" s="5" t="str">
        <f t="shared" si="3"/>
        <v>VRWOK000.82_39609</v>
      </c>
      <c r="D233" t="s">
        <v>1612</v>
      </c>
      <c r="E233">
        <f>COUNTIF(data.SampSummary!$C$2:$C$958,C233)</f>
        <v>1</v>
      </c>
    </row>
    <row r="234" spans="1:5" x14ac:dyDescent="0.25">
      <c r="A234" t="s">
        <v>1613</v>
      </c>
      <c r="B234" s="5">
        <v>38461</v>
      </c>
      <c r="C234" s="5" t="str">
        <f t="shared" si="3"/>
        <v>MGQEN037.47_38461</v>
      </c>
      <c r="D234" t="s">
        <v>1614</v>
      </c>
      <c r="E234">
        <f>COUNTIF(data.SampSummary!$C$2:$C$958,C234)</f>
        <v>0</v>
      </c>
    </row>
    <row r="235" spans="1:5" x14ac:dyDescent="0.25">
      <c r="A235" t="s">
        <v>57</v>
      </c>
      <c r="B235" s="5">
        <v>41444</v>
      </c>
      <c r="C235" s="5" t="str">
        <f t="shared" si="3"/>
        <v>SREFB008.27_41444</v>
      </c>
      <c r="D235" t="s">
        <v>1615</v>
      </c>
      <c r="E235">
        <f>COUNTIF(data.SampSummary!$C$2:$C$958,C235)</f>
        <v>1</v>
      </c>
    </row>
    <row r="236" spans="1:5" x14ac:dyDescent="0.25">
      <c r="A236" t="s">
        <v>192</v>
      </c>
      <c r="B236" s="5">
        <v>36641</v>
      </c>
      <c r="C236" s="5" t="str">
        <f t="shared" si="3"/>
        <v>SPSPR150.09_36641</v>
      </c>
      <c r="D236" t="s">
        <v>1616</v>
      </c>
      <c r="E236">
        <f>COUNTIF(data.SampSummary!$C$2:$C$958,C236)</f>
        <v>0</v>
      </c>
    </row>
    <row r="237" spans="1:5" x14ac:dyDescent="0.25">
      <c r="A237" t="s">
        <v>318</v>
      </c>
      <c r="B237" s="5">
        <v>42499</v>
      </c>
      <c r="C237" s="5" t="str">
        <f t="shared" si="3"/>
        <v>VROAK042.78_42499</v>
      </c>
      <c r="D237" t="s">
        <v>1617</v>
      </c>
      <c r="E237">
        <f>COUNTIF(data.SampSummary!$C$2:$C$958,C237)</f>
        <v>1</v>
      </c>
    </row>
    <row r="238" spans="1:5" x14ac:dyDescent="0.25">
      <c r="A238" t="s">
        <v>1618</v>
      </c>
      <c r="B238" s="5">
        <v>39560</v>
      </c>
      <c r="C238" s="5" t="str">
        <f t="shared" si="3"/>
        <v>VRGRA033.51_39560</v>
      </c>
      <c r="D238" t="s">
        <v>1619</v>
      </c>
      <c r="E238">
        <f>COUNTIF(data.SampSummary!$C$2:$C$958,C238)</f>
        <v>0</v>
      </c>
    </row>
    <row r="239" spans="1:5" x14ac:dyDescent="0.25">
      <c r="A239" t="s">
        <v>37</v>
      </c>
      <c r="B239" s="5">
        <v>35922</v>
      </c>
      <c r="C239" s="5" t="str">
        <f t="shared" si="3"/>
        <v>VRWOK000.82_35922</v>
      </c>
      <c r="D239" t="s">
        <v>1620</v>
      </c>
      <c r="E239">
        <f>COUNTIF(data.SampSummary!$C$2:$C$958,C239)</f>
        <v>1</v>
      </c>
    </row>
    <row r="240" spans="1:5" x14ac:dyDescent="0.25">
      <c r="A240" t="s">
        <v>279</v>
      </c>
      <c r="B240" s="5">
        <v>38478</v>
      </c>
      <c r="C240" s="5" t="str">
        <f t="shared" si="3"/>
        <v>MGHSR085.79_38478</v>
      </c>
      <c r="D240" t="s">
        <v>1621</v>
      </c>
      <c r="E240">
        <f>COUNTIF(data.SampSummary!$C$2:$C$958,C240)</f>
        <v>1</v>
      </c>
    </row>
    <row r="241" spans="1:5" x14ac:dyDescent="0.25">
      <c r="A241" t="s">
        <v>286</v>
      </c>
      <c r="B241" s="5">
        <v>38912</v>
      </c>
      <c r="C241" s="5" t="str">
        <f t="shared" si="3"/>
        <v>CGSHI000.05_38912</v>
      </c>
      <c r="D241" t="s">
        <v>1622</v>
      </c>
      <c r="E241">
        <f>COUNTIF(data.SampSummary!$C$2:$C$958,C241)</f>
        <v>1</v>
      </c>
    </row>
    <row r="242" spans="1:5" x14ac:dyDescent="0.25">
      <c r="A242" t="s">
        <v>355</v>
      </c>
      <c r="B242" s="5">
        <v>42500</v>
      </c>
      <c r="C242" s="5" t="str">
        <f t="shared" si="3"/>
        <v>VRSPN002.92_42500</v>
      </c>
      <c r="D242" t="s">
        <v>1623</v>
      </c>
      <c r="E242">
        <f>COUNTIF(data.SampSummary!$C$2:$C$958,C242)</f>
        <v>1</v>
      </c>
    </row>
    <row r="243" spans="1:5" x14ac:dyDescent="0.25">
      <c r="A243" t="s">
        <v>162</v>
      </c>
      <c r="B243" s="5">
        <v>42156</v>
      </c>
      <c r="C243" s="5" t="str">
        <f t="shared" si="3"/>
        <v>UGBLR028.77_42156</v>
      </c>
      <c r="D243" t="s">
        <v>1624</v>
      </c>
      <c r="E243">
        <f>COUNTIF(data.SampSummary!$C$2:$C$958,C243)</f>
        <v>2</v>
      </c>
    </row>
    <row r="244" spans="1:5" x14ac:dyDescent="0.25">
      <c r="A244" t="s">
        <v>30</v>
      </c>
      <c r="B244" s="5">
        <v>41779</v>
      </c>
      <c r="C244" s="5" t="str">
        <f t="shared" si="3"/>
        <v>LCNUT025.35_41779</v>
      </c>
      <c r="D244" t="s">
        <v>1625</v>
      </c>
      <c r="E244">
        <f>COUNTIF(data.SampSummary!$C$2:$C$958,C244)</f>
        <v>1</v>
      </c>
    </row>
    <row r="245" spans="1:5" x14ac:dyDescent="0.25">
      <c r="A245" t="s">
        <v>136</v>
      </c>
      <c r="B245" s="5">
        <v>39755</v>
      </c>
      <c r="C245" s="5" t="str">
        <f t="shared" si="3"/>
        <v>LCLCR342.03_39755</v>
      </c>
      <c r="D245" t="s">
        <v>1626</v>
      </c>
      <c r="E245">
        <f>COUNTIF(data.SampSummary!$C$2:$C$958,C245)</f>
        <v>0</v>
      </c>
    </row>
    <row r="246" spans="1:5" x14ac:dyDescent="0.25">
      <c r="A246" t="s">
        <v>112</v>
      </c>
      <c r="B246" s="5">
        <v>39744</v>
      </c>
      <c r="C246" s="5" t="str">
        <f t="shared" si="3"/>
        <v>LCSHL031.05_39744</v>
      </c>
      <c r="D246" t="s">
        <v>1627</v>
      </c>
      <c r="E246">
        <f>COUNTIF(data.SampSummary!$C$2:$C$958,C246)</f>
        <v>0</v>
      </c>
    </row>
    <row r="247" spans="1:5" x14ac:dyDescent="0.25">
      <c r="A247" t="s">
        <v>174</v>
      </c>
      <c r="B247" s="5">
        <v>39252</v>
      </c>
      <c r="C247" s="5" t="str">
        <f t="shared" si="3"/>
        <v>LCCHC081.26_39252</v>
      </c>
      <c r="D247" t="s">
        <v>1628</v>
      </c>
      <c r="E247">
        <f>COUNTIF(data.SampSummary!$C$2:$C$958,C247)</f>
        <v>1</v>
      </c>
    </row>
    <row r="248" spans="1:5" x14ac:dyDescent="0.25">
      <c r="A248" t="s">
        <v>212</v>
      </c>
      <c r="B248" s="5">
        <v>40339</v>
      </c>
      <c r="C248" s="5" t="str">
        <f t="shared" si="3"/>
        <v>BWBWR025.86_40339</v>
      </c>
      <c r="D248" t="s">
        <v>1629</v>
      </c>
      <c r="E248">
        <f>COUNTIF(data.SampSummary!$C$2:$C$958,C248)</f>
        <v>1</v>
      </c>
    </row>
    <row r="249" spans="1:5" x14ac:dyDescent="0.25">
      <c r="A249" t="s">
        <v>1630</v>
      </c>
      <c r="B249" s="5">
        <v>38518</v>
      </c>
      <c r="C249" s="5" t="str">
        <f t="shared" si="3"/>
        <v>SPWRC000.09_38518</v>
      </c>
      <c r="D249" t="s">
        <v>1631</v>
      </c>
      <c r="E249">
        <f>COUNTIF(data.SampSummary!$C$2:$C$958,C249)</f>
        <v>0</v>
      </c>
    </row>
    <row r="250" spans="1:5" x14ac:dyDescent="0.25">
      <c r="A250" t="s">
        <v>385</v>
      </c>
      <c r="B250" s="5">
        <v>40295</v>
      </c>
      <c r="C250" s="5" t="str">
        <f t="shared" si="3"/>
        <v>CGBDW000.99_40295</v>
      </c>
      <c r="D250" t="s">
        <v>1632</v>
      </c>
      <c r="E250">
        <f>COUNTIF(data.SampSummary!$C$2:$C$958,C250)</f>
        <v>1</v>
      </c>
    </row>
    <row r="251" spans="1:5" x14ac:dyDescent="0.25">
      <c r="A251" t="s">
        <v>199</v>
      </c>
      <c r="B251" s="5">
        <v>41401</v>
      </c>
      <c r="C251" s="5" t="str">
        <f t="shared" si="3"/>
        <v>UGBON006.41_41401</v>
      </c>
      <c r="D251" t="s">
        <v>1633</v>
      </c>
      <c r="E251">
        <f>COUNTIF(data.SampSummary!$C$2:$C$958,C251)</f>
        <v>1</v>
      </c>
    </row>
    <row r="252" spans="1:5" x14ac:dyDescent="0.25">
      <c r="A252" t="s">
        <v>1634</v>
      </c>
      <c r="B252" s="5">
        <v>41827</v>
      </c>
      <c r="C252" s="5" t="str">
        <f t="shared" si="3"/>
        <v>UGEAG049.82_41827</v>
      </c>
      <c r="D252" t="s">
        <v>1635</v>
      </c>
      <c r="E252">
        <f>COUNTIF(data.SampSummary!$C$2:$C$958,C252)</f>
        <v>0</v>
      </c>
    </row>
    <row r="253" spans="1:5" x14ac:dyDescent="0.25">
      <c r="A253" t="s">
        <v>71</v>
      </c>
      <c r="B253" s="5">
        <v>38504</v>
      </c>
      <c r="C253" s="5" t="str">
        <f t="shared" si="3"/>
        <v>SRTON056.39_38504</v>
      </c>
      <c r="D253" t="s">
        <v>1636</v>
      </c>
      <c r="E253">
        <f>COUNTIF(data.SampSummary!$C$2:$C$958,C253)</f>
        <v>1</v>
      </c>
    </row>
    <row r="254" spans="1:5" x14ac:dyDescent="0.25">
      <c r="A254" t="s">
        <v>1637</v>
      </c>
      <c r="B254" s="5">
        <v>42529</v>
      </c>
      <c r="C254" s="5" t="str">
        <f t="shared" si="3"/>
        <v>VRAPA002.31_42529</v>
      </c>
      <c r="D254" t="s">
        <v>1638</v>
      </c>
      <c r="E254">
        <f>COUNTIF(data.SampSummary!$C$2:$C$958,C254)</f>
        <v>0</v>
      </c>
    </row>
    <row r="255" spans="1:5" x14ac:dyDescent="0.25">
      <c r="A255" t="s">
        <v>217</v>
      </c>
      <c r="B255" s="5">
        <v>36665</v>
      </c>
      <c r="C255" s="5" t="str">
        <f t="shared" si="3"/>
        <v>SPARA010.19_36665</v>
      </c>
      <c r="D255" t="s">
        <v>1639</v>
      </c>
      <c r="E255">
        <f>COUNTIF(data.SampSummary!$C$2:$C$958,C255)</f>
        <v>1</v>
      </c>
    </row>
    <row r="256" spans="1:5" x14ac:dyDescent="0.25">
      <c r="A256" t="s">
        <v>267</v>
      </c>
      <c r="B256" s="5">
        <v>38106</v>
      </c>
      <c r="C256" s="5" t="str">
        <f t="shared" si="3"/>
        <v>VRSYH000.25_38106</v>
      </c>
      <c r="D256" t="s">
        <v>1640</v>
      </c>
      <c r="E256">
        <f>COUNTIF(data.SampSummary!$C$2:$C$958,C256)</f>
        <v>1</v>
      </c>
    </row>
    <row r="257" spans="1:5" x14ac:dyDescent="0.25">
      <c r="A257" t="s">
        <v>170</v>
      </c>
      <c r="B257" s="5">
        <v>41752</v>
      </c>
      <c r="C257" s="5" t="str">
        <f t="shared" si="3"/>
        <v>SRTON058.63_41752</v>
      </c>
      <c r="D257" t="s">
        <v>1641</v>
      </c>
      <c r="E257">
        <f>COUNTIF(data.SampSummary!$C$2:$C$958,C257)</f>
        <v>1</v>
      </c>
    </row>
    <row r="258" spans="1:5" x14ac:dyDescent="0.25">
      <c r="A258" t="s">
        <v>18</v>
      </c>
      <c r="B258" s="5">
        <v>35548</v>
      </c>
      <c r="C258" s="5" t="str">
        <f t="shared" si="3"/>
        <v>SPGRA007.71_35548</v>
      </c>
      <c r="D258" t="s">
        <v>1642</v>
      </c>
      <c r="E258">
        <f>COUNTIF(data.SampSummary!$C$2:$C$958,C258)</f>
        <v>1</v>
      </c>
    </row>
    <row r="259" spans="1:5" x14ac:dyDescent="0.25">
      <c r="A259" t="s">
        <v>45</v>
      </c>
      <c r="B259" s="5">
        <v>40702</v>
      </c>
      <c r="C259" s="5" t="str">
        <f t="shared" ref="C259:C322" si="4">A259&amp;"_"&amp;B259</f>
        <v>SRREY001.14_40702</v>
      </c>
      <c r="D259" t="s">
        <v>1643</v>
      </c>
      <c r="E259">
        <f>COUNTIF(data.SampSummary!$C$2:$C$958,C259)</f>
        <v>1</v>
      </c>
    </row>
    <row r="260" spans="1:5" x14ac:dyDescent="0.25">
      <c r="A260" t="s">
        <v>262</v>
      </c>
      <c r="B260" s="5">
        <v>36655</v>
      </c>
      <c r="C260" s="5" t="str">
        <f t="shared" si="4"/>
        <v>UGEAG040.33_36655</v>
      </c>
      <c r="D260" t="s">
        <v>1644</v>
      </c>
      <c r="E260">
        <f>COUNTIF(data.SampSummary!$C$2:$C$958,C260)</f>
        <v>1</v>
      </c>
    </row>
    <row r="261" spans="1:5" x14ac:dyDescent="0.25">
      <c r="A261" t="s">
        <v>365</v>
      </c>
      <c r="B261" s="5">
        <v>42466</v>
      </c>
      <c r="C261" s="5" t="str">
        <f t="shared" si="4"/>
        <v>SCSCR103.45_42466</v>
      </c>
      <c r="D261" t="s">
        <v>1645</v>
      </c>
      <c r="E261">
        <f>COUNTIF(data.SampSummary!$C$2:$C$958,C261)</f>
        <v>1</v>
      </c>
    </row>
    <row r="262" spans="1:5" x14ac:dyDescent="0.25">
      <c r="A262" t="s">
        <v>328</v>
      </c>
      <c r="B262" s="5">
        <v>39945</v>
      </c>
      <c r="C262" s="5" t="str">
        <f t="shared" si="4"/>
        <v>UGSFR019.04_39945</v>
      </c>
      <c r="D262" t="s">
        <v>1646</v>
      </c>
      <c r="E262">
        <f>COUNTIF(data.SampSummary!$C$2:$C$958,C262)</f>
        <v>0</v>
      </c>
    </row>
    <row r="263" spans="1:5" x14ac:dyDescent="0.25">
      <c r="A263" t="s">
        <v>313</v>
      </c>
      <c r="B263" s="5">
        <v>41395</v>
      </c>
      <c r="C263" s="5" t="str">
        <f t="shared" si="4"/>
        <v>VRFOS011.88_41395</v>
      </c>
      <c r="D263" t="s">
        <v>1647</v>
      </c>
      <c r="E263">
        <f>COUNTIF(data.SampSummary!$C$2:$C$958,C263)</f>
        <v>1</v>
      </c>
    </row>
    <row r="264" spans="1:5" x14ac:dyDescent="0.25">
      <c r="A264" t="s">
        <v>1648</v>
      </c>
      <c r="B264" s="5">
        <v>38098</v>
      </c>
      <c r="C264" s="5" t="str">
        <f t="shared" si="4"/>
        <v>SCSAB004.49_38098</v>
      </c>
      <c r="D264" t="s">
        <v>1649</v>
      </c>
      <c r="E264">
        <f>COUNTIF(data.SampSummary!$C$2:$C$958,C264)</f>
        <v>0</v>
      </c>
    </row>
    <row r="265" spans="1:5" x14ac:dyDescent="0.25">
      <c r="A265" t="s">
        <v>1650</v>
      </c>
      <c r="B265" s="5">
        <v>35515</v>
      </c>
      <c r="C265" s="5" t="str">
        <f t="shared" si="4"/>
        <v>VRAPA007.76_35515</v>
      </c>
      <c r="D265" t="s">
        <v>1651</v>
      </c>
      <c r="E265">
        <f>COUNTIF(data.SampSummary!$C$2:$C$958,C265)</f>
        <v>0</v>
      </c>
    </row>
    <row r="266" spans="1:5" x14ac:dyDescent="0.25">
      <c r="A266" t="s">
        <v>1652</v>
      </c>
      <c r="B266" s="5">
        <v>42514</v>
      </c>
      <c r="C266" s="5" t="str">
        <f t="shared" si="4"/>
        <v>BWBRO037.65_42514</v>
      </c>
      <c r="D266" t="s">
        <v>1653</v>
      </c>
      <c r="E266">
        <f>COUNTIF(data.SampSummary!$C$2:$C$958,C266)</f>
        <v>0</v>
      </c>
    </row>
    <row r="267" spans="1:5" x14ac:dyDescent="0.25">
      <c r="A267" t="s">
        <v>86</v>
      </c>
      <c r="B267" s="5">
        <v>39616</v>
      </c>
      <c r="C267" s="5" t="str">
        <f t="shared" si="4"/>
        <v>SRWFB005.34_39616</v>
      </c>
      <c r="D267" t="s">
        <v>1654</v>
      </c>
      <c r="E267">
        <f>COUNTIF(data.SampSummary!$C$2:$C$958,C267)</f>
        <v>1</v>
      </c>
    </row>
    <row r="268" spans="1:5" x14ac:dyDescent="0.25">
      <c r="A268" t="s">
        <v>226</v>
      </c>
      <c r="B268" s="5">
        <v>41072</v>
      </c>
      <c r="C268" s="5" t="str">
        <f t="shared" si="4"/>
        <v>MGSYD009.13_41072</v>
      </c>
      <c r="D268" t="s">
        <v>1655</v>
      </c>
      <c r="E268">
        <f>COUNTIF(data.SampSummary!$C$2:$C$958,C268)</f>
        <v>1</v>
      </c>
    </row>
    <row r="269" spans="1:5" x14ac:dyDescent="0.25">
      <c r="A269" t="s">
        <v>78</v>
      </c>
      <c r="B269" s="5">
        <v>37419</v>
      </c>
      <c r="C269" s="5" t="str">
        <f t="shared" si="4"/>
        <v>SRHAY000.04_37419</v>
      </c>
      <c r="D269" t="s">
        <v>1656</v>
      </c>
      <c r="E269">
        <f>COUNTIF(data.SampSummary!$C$2:$C$958,C269)</f>
        <v>1</v>
      </c>
    </row>
    <row r="270" spans="1:5" x14ac:dyDescent="0.25">
      <c r="A270" t="s">
        <v>1387</v>
      </c>
      <c r="B270" s="5">
        <v>35528</v>
      </c>
      <c r="C270" s="5" t="str">
        <f t="shared" si="4"/>
        <v>SRFSH006.38_35528</v>
      </c>
      <c r="D270" t="s">
        <v>1657</v>
      </c>
      <c r="E270">
        <f>COUNTIF(data.SampSummary!$C$2:$C$958,C270)</f>
        <v>0</v>
      </c>
    </row>
    <row r="271" spans="1:5" x14ac:dyDescent="0.25">
      <c r="A271" t="s">
        <v>71</v>
      </c>
      <c r="B271" s="5">
        <v>37748</v>
      </c>
      <c r="C271" s="5" t="str">
        <f t="shared" si="4"/>
        <v>SRTON056.39_37748</v>
      </c>
      <c r="D271" t="s">
        <v>1658</v>
      </c>
      <c r="E271">
        <f>COUNTIF(data.SampSummary!$C$2:$C$958,C271)</f>
        <v>1</v>
      </c>
    </row>
    <row r="272" spans="1:5" x14ac:dyDescent="0.25">
      <c r="A272" t="s">
        <v>1659</v>
      </c>
      <c r="B272" s="5">
        <v>39560</v>
      </c>
      <c r="C272" s="5" t="str">
        <f t="shared" si="4"/>
        <v>VRMIL000.22_39560</v>
      </c>
      <c r="D272" t="s">
        <v>1660</v>
      </c>
      <c r="E272">
        <f>COUNTIF(data.SampSummary!$C$2:$C$958,C272)</f>
        <v>0</v>
      </c>
    </row>
    <row r="273" spans="1:5" x14ac:dyDescent="0.25">
      <c r="A273" t="s">
        <v>275</v>
      </c>
      <c r="B273" s="5">
        <v>41072</v>
      </c>
      <c r="C273" s="5" t="str">
        <f t="shared" si="4"/>
        <v>MGLAS004.52_41072</v>
      </c>
      <c r="D273" t="s">
        <v>1661</v>
      </c>
      <c r="E273">
        <f>COUNTIF(data.SampSummary!$C$2:$C$958,C273)</f>
        <v>1</v>
      </c>
    </row>
    <row r="274" spans="1:5" x14ac:dyDescent="0.25">
      <c r="A274" t="s">
        <v>39</v>
      </c>
      <c r="B274" s="5">
        <v>38833</v>
      </c>
      <c r="C274" s="5" t="str">
        <f t="shared" si="4"/>
        <v>UGFRY009.52_38833</v>
      </c>
      <c r="D274" t="s">
        <v>1662</v>
      </c>
      <c r="E274">
        <f>COUNTIF(data.SampSummary!$C$2:$C$958,C274)</f>
        <v>1</v>
      </c>
    </row>
    <row r="275" spans="1:5" x14ac:dyDescent="0.25">
      <c r="A275" t="s">
        <v>1663</v>
      </c>
      <c r="B275" s="5">
        <v>36993</v>
      </c>
      <c r="C275" s="5" t="str">
        <f t="shared" si="4"/>
        <v>SCSCR169.35_36993</v>
      </c>
      <c r="D275" t="s">
        <v>1664</v>
      </c>
      <c r="E275">
        <f>COUNTIF(data.SampSummary!$C$2:$C$958,C275)</f>
        <v>0</v>
      </c>
    </row>
    <row r="276" spans="1:5" x14ac:dyDescent="0.25">
      <c r="A276" t="s">
        <v>52</v>
      </c>
      <c r="B276" s="5">
        <v>39982</v>
      </c>
      <c r="C276" s="5" t="str">
        <f t="shared" si="4"/>
        <v>UGCAV016.84_39982</v>
      </c>
      <c r="D276" t="s">
        <v>1665</v>
      </c>
      <c r="E276">
        <f>COUNTIF(data.SampSummary!$C$2:$C$958,C276)</f>
        <v>1</v>
      </c>
    </row>
    <row r="277" spans="1:5" x14ac:dyDescent="0.25">
      <c r="A277" t="s">
        <v>1666</v>
      </c>
      <c r="B277" s="5">
        <v>40616</v>
      </c>
      <c r="C277" s="5" t="str">
        <f t="shared" si="4"/>
        <v>VRSYM021.25_40616</v>
      </c>
      <c r="D277" t="s">
        <v>1667</v>
      </c>
      <c r="E277">
        <f>COUNTIF(data.SampSummary!$C$2:$C$958,C277)</f>
        <v>0</v>
      </c>
    </row>
    <row r="278" spans="1:5" x14ac:dyDescent="0.25">
      <c r="A278" t="s">
        <v>316</v>
      </c>
      <c r="B278" s="5">
        <v>37383</v>
      </c>
      <c r="C278" s="5" t="str">
        <f t="shared" si="4"/>
        <v>SRCHE004.32_37383</v>
      </c>
      <c r="D278" t="s">
        <v>1668</v>
      </c>
      <c r="E278">
        <f>COUNTIF(data.SampSummary!$C$2:$C$958,C278)</f>
        <v>1</v>
      </c>
    </row>
    <row r="279" spans="1:5" x14ac:dyDescent="0.25">
      <c r="A279" t="s">
        <v>353</v>
      </c>
      <c r="B279" s="5">
        <v>42143</v>
      </c>
      <c r="C279" s="5" t="str">
        <f t="shared" si="4"/>
        <v>UGEAG013.81_42143</v>
      </c>
      <c r="D279" t="s">
        <v>1669</v>
      </c>
      <c r="E279">
        <f>COUNTIF(data.SampSummary!$C$2:$C$958,C279)</f>
        <v>1</v>
      </c>
    </row>
    <row r="280" spans="1:5" x14ac:dyDescent="0.25">
      <c r="A280" t="s">
        <v>57</v>
      </c>
      <c r="B280" s="5">
        <v>41078</v>
      </c>
      <c r="C280" s="5" t="str">
        <f t="shared" si="4"/>
        <v>SREFB008.27_41078</v>
      </c>
      <c r="D280" t="s">
        <v>1670</v>
      </c>
      <c r="E280">
        <f>COUNTIF(data.SampSummary!$C$2:$C$958,C280)</f>
        <v>1</v>
      </c>
    </row>
    <row r="281" spans="1:5" x14ac:dyDescent="0.25">
      <c r="A281" t="s">
        <v>1671</v>
      </c>
      <c r="B281" s="5">
        <v>39561</v>
      </c>
      <c r="C281" s="5" t="str">
        <f t="shared" si="4"/>
        <v>VRBAN000.06_39561</v>
      </c>
      <c r="D281" t="s">
        <v>1672</v>
      </c>
      <c r="E281">
        <f>COUNTIF(data.SampSummary!$C$2:$C$958,C281)</f>
        <v>0</v>
      </c>
    </row>
    <row r="282" spans="1:5" x14ac:dyDescent="0.25">
      <c r="A282" t="s">
        <v>289</v>
      </c>
      <c r="B282" s="5">
        <v>36627</v>
      </c>
      <c r="C282" s="5" t="str">
        <f t="shared" si="4"/>
        <v>SPARA013.78_36627</v>
      </c>
      <c r="D282" t="s">
        <v>1673</v>
      </c>
      <c r="E282">
        <f>COUNTIF(data.SampSummary!$C$2:$C$958,C282)</f>
        <v>0</v>
      </c>
    </row>
    <row r="283" spans="1:5" x14ac:dyDescent="0.25">
      <c r="A283" t="s">
        <v>313</v>
      </c>
      <c r="B283" s="5">
        <v>40708</v>
      </c>
      <c r="C283" s="5" t="str">
        <f t="shared" si="4"/>
        <v>VRFOS011.88_40708</v>
      </c>
      <c r="D283" t="s">
        <v>1674</v>
      </c>
      <c r="E283">
        <f>COUNTIF(data.SampSummary!$C$2:$C$958,C283)</f>
        <v>0</v>
      </c>
    </row>
    <row r="284" spans="1:5" x14ac:dyDescent="0.25">
      <c r="A284" t="s">
        <v>1675</v>
      </c>
      <c r="B284" s="5">
        <v>40275</v>
      </c>
      <c r="C284" s="5" t="str">
        <f t="shared" si="4"/>
        <v>VRPIN001.31_40275</v>
      </c>
      <c r="D284" t="s">
        <v>1676</v>
      </c>
      <c r="E284">
        <f>COUNTIF(data.SampSummary!$C$2:$C$958,C284)</f>
        <v>0</v>
      </c>
    </row>
    <row r="285" spans="1:5" x14ac:dyDescent="0.25">
      <c r="A285" t="s">
        <v>35</v>
      </c>
      <c r="B285" s="5">
        <v>41443</v>
      </c>
      <c r="C285" s="5" t="str">
        <f t="shared" si="4"/>
        <v>UGCMB004.23_41443</v>
      </c>
      <c r="D285" t="s">
        <v>1677</v>
      </c>
      <c r="E285">
        <f>COUNTIF(data.SampSummary!$C$2:$C$958,C285)</f>
        <v>2</v>
      </c>
    </row>
    <row r="286" spans="1:5" x14ac:dyDescent="0.25">
      <c r="A286" t="s">
        <v>104</v>
      </c>
      <c r="B286" s="5">
        <v>41080</v>
      </c>
      <c r="C286" s="5" t="str">
        <f t="shared" si="4"/>
        <v>LCWLR000.92_41080</v>
      </c>
      <c r="D286" t="s">
        <v>1678</v>
      </c>
      <c r="E286">
        <f>COUNTIF(data.SampSummary!$C$2:$C$958,C286)</f>
        <v>1</v>
      </c>
    </row>
    <row r="287" spans="1:5" x14ac:dyDescent="0.25">
      <c r="A287" t="s">
        <v>350</v>
      </c>
      <c r="B287" s="5">
        <v>39217</v>
      </c>
      <c r="C287" s="5" t="str">
        <f t="shared" si="4"/>
        <v>UGGLR448.61_39217</v>
      </c>
      <c r="D287" t="s">
        <v>1679</v>
      </c>
      <c r="E287">
        <f>COUNTIF(data.SampSummary!$C$2:$C$958,C287)</f>
        <v>1</v>
      </c>
    </row>
    <row r="288" spans="1:5" x14ac:dyDescent="0.25">
      <c r="A288" t="s">
        <v>142</v>
      </c>
      <c r="B288" s="5">
        <v>40359</v>
      </c>
      <c r="C288" s="5" t="str">
        <f t="shared" si="4"/>
        <v>LCLCR336.72_40359</v>
      </c>
      <c r="D288" t="s">
        <v>1680</v>
      </c>
      <c r="E288">
        <f>COUNTIF(data.SampSummary!$C$2:$C$958,C288)</f>
        <v>1</v>
      </c>
    </row>
    <row r="289" spans="1:5" x14ac:dyDescent="0.25">
      <c r="A289" t="s">
        <v>114</v>
      </c>
      <c r="B289" s="5">
        <v>41772</v>
      </c>
      <c r="C289" s="5" t="str">
        <f t="shared" si="4"/>
        <v>LCBIL000.15_41772</v>
      </c>
      <c r="D289" t="s">
        <v>1681</v>
      </c>
      <c r="E289">
        <f>COUNTIF(data.SampSummary!$C$2:$C$958,C289)</f>
        <v>2</v>
      </c>
    </row>
    <row r="290" spans="1:5" x14ac:dyDescent="0.25">
      <c r="A290" t="s">
        <v>197</v>
      </c>
      <c r="B290" s="5">
        <v>39756</v>
      </c>
      <c r="C290" s="5" t="str">
        <f t="shared" si="4"/>
        <v>SRTON053.87_39756</v>
      </c>
      <c r="D290" t="s">
        <v>1682</v>
      </c>
      <c r="E290">
        <f>COUNTIF(data.SampSummary!$C$2:$C$958,C290)</f>
        <v>0</v>
      </c>
    </row>
    <row r="291" spans="1:5" x14ac:dyDescent="0.25">
      <c r="A291" t="s">
        <v>360</v>
      </c>
      <c r="B291" s="5">
        <v>40675</v>
      </c>
      <c r="C291" s="5" t="str">
        <f t="shared" si="4"/>
        <v>SCSCR039.63_40675</v>
      </c>
      <c r="D291" t="s">
        <v>1683</v>
      </c>
      <c r="E291">
        <f>COUNTIF(data.SampSummary!$C$2:$C$958,C291)</f>
        <v>1</v>
      </c>
    </row>
    <row r="292" spans="1:5" x14ac:dyDescent="0.25">
      <c r="A292" t="s">
        <v>99</v>
      </c>
      <c r="B292" s="5">
        <v>40352</v>
      </c>
      <c r="C292" s="5" t="str">
        <f t="shared" si="4"/>
        <v>LCWLR004.09_40352</v>
      </c>
      <c r="D292" t="s">
        <v>1684</v>
      </c>
      <c r="E292">
        <f>COUNTIF(data.SampSummary!$C$2:$C$958,C292)</f>
        <v>1</v>
      </c>
    </row>
    <row r="293" spans="1:5" x14ac:dyDescent="0.25">
      <c r="A293" t="s">
        <v>1685</v>
      </c>
      <c r="B293" s="5">
        <v>35514</v>
      </c>
      <c r="C293" s="5" t="str">
        <f t="shared" si="4"/>
        <v>VRAPA000.03_35514</v>
      </c>
      <c r="D293" t="s">
        <v>1686</v>
      </c>
      <c r="E293">
        <f>COUNTIF(data.SampSummary!$C$2:$C$958,C293)</f>
        <v>0</v>
      </c>
    </row>
    <row r="294" spans="1:5" x14ac:dyDescent="0.25">
      <c r="A294" t="s">
        <v>315</v>
      </c>
      <c r="B294" s="5">
        <v>40288</v>
      </c>
      <c r="C294" s="5" t="str">
        <f t="shared" si="4"/>
        <v>BWBRO029.91_40288</v>
      </c>
      <c r="D294" t="s">
        <v>1687</v>
      </c>
      <c r="E294">
        <f>COUNTIF(data.SampSummary!$C$2:$C$958,C294)</f>
        <v>1</v>
      </c>
    </row>
    <row r="295" spans="1:5" x14ac:dyDescent="0.25">
      <c r="A295" t="s">
        <v>329</v>
      </c>
      <c r="B295" s="5">
        <v>40703</v>
      </c>
      <c r="C295" s="5" t="str">
        <f t="shared" si="4"/>
        <v>VRWCL010.66_40703</v>
      </c>
      <c r="D295" t="s">
        <v>1688</v>
      </c>
      <c r="E295">
        <f>COUNTIF(data.SampSummary!$C$2:$C$958,C295)</f>
        <v>2</v>
      </c>
    </row>
    <row r="296" spans="1:5" x14ac:dyDescent="0.25">
      <c r="A296" t="s">
        <v>84</v>
      </c>
      <c r="B296" s="5">
        <v>35956</v>
      </c>
      <c r="C296" s="5" t="str">
        <f t="shared" si="4"/>
        <v>SRRES000.33_35956</v>
      </c>
      <c r="D296" t="s">
        <v>1689</v>
      </c>
      <c r="E296">
        <f>COUNTIF(data.SampSummary!$C$2:$C$958,C296)</f>
        <v>1</v>
      </c>
    </row>
    <row r="297" spans="1:5" x14ac:dyDescent="0.25">
      <c r="A297" t="s">
        <v>263</v>
      </c>
      <c r="B297" s="5">
        <v>38832</v>
      </c>
      <c r="C297" s="5" t="str">
        <f t="shared" si="4"/>
        <v>UGBON003.68_38832</v>
      </c>
      <c r="D297" t="s">
        <v>1690</v>
      </c>
      <c r="E297">
        <f>COUNTIF(data.SampSummary!$C$2:$C$958,C297)</f>
        <v>1</v>
      </c>
    </row>
    <row r="298" spans="1:5" x14ac:dyDescent="0.25">
      <c r="A298" t="s">
        <v>208</v>
      </c>
      <c r="B298" s="5">
        <v>39930</v>
      </c>
      <c r="C298" s="5" t="str">
        <f t="shared" si="4"/>
        <v>SCSON014.52_39930</v>
      </c>
      <c r="D298" t="s">
        <v>1691</v>
      </c>
      <c r="E298">
        <f>COUNTIF(data.SampSummary!$C$2:$C$958,C298)</f>
        <v>1</v>
      </c>
    </row>
    <row r="299" spans="1:5" x14ac:dyDescent="0.25">
      <c r="A299" t="s">
        <v>347</v>
      </c>
      <c r="B299" s="5">
        <v>39770</v>
      </c>
      <c r="C299" s="5" t="str">
        <f t="shared" si="4"/>
        <v>SRCGN009.78_39770</v>
      </c>
      <c r="D299" t="s">
        <v>1692</v>
      </c>
      <c r="E299">
        <f>COUNTIF(data.SampSummary!$C$2:$C$958,C299)</f>
        <v>0</v>
      </c>
    </row>
    <row r="300" spans="1:5" x14ac:dyDescent="0.25">
      <c r="A300" t="s">
        <v>67</v>
      </c>
      <c r="B300" s="5">
        <v>39240</v>
      </c>
      <c r="C300" s="5" t="str">
        <f t="shared" si="4"/>
        <v>LCHAL010.20_39240</v>
      </c>
      <c r="D300" t="s">
        <v>1693</v>
      </c>
      <c r="E300">
        <f>COUNTIF(data.SampSummary!$C$2:$C$958,C300)</f>
        <v>1</v>
      </c>
    </row>
    <row r="301" spans="1:5" x14ac:dyDescent="0.25">
      <c r="A301" t="s">
        <v>206</v>
      </c>
      <c r="B301" s="5">
        <v>42129</v>
      </c>
      <c r="C301" s="5" t="str">
        <f t="shared" si="4"/>
        <v>SCSAB007.15_42129</v>
      </c>
      <c r="D301" t="s">
        <v>1694</v>
      </c>
      <c r="E301">
        <f>COUNTIF(data.SampSummary!$C$2:$C$958,C301)</f>
        <v>1</v>
      </c>
    </row>
    <row r="302" spans="1:5" x14ac:dyDescent="0.25">
      <c r="A302" t="s">
        <v>334</v>
      </c>
      <c r="B302" s="5">
        <v>40688</v>
      </c>
      <c r="C302" s="5" t="str">
        <f t="shared" si="4"/>
        <v>SRSLR139.75_40688</v>
      </c>
      <c r="D302" t="s">
        <v>1695</v>
      </c>
      <c r="E302">
        <f>COUNTIF(data.SampSummary!$C$2:$C$958,C302)</f>
        <v>1</v>
      </c>
    </row>
    <row r="303" spans="1:5" x14ac:dyDescent="0.25">
      <c r="A303" t="s">
        <v>17</v>
      </c>
      <c r="B303" s="5">
        <v>42131</v>
      </c>
      <c r="C303" s="5" t="str">
        <f t="shared" si="4"/>
        <v>SRTON062.28_42131</v>
      </c>
      <c r="D303" t="s">
        <v>1696</v>
      </c>
      <c r="E303">
        <f>COUNTIF(data.SampSummary!$C$2:$C$958,C303)</f>
        <v>1</v>
      </c>
    </row>
    <row r="304" spans="1:5" x14ac:dyDescent="0.25">
      <c r="A304" t="s">
        <v>28</v>
      </c>
      <c r="B304" s="5">
        <v>39981</v>
      </c>
      <c r="C304" s="5" t="str">
        <f t="shared" si="4"/>
        <v>UGBLR030.24_39981</v>
      </c>
      <c r="D304" t="s">
        <v>1697</v>
      </c>
      <c r="E304">
        <f>COUNTIF(data.SampSummary!$C$2:$C$958,C304)</f>
        <v>1</v>
      </c>
    </row>
    <row r="305" spans="1:5" x14ac:dyDescent="0.25">
      <c r="A305" t="s">
        <v>1698</v>
      </c>
      <c r="B305" s="5">
        <v>39561</v>
      </c>
      <c r="C305" s="5" t="str">
        <f t="shared" si="4"/>
        <v>VRGRA029.97_39561</v>
      </c>
      <c r="D305" t="s">
        <v>1699</v>
      </c>
      <c r="E305">
        <f>COUNTIF(data.SampSummary!$C$2:$C$958,C305)</f>
        <v>0</v>
      </c>
    </row>
    <row r="306" spans="1:5" x14ac:dyDescent="0.25">
      <c r="A306" t="s">
        <v>185</v>
      </c>
      <c r="B306" s="5">
        <v>41388</v>
      </c>
      <c r="C306" s="5" t="str">
        <f t="shared" si="4"/>
        <v>CGPAR000.49_41388</v>
      </c>
      <c r="D306" t="s">
        <v>1700</v>
      </c>
      <c r="E306">
        <f>COUNTIF(data.SampSummary!$C$2:$C$958,C306)</f>
        <v>2</v>
      </c>
    </row>
    <row r="307" spans="1:5" x14ac:dyDescent="0.25">
      <c r="A307" t="s">
        <v>289</v>
      </c>
      <c r="B307" s="5">
        <v>39988</v>
      </c>
      <c r="C307" s="5" t="str">
        <f t="shared" si="4"/>
        <v>SPARA013.78_39988</v>
      </c>
      <c r="D307" t="s">
        <v>1701</v>
      </c>
      <c r="E307">
        <f>COUNTIF(data.SampSummary!$C$2:$C$958,C307)</f>
        <v>1</v>
      </c>
    </row>
    <row r="308" spans="1:5" x14ac:dyDescent="0.25">
      <c r="A308" t="s">
        <v>39</v>
      </c>
      <c r="B308" s="5">
        <v>39930</v>
      </c>
      <c r="C308" s="5" t="str">
        <f t="shared" si="4"/>
        <v>UGFRY009.52_39930</v>
      </c>
      <c r="D308" t="s">
        <v>1702</v>
      </c>
      <c r="E308">
        <f>COUNTIF(data.SampSummary!$C$2:$C$958,C308)</f>
        <v>1</v>
      </c>
    </row>
    <row r="309" spans="1:5" x14ac:dyDescent="0.25">
      <c r="A309" t="s">
        <v>229</v>
      </c>
      <c r="B309" s="5">
        <v>36634</v>
      </c>
      <c r="C309" s="5" t="str">
        <f t="shared" si="4"/>
        <v>BWBSR034.68_36634</v>
      </c>
      <c r="D309" t="s">
        <v>1703</v>
      </c>
      <c r="E309">
        <f>COUNTIF(data.SampSummary!$C$2:$C$958,C309)</f>
        <v>0</v>
      </c>
    </row>
    <row r="310" spans="1:5" x14ac:dyDescent="0.25">
      <c r="A310" t="s">
        <v>190</v>
      </c>
      <c r="B310" s="5">
        <v>39909</v>
      </c>
      <c r="C310" s="5" t="str">
        <f t="shared" si="4"/>
        <v>MGAFR087.06_39909</v>
      </c>
      <c r="D310" t="s">
        <v>1704</v>
      </c>
      <c r="E310">
        <f>COUNTIF(data.SampSummary!$C$2:$C$958,C310)</f>
        <v>1</v>
      </c>
    </row>
    <row r="311" spans="1:5" x14ac:dyDescent="0.25">
      <c r="A311" t="s">
        <v>250</v>
      </c>
      <c r="B311" s="5">
        <v>40695</v>
      </c>
      <c r="C311" s="5" t="str">
        <f t="shared" si="4"/>
        <v>SRDEV000.38_40695</v>
      </c>
      <c r="D311" t="s">
        <v>1705</v>
      </c>
      <c r="E311">
        <f>COUNTIF(data.SampSummary!$C$2:$C$958,C311)</f>
        <v>1</v>
      </c>
    </row>
    <row r="312" spans="1:5" x14ac:dyDescent="0.25">
      <c r="A312" t="s">
        <v>274</v>
      </c>
      <c r="B312" s="5">
        <v>36278</v>
      </c>
      <c r="C312" s="5" t="str">
        <f t="shared" si="4"/>
        <v>VRVER165.07_36278</v>
      </c>
      <c r="D312" t="s">
        <v>1706</v>
      </c>
      <c r="E312">
        <f>COUNTIF(data.SampSummary!$C$2:$C$958,C312)</f>
        <v>1</v>
      </c>
    </row>
    <row r="313" spans="1:5" x14ac:dyDescent="0.25">
      <c r="A313" t="s">
        <v>181</v>
      </c>
      <c r="B313" s="5">
        <v>42534</v>
      </c>
      <c r="C313" s="5" t="str">
        <f t="shared" si="4"/>
        <v>SRUUE000.03_42534</v>
      </c>
      <c r="D313" t="s">
        <v>1707</v>
      </c>
      <c r="E313">
        <f>COUNTIF(data.SampSummary!$C$2:$C$958,C313)</f>
        <v>1</v>
      </c>
    </row>
    <row r="314" spans="1:5" x14ac:dyDescent="0.25">
      <c r="A314" t="s">
        <v>1568</v>
      </c>
      <c r="B314" s="5">
        <v>38911</v>
      </c>
      <c r="C314" s="5" t="str">
        <f t="shared" si="4"/>
        <v>CGMON000.19_38911</v>
      </c>
      <c r="D314" t="s">
        <v>1708</v>
      </c>
      <c r="E314">
        <f>COUNTIF(data.SampSummary!$C$2:$C$958,C314)</f>
        <v>0</v>
      </c>
    </row>
    <row r="315" spans="1:5" x14ac:dyDescent="0.25">
      <c r="A315" t="s">
        <v>183</v>
      </c>
      <c r="B315" s="5">
        <v>41015</v>
      </c>
      <c r="C315" s="5" t="str">
        <f t="shared" si="4"/>
        <v>SPSPR126.35_41015</v>
      </c>
      <c r="D315" t="s">
        <v>1709</v>
      </c>
      <c r="E315">
        <f>COUNTIF(data.SampSummary!$C$2:$C$958,C315)</f>
        <v>1</v>
      </c>
    </row>
    <row r="316" spans="1:5" x14ac:dyDescent="0.25">
      <c r="A316" t="s">
        <v>266</v>
      </c>
      <c r="B316" s="5">
        <v>41386</v>
      </c>
      <c r="C316" s="5" t="str">
        <f t="shared" si="4"/>
        <v>VRVER137.53_41386</v>
      </c>
      <c r="D316" t="s">
        <v>1710</v>
      </c>
      <c r="E316">
        <f>COUNTIF(data.SampSummary!$C$2:$C$958,C316)</f>
        <v>1</v>
      </c>
    </row>
    <row r="317" spans="1:5" x14ac:dyDescent="0.25">
      <c r="A317" t="s">
        <v>1711</v>
      </c>
      <c r="B317" s="5">
        <v>39909</v>
      </c>
      <c r="C317" s="5" t="str">
        <f t="shared" si="4"/>
        <v>MGIDN002.66_39909</v>
      </c>
      <c r="D317" t="s">
        <v>1712</v>
      </c>
      <c r="E317">
        <f>COUNTIF(data.SampSummary!$C$2:$C$958,C317)</f>
        <v>0</v>
      </c>
    </row>
    <row r="318" spans="1:5" x14ac:dyDescent="0.25">
      <c r="A318" t="s">
        <v>326</v>
      </c>
      <c r="B318" s="5">
        <v>41429</v>
      </c>
      <c r="C318" s="5" t="str">
        <f t="shared" si="4"/>
        <v>UGSFR006.42_41429</v>
      </c>
      <c r="D318" t="s">
        <v>1713</v>
      </c>
      <c r="E318">
        <f>COUNTIF(data.SampSummary!$C$2:$C$958,C318)</f>
        <v>1</v>
      </c>
    </row>
    <row r="319" spans="1:5" x14ac:dyDescent="0.25">
      <c r="A319" t="s">
        <v>330</v>
      </c>
      <c r="B319" s="5">
        <v>37762</v>
      </c>
      <c r="C319" s="5" t="str">
        <f t="shared" si="4"/>
        <v>MGGLR343.27_37762</v>
      </c>
      <c r="D319" t="s">
        <v>1714</v>
      </c>
      <c r="E319">
        <f>COUNTIF(data.SampSummary!$C$2:$C$958,C319)</f>
        <v>1</v>
      </c>
    </row>
    <row r="320" spans="1:5" x14ac:dyDescent="0.25">
      <c r="A320" t="s">
        <v>128</v>
      </c>
      <c r="B320" s="5">
        <v>37054</v>
      </c>
      <c r="C320" s="5" t="str">
        <f t="shared" si="4"/>
        <v>LCLCR340.02_37054</v>
      </c>
      <c r="D320" t="s">
        <v>1715</v>
      </c>
      <c r="E320">
        <f>COUNTIF(data.SampSummary!$C$2:$C$958,C320)</f>
        <v>1</v>
      </c>
    </row>
    <row r="321" spans="1:5" x14ac:dyDescent="0.25">
      <c r="A321" t="s">
        <v>96</v>
      </c>
      <c r="B321" s="5">
        <v>39211</v>
      </c>
      <c r="C321" s="5" t="str">
        <f t="shared" si="4"/>
        <v>LCBEN002.57_39211</v>
      </c>
      <c r="D321" t="s">
        <v>1716</v>
      </c>
      <c r="E321">
        <f>COUNTIF(data.SampSummary!$C$2:$C$958,C321)</f>
        <v>1</v>
      </c>
    </row>
    <row r="322" spans="1:5" x14ac:dyDescent="0.25">
      <c r="A322" t="s">
        <v>1717</v>
      </c>
      <c r="B322" s="5">
        <v>35925</v>
      </c>
      <c r="C322" s="5" t="str">
        <f t="shared" si="4"/>
        <v>SPCOP011.39_35925</v>
      </c>
      <c r="D322" t="s">
        <v>1718</v>
      </c>
      <c r="E322">
        <f>COUNTIF(data.SampSummary!$C$2:$C$958,C322)</f>
        <v>0</v>
      </c>
    </row>
    <row r="323" spans="1:5" x14ac:dyDescent="0.25">
      <c r="A323" t="s">
        <v>99</v>
      </c>
      <c r="B323" s="5">
        <v>37069</v>
      </c>
      <c r="C323" s="5" t="str">
        <f t="shared" ref="C323:C386" si="5">A323&amp;"_"&amp;B323</f>
        <v>LCWLR004.09_37069</v>
      </c>
      <c r="D323" t="s">
        <v>1719</v>
      </c>
      <c r="E323">
        <f>COUNTIF(data.SampSummary!$C$2:$C$958,C323)</f>
        <v>1</v>
      </c>
    </row>
    <row r="324" spans="1:5" x14ac:dyDescent="0.25">
      <c r="A324" t="s">
        <v>1720</v>
      </c>
      <c r="B324" s="5">
        <v>42471</v>
      </c>
      <c r="C324" s="5" t="str">
        <f t="shared" si="5"/>
        <v>MGWCC000.25_42471</v>
      </c>
      <c r="D324" t="s">
        <v>1721</v>
      </c>
      <c r="E324">
        <f>COUNTIF(data.SampSummary!$C$2:$C$958,C324)</f>
        <v>0</v>
      </c>
    </row>
    <row r="325" spans="1:5" x14ac:dyDescent="0.25">
      <c r="A325" t="s">
        <v>186</v>
      </c>
      <c r="B325" s="5">
        <v>36628</v>
      </c>
      <c r="C325" s="5" t="str">
        <f t="shared" si="5"/>
        <v>VREVR034.80_36628</v>
      </c>
      <c r="D325" t="s">
        <v>1722</v>
      </c>
      <c r="E325">
        <f>COUNTIF(data.SampSummary!$C$2:$C$958,C325)</f>
        <v>1</v>
      </c>
    </row>
    <row r="326" spans="1:5" x14ac:dyDescent="0.25">
      <c r="A326" t="s">
        <v>332</v>
      </c>
      <c r="B326" s="5">
        <v>40660</v>
      </c>
      <c r="C326" s="5" t="str">
        <f t="shared" si="5"/>
        <v>VROAK013.95_40660</v>
      </c>
      <c r="D326" t="s">
        <v>1723</v>
      </c>
      <c r="E326">
        <f>COUNTIF(data.SampSummary!$C$2:$C$958,C326)</f>
        <v>1</v>
      </c>
    </row>
    <row r="327" spans="1:5" x14ac:dyDescent="0.25">
      <c r="A327" t="s">
        <v>247</v>
      </c>
      <c r="B327" s="5">
        <v>36635</v>
      </c>
      <c r="C327" s="5" t="str">
        <f t="shared" si="5"/>
        <v>BWTRT002.43_36635</v>
      </c>
      <c r="D327" t="s">
        <v>1724</v>
      </c>
      <c r="E327">
        <f>COUNTIF(data.SampSummary!$C$2:$C$958,C327)</f>
        <v>1</v>
      </c>
    </row>
    <row r="328" spans="1:5" x14ac:dyDescent="0.25">
      <c r="A328" t="s">
        <v>326</v>
      </c>
      <c r="B328" s="5">
        <v>42142</v>
      </c>
      <c r="C328" s="5" t="str">
        <f t="shared" si="5"/>
        <v>UGSFR006.42_42142</v>
      </c>
      <c r="D328" t="s">
        <v>1725</v>
      </c>
      <c r="E328">
        <f>COUNTIF(data.SampSummary!$C$2:$C$958,C328)</f>
        <v>1</v>
      </c>
    </row>
    <row r="329" spans="1:5" x14ac:dyDescent="0.25">
      <c r="A329" t="s">
        <v>1726</v>
      </c>
      <c r="B329" s="5">
        <v>36999</v>
      </c>
      <c r="C329" s="5" t="str">
        <f t="shared" si="5"/>
        <v>SCSAB005.40_36999</v>
      </c>
      <c r="D329" t="s">
        <v>1727</v>
      </c>
      <c r="E329">
        <f>COUNTIF(data.SampSummary!$C$2:$C$958,C329)</f>
        <v>0</v>
      </c>
    </row>
    <row r="330" spans="1:5" x14ac:dyDescent="0.25">
      <c r="A330" t="s">
        <v>35</v>
      </c>
      <c r="B330" s="5">
        <v>38888</v>
      </c>
      <c r="C330" s="5" t="str">
        <f t="shared" si="5"/>
        <v>UGCMB004.23_38888</v>
      </c>
      <c r="D330" t="s">
        <v>1728</v>
      </c>
      <c r="E330">
        <f>COUNTIF(data.SampSummary!$C$2:$C$958,C330)</f>
        <v>1</v>
      </c>
    </row>
    <row r="331" spans="1:5" x14ac:dyDescent="0.25">
      <c r="A331" t="s">
        <v>68</v>
      </c>
      <c r="B331" s="5">
        <v>35948</v>
      </c>
      <c r="C331" s="5" t="str">
        <f t="shared" si="5"/>
        <v>LCSLR001.42_35948</v>
      </c>
      <c r="D331" t="s">
        <v>1729</v>
      </c>
      <c r="E331">
        <f>COUNTIF(data.SampSummary!$C$2:$C$958,C331)</f>
        <v>1</v>
      </c>
    </row>
    <row r="332" spans="1:5" x14ac:dyDescent="0.25">
      <c r="A332" t="s">
        <v>1730</v>
      </c>
      <c r="B332" s="5">
        <v>39882</v>
      </c>
      <c r="C332" s="5" t="str">
        <f t="shared" si="5"/>
        <v>VRALD007.86_39882</v>
      </c>
      <c r="D332" t="s">
        <v>1731</v>
      </c>
      <c r="E332">
        <f>COUNTIF(data.SampSummary!$C$2:$C$958,C332)</f>
        <v>0</v>
      </c>
    </row>
    <row r="333" spans="1:5" x14ac:dyDescent="0.25">
      <c r="A333" t="s">
        <v>1732</v>
      </c>
      <c r="B333" s="5">
        <v>37909</v>
      </c>
      <c r="C333" s="5" t="str">
        <f t="shared" si="5"/>
        <v>SRCRS005.68_37909</v>
      </c>
      <c r="D333" t="s">
        <v>1733</v>
      </c>
      <c r="E333">
        <f>COUNTIF(data.SampSummary!$C$2:$C$958,C333)</f>
        <v>0</v>
      </c>
    </row>
    <row r="334" spans="1:5" x14ac:dyDescent="0.25">
      <c r="A334" t="s">
        <v>286</v>
      </c>
      <c r="B334" s="5">
        <v>40104</v>
      </c>
      <c r="C334" s="5" t="str">
        <f t="shared" si="5"/>
        <v>CGSHI000.05_40104</v>
      </c>
      <c r="D334" t="s">
        <v>1734</v>
      </c>
      <c r="E334">
        <f>COUNTIF(data.SampSummary!$C$2:$C$958,C334)</f>
        <v>0</v>
      </c>
    </row>
    <row r="335" spans="1:5" x14ac:dyDescent="0.25">
      <c r="A335" t="s">
        <v>1530</v>
      </c>
      <c r="B335" s="5">
        <v>36677</v>
      </c>
      <c r="C335" s="5" t="str">
        <f t="shared" si="5"/>
        <v>UGCAV014.44_36677</v>
      </c>
      <c r="D335" t="s">
        <v>1735</v>
      </c>
      <c r="E335">
        <f>COUNTIF(data.SampSummary!$C$2:$C$958,C335)</f>
        <v>0</v>
      </c>
    </row>
    <row r="336" spans="1:5" x14ac:dyDescent="0.25">
      <c r="A336" t="s">
        <v>1736</v>
      </c>
      <c r="B336" s="5">
        <v>42528</v>
      </c>
      <c r="C336" s="5" t="str">
        <f t="shared" si="5"/>
        <v>VRUWV001.55_42528</v>
      </c>
      <c r="D336" t="s">
        <v>1737</v>
      </c>
      <c r="E336">
        <f>COUNTIF(data.SampSummary!$C$2:$C$958,C336)</f>
        <v>0</v>
      </c>
    </row>
    <row r="337" spans="1:5" x14ac:dyDescent="0.25">
      <c r="A337" t="s">
        <v>87</v>
      </c>
      <c r="B337" s="5">
        <v>39246</v>
      </c>
      <c r="C337" s="5" t="str">
        <f t="shared" si="5"/>
        <v>LCLVL001.32_39246</v>
      </c>
      <c r="D337" t="s">
        <v>1738</v>
      </c>
      <c r="E337">
        <f>COUNTIF(data.SampSummary!$C$2:$C$958,C337)</f>
        <v>1</v>
      </c>
    </row>
    <row r="338" spans="1:5" x14ac:dyDescent="0.25">
      <c r="A338" t="s">
        <v>238</v>
      </c>
      <c r="B338" s="5">
        <v>37412</v>
      </c>
      <c r="C338" s="5" t="str">
        <f t="shared" si="5"/>
        <v>UGBLR008.19_37412</v>
      </c>
      <c r="D338" t="s">
        <v>1739</v>
      </c>
      <c r="E338">
        <f>COUNTIF(data.SampSummary!$C$2:$C$958,C338)</f>
        <v>1</v>
      </c>
    </row>
    <row r="339" spans="1:5" x14ac:dyDescent="0.25">
      <c r="A339" t="s">
        <v>284</v>
      </c>
      <c r="B339" s="5">
        <v>35542</v>
      </c>
      <c r="C339" s="5" t="str">
        <f t="shared" si="5"/>
        <v>BWFRA001.04_35542</v>
      </c>
      <c r="D339" t="s">
        <v>1740</v>
      </c>
      <c r="E339">
        <f>COUNTIF(data.SampSummary!$C$2:$C$958,C339)</f>
        <v>1</v>
      </c>
    </row>
    <row r="340" spans="1:5" x14ac:dyDescent="0.25">
      <c r="A340" t="s">
        <v>202</v>
      </c>
      <c r="B340" s="5">
        <v>36629</v>
      </c>
      <c r="C340" s="5" t="str">
        <f t="shared" si="5"/>
        <v>SRPNT008.48_36629</v>
      </c>
      <c r="D340" t="s">
        <v>1741</v>
      </c>
      <c r="E340">
        <f>COUNTIF(data.SampSummary!$C$2:$C$958,C340)</f>
        <v>1</v>
      </c>
    </row>
    <row r="341" spans="1:5" x14ac:dyDescent="0.25">
      <c r="A341" t="s">
        <v>64</v>
      </c>
      <c r="B341" s="5">
        <v>41079</v>
      </c>
      <c r="C341" s="5" t="str">
        <f t="shared" si="5"/>
        <v>SRCKN001.61_41079</v>
      </c>
      <c r="D341" t="s">
        <v>1742</v>
      </c>
      <c r="E341">
        <f>COUNTIF(data.SampSummary!$C$2:$C$958,C341)</f>
        <v>1</v>
      </c>
    </row>
    <row r="342" spans="1:5" x14ac:dyDescent="0.25">
      <c r="A342" t="s">
        <v>53</v>
      </c>
      <c r="B342" s="5">
        <v>41793</v>
      </c>
      <c r="C342" s="5" t="str">
        <f t="shared" si="5"/>
        <v>SRTON059.43_41793</v>
      </c>
      <c r="D342" t="s">
        <v>1743</v>
      </c>
      <c r="E342">
        <f>COUNTIF(data.SampSummary!$C$2:$C$958,C342)</f>
        <v>1</v>
      </c>
    </row>
    <row r="343" spans="1:5" x14ac:dyDescent="0.25">
      <c r="A343" t="s">
        <v>184</v>
      </c>
      <c r="B343" s="5">
        <v>38479</v>
      </c>
      <c r="C343" s="5" t="str">
        <f t="shared" si="5"/>
        <v>CGDEE000.07_38479</v>
      </c>
      <c r="D343" t="s">
        <v>1744</v>
      </c>
      <c r="E343">
        <f>COUNTIF(data.SampSummary!$C$2:$C$958,C343)</f>
        <v>1</v>
      </c>
    </row>
    <row r="344" spans="1:5" x14ac:dyDescent="0.25">
      <c r="A344" t="s">
        <v>220</v>
      </c>
      <c r="B344" s="5">
        <v>40696</v>
      </c>
      <c r="C344" s="5" t="str">
        <f t="shared" si="5"/>
        <v>SRWPN004.47_40696</v>
      </c>
      <c r="D344" t="s">
        <v>1745</v>
      </c>
      <c r="E344">
        <f>COUNTIF(data.SampSummary!$C$2:$C$958,C344)</f>
        <v>1</v>
      </c>
    </row>
    <row r="345" spans="1:5" x14ac:dyDescent="0.25">
      <c r="A345" t="s">
        <v>104</v>
      </c>
      <c r="B345" s="5">
        <v>39245</v>
      </c>
      <c r="C345" s="5" t="str">
        <f t="shared" si="5"/>
        <v>LCWLR000.92_39245</v>
      </c>
      <c r="D345" t="s">
        <v>1746</v>
      </c>
      <c r="E345">
        <f>COUNTIF(data.SampSummary!$C$2:$C$958,C345)</f>
        <v>1</v>
      </c>
    </row>
    <row r="346" spans="1:5" x14ac:dyDescent="0.25">
      <c r="A346" t="s">
        <v>40</v>
      </c>
      <c r="B346" s="5">
        <v>35570</v>
      </c>
      <c r="C346" s="5" t="str">
        <f t="shared" si="5"/>
        <v>VRWEB009.13_35570</v>
      </c>
      <c r="D346" t="s">
        <v>1747</v>
      </c>
      <c r="E346">
        <f>COUNTIF(data.SampSummary!$C$2:$C$958,C346)</f>
        <v>1</v>
      </c>
    </row>
    <row r="347" spans="1:5" x14ac:dyDescent="0.25">
      <c r="A347" t="s">
        <v>322</v>
      </c>
      <c r="B347" s="5">
        <v>36608</v>
      </c>
      <c r="C347" s="5" t="str">
        <f t="shared" si="5"/>
        <v>SRHNC000.45_36608</v>
      </c>
      <c r="D347" t="s">
        <v>1748</v>
      </c>
      <c r="E347">
        <f>COUNTIF(data.SampSummary!$C$2:$C$958,C347)</f>
        <v>1</v>
      </c>
    </row>
    <row r="348" spans="1:5" x14ac:dyDescent="0.25">
      <c r="A348" t="s">
        <v>167</v>
      </c>
      <c r="B348" s="5">
        <v>39260</v>
      </c>
      <c r="C348" s="5" t="str">
        <f t="shared" si="5"/>
        <v>LCSHL029.75_39260</v>
      </c>
      <c r="D348" t="s">
        <v>1749</v>
      </c>
      <c r="E348">
        <f>COUNTIF(data.SampSummary!$C$2:$C$958,C348)</f>
        <v>1</v>
      </c>
    </row>
    <row r="349" spans="1:5" x14ac:dyDescent="0.25">
      <c r="A349" t="s">
        <v>247</v>
      </c>
      <c r="B349" s="5">
        <v>38099</v>
      </c>
      <c r="C349" s="5" t="str">
        <f t="shared" si="5"/>
        <v>BWTRT002.43_38099</v>
      </c>
      <c r="D349" t="s">
        <v>1750</v>
      </c>
      <c r="E349">
        <f>COUNTIF(data.SampSummary!$C$2:$C$958,C349)</f>
        <v>1</v>
      </c>
    </row>
    <row r="350" spans="1:5" x14ac:dyDescent="0.25">
      <c r="A350" t="s">
        <v>34</v>
      </c>
      <c r="B350" s="5">
        <v>41758</v>
      </c>
      <c r="C350" s="5" t="str">
        <f t="shared" si="5"/>
        <v>LCELR005.67_41758</v>
      </c>
      <c r="D350" t="s">
        <v>1751</v>
      </c>
      <c r="E350">
        <f>COUNTIF(data.SampSummary!$C$2:$C$958,C350)</f>
        <v>1</v>
      </c>
    </row>
    <row r="351" spans="1:5" x14ac:dyDescent="0.25">
      <c r="A351" t="s">
        <v>323</v>
      </c>
      <c r="B351" s="5">
        <v>36277</v>
      </c>
      <c r="C351" s="5" t="str">
        <f t="shared" si="5"/>
        <v>VRBEV005.46_36277</v>
      </c>
      <c r="D351" t="s">
        <v>1752</v>
      </c>
      <c r="E351">
        <f>COUNTIF(data.SampSummary!$C$2:$C$958,C351)</f>
        <v>1</v>
      </c>
    </row>
    <row r="352" spans="1:5" x14ac:dyDescent="0.25">
      <c r="A352" t="s">
        <v>238</v>
      </c>
      <c r="B352" s="5">
        <v>38118</v>
      </c>
      <c r="C352" s="5" t="str">
        <f t="shared" si="5"/>
        <v>UGBLR008.19_38118</v>
      </c>
      <c r="D352" t="s">
        <v>1753</v>
      </c>
      <c r="E352">
        <f>COUNTIF(data.SampSummary!$C$2:$C$958,C352)</f>
        <v>1</v>
      </c>
    </row>
    <row r="353" spans="1:5" x14ac:dyDescent="0.25">
      <c r="A353" t="s">
        <v>184</v>
      </c>
      <c r="B353" s="5">
        <v>35723</v>
      </c>
      <c r="C353" s="5" t="str">
        <f t="shared" si="5"/>
        <v>CGDEE000.07_35723</v>
      </c>
      <c r="D353" t="s">
        <v>1754</v>
      </c>
      <c r="E353">
        <f>COUNTIF(data.SampSummary!$C$2:$C$958,C353)</f>
        <v>0</v>
      </c>
    </row>
    <row r="354" spans="1:5" x14ac:dyDescent="0.25">
      <c r="A354" t="s">
        <v>1755</v>
      </c>
      <c r="B354" s="5">
        <v>42506</v>
      </c>
      <c r="C354" s="5" t="str">
        <f t="shared" si="5"/>
        <v>LCWIL018.74_42506</v>
      </c>
      <c r="D354" t="s">
        <v>1756</v>
      </c>
      <c r="E354">
        <f>COUNTIF(data.SampSummary!$C$2:$C$958,C354)</f>
        <v>0</v>
      </c>
    </row>
    <row r="355" spans="1:5" x14ac:dyDescent="0.25">
      <c r="A355" t="s">
        <v>75</v>
      </c>
      <c r="B355" s="5">
        <v>39743</v>
      </c>
      <c r="C355" s="5" t="str">
        <f t="shared" si="5"/>
        <v>SRBEV007.28_39743</v>
      </c>
      <c r="D355" t="s">
        <v>1757</v>
      </c>
      <c r="E355">
        <f>COUNTIF(data.SampSummary!$C$2:$C$958,C355)</f>
        <v>0</v>
      </c>
    </row>
    <row r="356" spans="1:5" x14ac:dyDescent="0.25">
      <c r="A356" t="s">
        <v>90</v>
      </c>
      <c r="B356" s="5">
        <v>40351</v>
      </c>
      <c r="C356" s="5" t="str">
        <f t="shared" si="5"/>
        <v>LCPAD001.30_40351</v>
      </c>
      <c r="D356" t="s">
        <v>1758</v>
      </c>
      <c r="E356">
        <f>COUNTIF(data.SampSummary!$C$2:$C$958,C356)</f>
        <v>1</v>
      </c>
    </row>
    <row r="357" spans="1:5" x14ac:dyDescent="0.25">
      <c r="A357" t="s">
        <v>196</v>
      </c>
      <c r="B357" s="5">
        <v>37019</v>
      </c>
      <c r="C357" s="5" t="str">
        <f t="shared" si="5"/>
        <v>BWBRO029.27_37019</v>
      </c>
      <c r="D357" t="s">
        <v>1759</v>
      </c>
      <c r="E357">
        <f>COUNTIF(data.SampSummary!$C$2:$C$958,C357)</f>
        <v>1</v>
      </c>
    </row>
    <row r="358" spans="1:5" x14ac:dyDescent="0.25">
      <c r="A358" t="s">
        <v>242</v>
      </c>
      <c r="B358" s="5">
        <v>37042</v>
      </c>
      <c r="C358" s="5" t="str">
        <f t="shared" si="5"/>
        <v>VROAK031.38_37042</v>
      </c>
      <c r="D358" t="s">
        <v>1760</v>
      </c>
      <c r="E358">
        <f>COUNTIF(data.SampSummary!$C$2:$C$958,C358)</f>
        <v>1</v>
      </c>
    </row>
    <row r="359" spans="1:5" x14ac:dyDescent="0.25">
      <c r="A359" t="s">
        <v>72</v>
      </c>
      <c r="B359" s="5">
        <v>35957</v>
      </c>
      <c r="C359" s="5" t="str">
        <f t="shared" si="5"/>
        <v>SRNBE000.86_35957</v>
      </c>
      <c r="D359" t="s">
        <v>1761</v>
      </c>
      <c r="E359">
        <f>COUNTIF(data.SampSummary!$C$2:$C$958,C359)</f>
        <v>2</v>
      </c>
    </row>
    <row r="360" spans="1:5" x14ac:dyDescent="0.25">
      <c r="A360" t="s">
        <v>1698</v>
      </c>
      <c r="B360" s="5">
        <v>39911</v>
      </c>
      <c r="C360" s="5" t="str">
        <f t="shared" si="5"/>
        <v>VRGRA029.97_39911</v>
      </c>
      <c r="D360" t="s">
        <v>1762</v>
      </c>
      <c r="E360">
        <f>COUNTIF(data.SampSummary!$C$2:$C$958,C360)</f>
        <v>0</v>
      </c>
    </row>
    <row r="361" spans="1:5" x14ac:dyDescent="0.25">
      <c r="A361" t="s">
        <v>1763</v>
      </c>
      <c r="B361" s="5">
        <v>35719</v>
      </c>
      <c r="C361" s="5" t="str">
        <f t="shared" si="5"/>
        <v>CGCRY000.41_35719</v>
      </c>
      <c r="D361" t="s">
        <v>1764</v>
      </c>
      <c r="E361">
        <f>COUNTIF(data.SampSummary!$C$2:$C$958,C361)</f>
        <v>0</v>
      </c>
    </row>
    <row r="362" spans="1:5" x14ac:dyDescent="0.25">
      <c r="A362" t="s">
        <v>1765</v>
      </c>
      <c r="B362" s="5">
        <v>35695</v>
      </c>
      <c r="C362" s="5" t="str">
        <f t="shared" si="5"/>
        <v>VRWCL004.72_35695</v>
      </c>
      <c r="D362" t="s">
        <v>1766</v>
      </c>
      <c r="E362">
        <f>COUNTIF(data.SampSummary!$C$2:$C$958,C362)</f>
        <v>0</v>
      </c>
    </row>
    <row r="363" spans="1:5" x14ac:dyDescent="0.25">
      <c r="A363" t="s">
        <v>194</v>
      </c>
      <c r="B363" s="5">
        <v>41388</v>
      </c>
      <c r="C363" s="5" t="str">
        <f t="shared" si="5"/>
        <v>CGVGR044.58_41388</v>
      </c>
      <c r="D363" t="s">
        <v>1767</v>
      </c>
      <c r="E363">
        <f>COUNTIF(data.SampSummary!$C$2:$C$958,C363)</f>
        <v>1</v>
      </c>
    </row>
    <row r="364" spans="1:5" x14ac:dyDescent="0.25">
      <c r="A364" t="s">
        <v>1768</v>
      </c>
      <c r="B364" s="5">
        <v>39883</v>
      </c>
      <c r="C364" s="5" t="str">
        <f t="shared" si="5"/>
        <v>VRROK002.80_39883</v>
      </c>
      <c r="D364" t="s">
        <v>1769</v>
      </c>
      <c r="E364">
        <f>COUNTIF(data.SampSummary!$C$2:$C$958,C364)</f>
        <v>0</v>
      </c>
    </row>
    <row r="365" spans="1:5" x14ac:dyDescent="0.25">
      <c r="A365" t="s">
        <v>37</v>
      </c>
      <c r="B365" s="5">
        <v>42500</v>
      </c>
      <c r="C365" s="5" t="str">
        <f t="shared" si="5"/>
        <v>VRWOK000.82_42500</v>
      </c>
      <c r="D365" t="s">
        <v>1770</v>
      </c>
      <c r="E365">
        <f>COUNTIF(data.SampSummary!$C$2:$C$958,C365)</f>
        <v>1</v>
      </c>
    </row>
    <row r="366" spans="1:5" x14ac:dyDescent="0.25">
      <c r="A366" t="s">
        <v>79</v>
      </c>
      <c r="B366" s="5">
        <v>35927</v>
      </c>
      <c r="C366" s="5" t="str">
        <f t="shared" si="5"/>
        <v>UGETK011.80_35927</v>
      </c>
      <c r="D366" t="s">
        <v>1771</v>
      </c>
      <c r="E366">
        <f>COUNTIF(data.SampSummary!$C$2:$C$958,C366)</f>
        <v>1</v>
      </c>
    </row>
    <row r="367" spans="1:5" x14ac:dyDescent="0.25">
      <c r="A367" t="s">
        <v>1772</v>
      </c>
      <c r="B367" s="5">
        <v>40316</v>
      </c>
      <c r="C367" s="5" t="str">
        <f t="shared" si="5"/>
        <v>BWBSR015.60_40316</v>
      </c>
      <c r="D367" t="s">
        <v>1773</v>
      </c>
      <c r="E367">
        <f>COUNTIF(data.SampSummary!$C$2:$C$958,C367)</f>
        <v>0</v>
      </c>
    </row>
    <row r="368" spans="1:5" x14ac:dyDescent="0.25">
      <c r="A368" t="s">
        <v>315</v>
      </c>
      <c r="B368" s="5">
        <v>41393</v>
      </c>
      <c r="C368" s="5" t="str">
        <f t="shared" si="5"/>
        <v>BWBRO029.91_41393</v>
      </c>
      <c r="D368" t="s">
        <v>1774</v>
      </c>
      <c r="E368">
        <f>COUNTIF(data.SampSummary!$C$2:$C$958,C368)</f>
        <v>1</v>
      </c>
    </row>
    <row r="369" spans="1:5" x14ac:dyDescent="0.25">
      <c r="A369" t="s">
        <v>319</v>
      </c>
      <c r="B369" s="5">
        <v>35556</v>
      </c>
      <c r="C369" s="5" t="str">
        <f t="shared" si="5"/>
        <v>VRSYW000.77_35556</v>
      </c>
      <c r="D369" t="s">
        <v>1775</v>
      </c>
      <c r="E369">
        <f>COUNTIF(data.SampSummary!$C$2:$C$958,C369)</f>
        <v>1</v>
      </c>
    </row>
    <row r="370" spans="1:5" x14ac:dyDescent="0.25">
      <c r="A370" t="s">
        <v>297</v>
      </c>
      <c r="B370" s="5">
        <v>36664</v>
      </c>
      <c r="C370" s="5" t="str">
        <f t="shared" si="5"/>
        <v>SPSPR059.21_36664</v>
      </c>
      <c r="D370" t="s">
        <v>1776</v>
      </c>
      <c r="E370">
        <f>COUNTIF(data.SampSummary!$C$2:$C$958,C370)</f>
        <v>1</v>
      </c>
    </row>
    <row r="371" spans="1:5" x14ac:dyDescent="0.25">
      <c r="A371" t="s">
        <v>255</v>
      </c>
      <c r="B371" s="5">
        <v>35548</v>
      </c>
      <c r="C371" s="5" t="str">
        <f t="shared" si="5"/>
        <v>SPARA017.25_35548</v>
      </c>
      <c r="D371" t="s">
        <v>1777</v>
      </c>
      <c r="E371">
        <f>COUNTIF(data.SampSummary!$C$2:$C$958,C371)</f>
        <v>1</v>
      </c>
    </row>
    <row r="372" spans="1:5" x14ac:dyDescent="0.25">
      <c r="A372" t="s">
        <v>200</v>
      </c>
      <c r="B372" s="5">
        <v>42465</v>
      </c>
      <c r="C372" s="5" t="str">
        <f t="shared" si="5"/>
        <v>SPSPR015.42_42465</v>
      </c>
      <c r="D372" t="s">
        <v>1778</v>
      </c>
      <c r="E372">
        <f>COUNTIF(data.SampSummary!$C$2:$C$958,C372)</f>
        <v>1</v>
      </c>
    </row>
    <row r="373" spans="1:5" x14ac:dyDescent="0.25">
      <c r="A373" t="s">
        <v>117</v>
      </c>
      <c r="B373" s="5">
        <v>37062</v>
      </c>
      <c r="C373" s="5" t="str">
        <f t="shared" si="5"/>
        <v>LCBRO018.96_37062</v>
      </c>
      <c r="D373" t="s">
        <v>1779</v>
      </c>
      <c r="E373">
        <f>COUNTIF(data.SampSummary!$C$2:$C$958,C373)</f>
        <v>2</v>
      </c>
    </row>
    <row r="374" spans="1:5" x14ac:dyDescent="0.25">
      <c r="A374" t="s">
        <v>236</v>
      </c>
      <c r="B374" s="5">
        <v>40102</v>
      </c>
      <c r="C374" s="5" t="str">
        <f t="shared" si="5"/>
        <v>CGBRA000.44_40102</v>
      </c>
      <c r="D374" t="s">
        <v>1780</v>
      </c>
      <c r="E374">
        <f>COUNTIF(data.SampSummary!$C$2:$C$958,C374)</f>
        <v>0</v>
      </c>
    </row>
    <row r="375" spans="1:5" x14ac:dyDescent="0.25">
      <c r="A375" t="s">
        <v>1571</v>
      </c>
      <c r="B375" s="5">
        <v>40282</v>
      </c>
      <c r="C375" s="5" t="str">
        <f t="shared" si="5"/>
        <v>VRMIL006.07_40282</v>
      </c>
      <c r="D375" t="s">
        <v>1781</v>
      </c>
      <c r="E375">
        <f>COUNTIF(data.SampSummary!$C$2:$C$958,C375)</f>
        <v>0</v>
      </c>
    </row>
    <row r="376" spans="1:5" x14ac:dyDescent="0.25">
      <c r="A376" t="s">
        <v>211</v>
      </c>
      <c r="B376" s="5">
        <v>39909</v>
      </c>
      <c r="C376" s="5" t="str">
        <f t="shared" si="5"/>
        <v>MGAFR110.01_39909</v>
      </c>
      <c r="D376" t="s">
        <v>1782</v>
      </c>
      <c r="E376">
        <f>COUNTIF(data.SampSummary!$C$2:$C$958,C376)</f>
        <v>1</v>
      </c>
    </row>
    <row r="377" spans="1:5" x14ac:dyDescent="0.25">
      <c r="A377" t="s">
        <v>187</v>
      </c>
      <c r="B377" s="5">
        <v>41394</v>
      </c>
      <c r="C377" s="5" t="str">
        <f t="shared" si="5"/>
        <v>VRWBV002.97_41394</v>
      </c>
      <c r="D377" t="s">
        <v>1783</v>
      </c>
      <c r="E377">
        <f>COUNTIF(data.SampSummary!$C$2:$C$958,C377)</f>
        <v>1</v>
      </c>
    </row>
    <row r="378" spans="1:5" x14ac:dyDescent="0.25">
      <c r="A378" t="s">
        <v>91</v>
      </c>
      <c r="B378" s="5">
        <v>41793</v>
      </c>
      <c r="C378" s="5" t="str">
        <f t="shared" si="5"/>
        <v>SPBIG007.41_41793</v>
      </c>
      <c r="D378" t="s">
        <v>1784</v>
      </c>
      <c r="E378">
        <f>COUNTIF(data.SampSummary!$C$2:$C$958,C378)</f>
        <v>1</v>
      </c>
    </row>
    <row r="379" spans="1:5" x14ac:dyDescent="0.25">
      <c r="A379" t="s">
        <v>157</v>
      </c>
      <c r="B379" s="5">
        <v>42493</v>
      </c>
      <c r="C379" s="5" t="str">
        <f t="shared" si="5"/>
        <v>VRWEB010.36_42493</v>
      </c>
      <c r="D379" t="s">
        <v>1785</v>
      </c>
      <c r="E379">
        <f>COUNTIF(data.SampSummary!$C$2:$C$958,C379)</f>
        <v>2</v>
      </c>
    </row>
    <row r="380" spans="1:5" x14ac:dyDescent="0.25">
      <c r="A380" t="s">
        <v>1630</v>
      </c>
      <c r="B380" s="5">
        <v>39762</v>
      </c>
      <c r="C380" s="5" t="str">
        <f t="shared" si="5"/>
        <v>SPWRC000.09_39762</v>
      </c>
      <c r="D380" t="s">
        <v>1786</v>
      </c>
      <c r="E380">
        <f>COUNTIF(data.SampSummary!$C$2:$C$958,C380)</f>
        <v>0</v>
      </c>
    </row>
    <row r="381" spans="1:5" x14ac:dyDescent="0.25">
      <c r="A381" t="s">
        <v>244</v>
      </c>
      <c r="B381" s="5">
        <v>41382</v>
      </c>
      <c r="C381" s="5" t="str">
        <f t="shared" si="5"/>
        <v>SCSON015.35_41382</v>
      </c>
      <c r="D381" t="s">
        <v>1787</v>
      </c>
      <c r="E381">
        <f>COUNTIF(data.SampSummary!$C$2:$C$958,C381)</f>
        <v>1</v>
      </c>
    </row>
    <row r="382" spans="1:5" x14ac:dyDescent="0.25">
      <c r="A382" t="s">
        <v>329</v>
      </c>
      <c r="B382" s="5">
        <v>38126</v>
      </c>
      <c r="C382" s="5" t="str">
        <f t="shared" si="5"/>
        <v>VRWCL010.66_38126</v>
      </c>
      <c r="D382" t="s">
        <v>1788</v>
      </c>
      <c r="E382">
        <f>COUNTIF(data.SampSummary!$C$2:$C$958,C382)</f>
        <v>1</v>
      </c>
    </row>
    <row r="383" spans="1:5" x14ac:dyDescent="0.25">
      <c r="A383" t="s">
        <v>1789</v>
      </c>
      <c r="B383" s="5">
        <v>35683</v>
      </c>
      <c r="C383" s="5" t="str">
        <f t="shared" si="5"/>
        <v>VRWCL005.53_35683</v>
      </c>
      <c r="D383" t="s">
        <v>1790</v>
      </c>
      <c r="E383">
        <f>COUNTIF(data.SampSummary!$C$2:$C$958,C383)</f>
        <v>0</v>
      </c>
    </row>
    <row r="384" spans="1:5" x14ac:dyDescent="0.25">
      <c r="A384" t="s">
        <v>379</v>
      </c>
      <c r="B384" s="5">
        <v>38461</v>
      </c>
      <c r="C384" s="5" t="str">
        <f t="shared" si="5"/>
        <v>SPBAS000.62_38461</v>
      </c>
      <c r="D384" t="s">
        <v>1791</v>
      </c>
      <c r="E384">
        <f>COUNTIF(data.SampSummary!$C$2:$C$958,C384)</f>
        <v>1</v>
      </c>
    </row>
    <row r="385" spans="1:5" x14ac:dyDescent="0.25">
      <c r="A385" t="s">
        <v>61</v>
      </c>
      <c r="B385" s="5">
        <v>39237</v>
      </c>
      <c r="C385" s="5" t="str">
        <f t="shared" si="5"/>
        <v>LCHAL004.59_39237</v>
      </c>
      <c r="D385" t="s">
        <v>1792</v>
      </c>
      <c r="E385">
        <f>COUNTIF(data.SampSummary!$C$2:$C$958,C385)</f>
        <v>1</v>
      </c>
    </row>
    <row r="386" spans="1:5" x14ac:dyDescent="0.25">
      <c r="A386" t="s">
        <v>37</v>
      </c>
      <c r="B386" s="5">
        <v>38134</v>
      </c>
      <c r="C386" s="5" t="str">
        <f t="shared" si="5"/>
        <v>VRWOK000.82_38134</v>
      </c>
      <c r="D386" t="s">
        <v>1793</v>
      </c>
      <c r="E386">
        <f>COUNTIF(data.SampSummary!$C$2:$C$958,C386)</f>
        <v>1</v>
      </c>
    </row>
    <row r="387" spans="1:5" x14ac:dyDescent="0.25">
      <c r="A387" t="s">
        <v>246</v>
      </c>
      <c r="B387" s="5">
        <v>38477</v>
      </c>
      <c r="C387" s="5" t="str">
        <f t="shared" ref="C387:C450" si="6">A387&amp;"_"&amp;B387</f>
        <v>CGHRM000.08_38477</v>
      </c>
      <c r="D387" t="s">
        <v>1794</v>
      </c>
      <c r="E387">
        <f>COUNTIF(data.SampSummary!$C$2:$C$958,C387)</f>
        <v>1</v>
      </c>
    </row>
    <row r="388" spans="1:5" x14ac:dyDescent="0.25">
      <c r="A388" t="s">
        <v>313</v>
      </c>
      <c r="B388" s="5">
        <v>39611</v>
      </c>
      <c r="C388" s="5" t="str">
        <f t="shared" si="6"/>
        <v>VRFOS011.88_39611</v>
      </c>
      <c r="D388" t="s">
        <v>1795</v>
      </c>
      <c r="E388">
        <f>COUNTIF(data.SampSummary!$C$2:$C$958,C388)</f>
        <v>1</v>
      </c>
    </row>
    <row r="389" spans="1:5" x14ac:dyDescent="0.25">
      <c r="A389" t="s">
        <v>186</v>
      </c>
      <c r="B389" s="5">
        <v>37363</v>
      </c>
      <c r="C389" s="5" t="str">
        <f t="shared" si="6"/>
        <v>VREVR034.80_37363</v>
      </c>
      <c r="D389" t="s">
        <v>1796</v>
      </c>
      <c r="E389">
        <f>COUNTIF(data.SampSummary!$C$2:$C$958,C389)</f>
        <v>1</v>
      </c>
    </row>
    <row r="390" spans="1:5" x14ac:dyDescent="0.25">
      <c r="A390" t="s">
        <v>328</v>
      </c>
      <c r="B390" s="5">
        <v>38119</v>
      </c>
      <c r="C390" s="5" t="str">
        <f t="shared" si="6"/>
        <v>UGSFR019.04_38119</v>
      </c>
      <c r="D390" t="s">
        <v>1797</v>
      </c>
      <c r="E390">
        <f>COUNTIF(data.SampSummary!$C$2:$C$958,C390)</f>
        <v>1</v>
      </c>
    </row>
    <row r="391" spans="1:5" x14ac:dyDescent="0.25">
      <c r="A391" t="s">
        <v>27</v>
      </c>
      <c r="B391" s="5">
        <v>35922</v>
      </c>
      <c r="C391" s="5" t="str">
        <f t="shared" si="6"/>
        <v>VROAK047.96_35922</v>
      </c>
      <c r="D391" t="s">
        <v>1798</v>
      </c>
      <c r="E391">
        <f>COUNTIF(data.SampSummary!$C$2:$C$958,C391)</f>
        <v>1</v>
      </c>
    </row>
    <row r="392" spans="1:5" x14ac:dyDescent="0.25">
      <c r="A392" t="s">
        <v>55</v>
      </c>
      <c r="B392" s="5">
        <v>39981</v>
      </c>
      <c r="C392" s="5" t="str">
        <f t="shared" si="6"/>
        <v>UGTRY001.56_39981</v>
      </c>
      <c r="D392" t="s">
        <v>1799</v>
      </c>
      <c r="E392">
        <f>COUNTIF(data.SampSummary!$C$2:$C$958,C392)</f>
        <v>2</v>
      </c>
    </row>
    <row r="393" spans="1:5" x14ac:dyDescent="0.25">
      <c r="A393" t="s">
        <v>128</v>
      </c>
      <c r="B393" s="5">
        <v>38147</v>
      </c>
      <c r="C393" s="5" t="str">
        <f t="shared" si="6"/>
        <v>LCLCR340.02_38147</v>
      </c>
      <c r="D393" t="s">
        <v>1800</v>
      </c>
      <c r="E393">
        <f>COUNTIF(data.SampSummary!$C$2:$C$958,C393)</f>
        <v>1</v>
      </c>
    </row>
    <row r="394" spans="1:5" x14ac:dyDescent="0.25">
      <c r="A394" t="s">
        <v>274</v>
      </c>
      <c r="B394" s="5">
        <v>40660</v>
      </c>
      <c r="C394" s="5" t="str">
        <f t="shared" si="6"/>
        <v>VRVER165.07_40660</v>
      </c>
      <c r="D394" t="s">
        <v>1801</v>
      </c>
      <c r="E394">
        <f>COUNTIF(data.SampSummary!$C$2:$C$958,C394)</f>
        <v>0</v>
      </c>
    </row>
    <row r="395" spans="1:5" x14ac:dyDescent="0.25">
      <c r="A395" t="s">
        <v>38</v>
      </c>
      <c r="B395" s="5">
        <v>36690</v>
      </c>
      <c r="C395" s="5" t="str">
        <f t="shared" si="6"/>
        <v>UGBLR046.35_36690</v>
      </c>
      <c r="D395" t="s">
        <v>1802</v>
      </c>
      <c r="E395">
        <f>COUNTIF(data.SampSummary!$C$2:$C$958,C395)</f>
        <v>1</v>
      </c>
    </row>
    <row r="396" spans="1:5" x14ac:dyDescent="0.25">
      <c r="A396" t="s">
        <v>213</v>
      </c>
      <c r="B396" s="5">
        <v>40717</v>
      </c>
      <c r="C396" s="5" t="str">
        <f t="shared" si="6"/>
        <v>VRPIE008.19_40717</v>
      </c>
      <c r="D396" t="s">
        <v>1803</v>
      </c>
      <c r="E396">
        <f>COUNTIF(data.SampSummary!$C$2:$C$958,C396)</f>
        <v>1</v>
      </c>
    </row>
    <row r="397" spans="1:5" x14ac:dyDescent="0.25">
      <c r="A397" t="s">
        <v>62</v>
      </c>
      <c r="B397" s="5">
        <v>41780</v>
      </c>
      <c r="C397" s="5" t="str">
        <f t="shared" si="6"/>
        <v>LCBRB006.74_41780</v>
      </c>
      <c r="D397" t="s">
        <v>1804</v>
      </c>
      <c r="E397">
        <f>COUNTIF(data.SampSummary!$C$2:$C$958,C397)</f>
        <v>1</v>
      </c>
    </row>
    <row r="398" spans="1:5" x14ac:dyDescent="0.25">
      <c r="A398" t="s">
        <v>183</v>
      </c>
      <c r="B398" s="5">
        <v>36658</v>
      </c>
      <c r="C398" s="5" t="str">
        <f t="shared" si="6"/>
        <v>SPSPR126.35_36658</v>
      </c>
      <c r="D398" t="s">
        <v>1805</v>
      </c>
      <c r="E398">
        <f>COUNTIF(data.SampSummary!$C$2:$C$958,C398)</f>
        <v>0</v>
      </c>
    </row>
    <row r="399" spans="1:5" x14ac:dyDescent="0.25">
      <c r="A399" t="s">
        <v>42</v>
      </c>
      <c r="B399" s="5">
        <v>39842</v>
      </c>
      <c r="C399" s="5" t="str">
        <f t="shared" si="6"/>
        <v>UGLAN000.60_39842</v>
      </c>
      <c r="D399" t="s">
        <v>1806</v>
      </c>
      <c r="E399">
        <f>COUNTIF(data.SampSummary!$C$2:$C$958,C399)</f>
        <v>0</v>
      </c>
    </row>
    <row r="400" spans="1:5" x14ac:dyDescent="0.25">
      <c r="A400" t="s">
        <v>21</v>
      </c>
      <c r="B400" s="5">
        <v>35949</v>
      </c>
      <c r="C400" s="5" t="str">
        <f t="shared" si="6"/>
        <v>LCWLR005.31_35949</v>
      </c>
      <c r="D400" t="s">
        <v>1807</v>
      </c>
      <c r="E400">
        <f>COUNTIF(data.SampSummary!$C$2:$C$958,C400)</f>
        <v>0</v>
      </c>
    </row>
    <row r="401" spans="1:5" x14ac:dyDescent="0.25">
      <c r="A401" t="s">
        <v>66</v>
      </c>
      <c r="B401" s="5">
        <v>39639</v>
      </c>
      <c r="C401" s="5" t="str">
        <f t="shared" si="6"/>
        <v>SRBLR102.24_39639</v>
      </c>
      <c r="D401" t="s">
        <v>1808</v>
      </c>
      <c r="E401">
        <f>COUNTIF(data.SampSummary!$C$2:$C$958,C401)</f>
        <v>1</v>
      </c>
    </row>
    <row r="402" spans="1:5" x14ac:dyDescent="0.25">
      <c r="A402" t="s">
        <v>130</v>
      </c>
      <c r="B402" s="5">
        <v>35570</v>
      </c>
      <c r="C402" s="5" t="str">
        <f t="shared" si="6"/>
        <v>LCCHC073.26_35570</v>
      </c>
      <c r="D402" t="s">
        <v>1809</v>
      </c>
      <c r="E402">
        <f>COUNTIF(data.SampSummary!$C$2:$C$958,C402)</f>
        <v>1</v>
      </c>
    </row>
    <row r="403" spans="1:5" x14ac:dyDescent="0.25">
      <c r="A403" t="s">
        <v>365</v>
      </c>
      <c r="B403" s="5">
        <v>41015</v>
      </c>
      <c r="C403" s="5" t="str">
        <f t="shared" si="6"/>
        <v>SCSCR103.45_41015</v>
      </c>
      <c r="D403" t="s">
        <v>1810</v>
      </c>
      <c r="E403">
        <f>COUNTIF(data.SampSummary!$C$2:$C$958,C403)</f>
        <v>1</v>
      </c>
    </row>
    <row r="404" spans="1:5" x14ac:dyDescent="0.25">
      <c r="A404" t="s">
        <v>1811</v>
      </c>
      <c r="B404" s="5">
        <v>39589</v>
      </c>
      <c r="C404" s="5" t="str">
        <f t="shared" si="6"/>
        <v>SRHAN000.06_39589</v>
      </c>
      <c r="D404" t="s">
        <v>1812</v>
      </c>
      <c r="E404">
        <f>COUNTIF(data.SampSummary!$C$2:$C$958,C404)</f>
        <v>0</v>
      </c>
    </row>
    <row r="405" spans="1:5" x14ac:dyDescent="0.25">
      <c r="A405" t="s">
        <v>102</v>
      </c>
      <c r="B405" s="5">
        <v>42144</v>
      </c>
      <c r="C405" s="5" t="str">
        <f t="shared" si="6"/>
        <v>UGKPK011.18_42144</v>
      </c>
      <c r="D405" t="s">
        <v>1813</v>
      </c>
      <c r="E405">
        <f>COUNTIF(data.SampSummary!$C$2:$C$958,C405)</f>
        <v>1</v>
      </c>
    </row>
    <row r="406" spans="1:5" x14ac:dyDescent="0.25">
      <c r="A406" t="s">
        <v>200</v>
      </c>
      <c r="B406" s="5">
        <v>42100</v>
      </c>
      <c r="C406" s="5" t="str">
        <f t="shared" si="6"/>
        <v>SPSPR015.42_42100</v>
      </c>
      <c r="D406" t="s">
        <v>1814</v>
      </c>
      <c r="E406">
        <f>COUNTIF(data.SampSummary!$C$2:$C$958,C406)</f>
        <v>1</v>
      </c>
    </row>
    <row r="407" spans="1:5" x14ac:dyDescent="0.25">
      <c r="A407" t="s">
        <v>295</v>
      </c>
      <c r="B407" s="5">
        <v>38105</v>
      </c>
      <c r="C407" s="5" t="str">
        <f t="shared" si="6"/>
        <v>VRROU002.93_38105</v>
      </c>
      <c r="D407" t="s">
        <v>1815</v>
      </c>
      <c r="E407">
        <f>COUNTIF(data.SampSummary!$C$2:$C$958,C407)</f>
        <v>1</v>
      </c>
    </row>
    <row r="408" spans="1:5" x14ac:dyDescent="0.25">
      <c r="A408" t="s">
        <v>217</v>
      </c>
      <c r="B408" s="5">
        <v>38448</v>
      </c>
      <c r="C408" s="5" t="str">
        <f t="shared" si="6"/>
        <v>SPARA010.19_38448</v>
      </c>
      <c r="D408" t="s">
        <v>1816</v>
      </c>
      <c r="E408">
        <f>COUNTIF(data.SampSummary!$C$2:$C$958,C408)</f>
        <v>1</v>
      </c>
    </row>
    <row r="409" spans="1:5" x14ac:dyDescent="0.25">
      <c r="A409" t="s">
        <v>1817</v>
      </c>
      <c r="B409" s="5">
        <v>37342</v>
      </c>
      <c r="C409" s="5" t="str">
        <f t="shared" si="6"/>
        <v>MGCVE037.68_37342</v>
      </c>
      <c r="D409" t="s">
        <v>1818</v>
      </c>
      <c r="E409">
        <f>COUNTIF(data.SampSummary!$C$2:$C$958,C409)</f>
        <v>0</v>
      </c>
    </row>
    <row r="410" spans="1:5" x14ac:dyDescent="0.25">
      <c r="A410" t="s">
        <v>192</v>
      </c>
      <c r="B410" s="5">
        <v>37001</v>
      </c>
      <c r="C410" s="5" t="str">
        <f t="shared" si="6"/>
        <v>SPSPR150.09_37001</v>
      </c>
      <c r="D410" t="s">
        <v>1819</v>
      </c>
      <c r="E410">
        <f>COUNTIF(data.SampSummary!$C$2:$C$958,C410)</f>
        <v>1</v>
      </c>
    </row>
    <row r="411" spans="1:5" x14ac:dyDescent="0.25">
      <c r="A411" t="s">
        <v>49</v>
      </c>
      <c r="B411" s="5">
        <v>42537</v>
      </c>
      <c r="C411" s="5" t="str">
        <f t="shared" si="6"/>
        <v>VRWCL036.37_42537</v>
      </c>
      <c r="D411" t="s">
        <v>1820</v>
      </c>
      <c r="E411">
        <f>COUNTIF(data.SampSummary!$C$2:$C$958,C411)</f>
        <v>1</v>
      </c>
    </row>
    <row r="412" spans="1:5" x14ac:dyDescent="0.25">
      <c r="A412" t="s">
        <v>57</v>
      </c>
      <c r="B412" s="5">
        <v>41799</v>
      </c>
      <c r="C412" s="5" t="str">
        <f t="shared" si="6"/>
        <v>SREFB008.27_41799</v>
      </c>
      <c r="D412" t="s">
        <v>1821</v>
      </c>
      <c r="E412">
        <f>COUNTIF(data.SampSummary!$C$2:$C$958,C412)</f>
        <v>1</v>
      </c>
    </row>
    <row r="413" spans="1:5" x14ac:dyDescent="0.25">
      <c r="A413" t="s">
        <v>292</v>
      </c>
      <c r="B413" s="5">
        <v>36665</v>
      </c>
      <c r="C413" s="5" t="str">
        <f t="shared" si="6"/>
        <v>SPSPR005.28_36665</v>
      </c>
      <c r="D413" t="s">
        <v>1822</v>
      </c>
      <c r="E413">
        <f>COUNTIF(data.SampSummary!$C$2:$C$958,C413)</f>
        <v>1</v>
      </c>
    </row>
    <row r="414" spans="1:5" x14ac:dyDescent="0.25">
      <c r="A414" t="s">
        <v>1659</v>
      </c>
      <c r="B414" s="5">
        <v>39911</v>
      </c>
      <c r="C414" s="5" t="str">
        <f t="shared" si="6"/>
        <v>VRMIL000.22_39911</v>
      </c>
      <c r="D414" t="s">
        <v>1823</v>
      </c>
      <c r="E414">
        <f>COUNTIF(data.SampSummary!$C$2:$C$958,C414)</f>
        <v>0</v>
      </c>
    </row>
    <row r="415" spans="1:5" x14ac:dyDescent="0.25">
      <c r="A415" t="s">
        <v>194</v>
      </c>
      <c r="B415" s="5">
        <v>40345</v>
      </c>
      <c r="C415" s="5" t="str">
        <f t="shared" si="6"/>
        <v>CGVGR044.58_40345</v>
      </c>
      <c r="D415" t="s">
        <v>1824</v>
      </c>
      <c r="E415">
        <f>COUNTIF(data.SampSummary!$C$2:$C$958,C415)</f>
        <v>1</v>
      </c>
    </row>
    <row r="416" spans="1:5" x14ac:dyDescent="0.25">
      <c r="A416" t="s">
        <v>224</v>
      </c>
      <c r="B416" s="5">
        <v>38484</v>
      </c>
      <c r="C416" s="5" t="str">
        <f t="shared" si="6"/>
        <v>CGDIA000.06_38484</v>
      </c>
      <c r="D416" t="s">
        <v>1825</v>
      </c>
      <c r="E416">
        <f>COUNTIF(data.SampSummary!$C$2:$C$958,C416)</f>
        <v>1</v>
      </c>
    </row>
    <row r="417" spans="1:5" x14ac:dyDescent="0.25">
      <c r="A417" t="s">
        <v>255</v>
      </c>
      <c r="B417" s="5">
        <v>35927</v>
      </c>
      <c r="C417" s="5" t="str">
        <f t="shared" si="6"/>
        <v>SPARA017.25_35927</v>
      </c>
      <c r="D417" t="s">
        <v>1826</v>
      </c>
      <c r="E417">
        <f>COUNTIF(data.SampSummary!$C$2:$C$958,C417)</f>
        <v>0</v>
      </c>
    </row>
    <row r="418" spans="1:5" x14ac:dyDescent="0.25">
      <c r="A418" t="s">
        <v>102</v>
      </c>
      <c r="B418" s="5">
        <v>41079</v>
      </c>
      <c r="C418" s="5" t="str">
        <f t="shared" si="6"/>
        <v>UGKPK011.18_41079</v>
      </c>
      <c r="D418" t="s">
        <v>1827</v>
      </c>
      <c r="E418">
        <f>COUNTIF(data.SampSummary!$C$2:$C$958,C418)</f>
        <v>1</v>
      </c>
    </row>
    <row r="419" spans="1:5" x14ac:dyDescent="0.25">
      <c r="A419" t="s">
        <v>1828</v>
      </c>
      <c r="B419" s="5">
        <v>39974</v>
      </c>
      <c r="C419" s="5" t="str">
        <f t="shared" si="6"/>
        <v>SCSAB005.09_39974</v>
      </c>
      <c r="D419" t="s">
        <v>1829</v>
      </c>
      <c r="E419">
        <f>COUNTIF(data.SampSummary!$C$2:$C$958,C419)</f>
        <v>0</v>
      </c>
    </row>
    <row r="420" spans="1:5" x14ac:dyDescent="0.25">
      <c r="A420" t="s">
        <v>358</v>
      </c>
      <c r="B420" s="5">
        <v>39757</v>
      </c>
      <c r="C420" s="5" t="str">
        <f t="shared" si="6"/>
        <v>SRSPI011.63_39757</v>
      </c>
      <c r="D420" t="s">
        <v>1830</v>
      </c>
      <c r="E420">
        <f>COUNTIF(data.SampSummary!$C$2:$C$958,C420)</f>
        <v>0</v>
      </c>
    </row>
    <row r="421" spans="1:5" x14ac:dyDescent="0.25">
      <c r="A421" t="s">
        <v>288</v>
      </c>
      <c r="B421" s="5">
        <v>35542</v>
      </c>
      <c r="C421" s="5" t="str">
        <f t="shared" si="6"/>
        <v>MGDVC005.49_35542</v>
      </c>
      <c r="D421" t="s">
        <v>1831</v>
      </c>
      <c r="E421">
        <f>COUNTIF(data.SampSummary!$C$2:$C$958,C421)</f>
        <v>1</v>
      </c>
    </row>
    <row r="422" spans="1:5" x14ac:dyDescent="0.25">
      <c r="A422" t="s">
        <v>225</v>
      </c>
      <c r="B422" s="5">
        <v>38474</v>
      </c>
      <c r="C422" s="5" t="str">
        <f t="shared" si="6"/>
        <v>CGNAN000.20_38474</v>
      </c>
      <c r="D422" t="s">
        <v>1832</v>
      </c>
      <c r="E422">
        <f>COUNTIF(data.SampSummary!$C$2:$C$958,C422)</f>
        <v>1</v>
      </c>
    </row>
    <row r="423" spans="1:5" x14ac:dyDescent="0.25">
      <c r="A423" t="s">
        <v>77</v>
      </c>
      <c r="B423" s="5">
        <v>35935</v>
      </c>
      <c r="C423" s="5" t="str">
        <f t="shared" si="6"/>
        <v>SPMLC012.43_35935</v>
      </c>
      <c r="D423" t="s">
        <v>1833</v>
      </c>
      <c r="E423">
        <f>COUNTIF(data.SampSummary!$C$2:$C$958,C423)</f>
        <v>1</v>
      </c>
    </row>
    <row r="424" spans="1:5" x14ac:dyDescent="0.25">
      <c r="A424" t="s">
        <v>183</v>
      </c>
      <c r="B424" s="5">
        <v>36642</v>
      </c>
      <c r="C424" s="5" t="str">
        <f t="shared" si="6"/>
        <v>SPSPR126.35_36642</v>
      </c>
      <c r="D424" t="s">
        <v>1834</v>
      </c>
      <c r="E424">
        <f>COUNTIF(data.SampSummary!$C$2:$C$958,C424)</f>
        <v>2</v>
      </c>
    </row>
    <row r="425" spans="1:5" x14ac:dyDescent="0.25">
      <c r="A425" t="s">
        <v>228</v>
      </c>
      <c r="B425" s="5">
        <v>39968</v>
      </c>
      <c r="C425" s="5" t="str">
        <f t="shared" si="6"/>
        <v>MGHSR048.20_39968</v>
      </c>
      <c r="D425" t="s">
        <v>1835</v>
      </c>
      <c r="E425">
        <f>COUNTIF(data.SampSummary!$C$2:$C$958,C425)</f>
        <v>1</v>
      </c>
    </row>
    <row r="426" spans="1:5" x14ac:dyDescent="0.25">
      <c r="A426" t="s">
        <v>250</v>
      </c>
      <c r="B426" s="5">
        <v>41400</v>
      </c>
      <c r="C426" s="5" t="str">
        <f t="shared" si="6"/>
        <v>SRDEV000.38_41400</v>
      </c>
      <c r="D426" t="s">
        <v>1836</v>
      </c>
      <c r="E426">
        <f>COUNTIF(data.SampSummary!$C$2:$C$958,C426)</f>
        <v>1</v>
      </c>
    </row>
    <row r="427" spans="1:5" x14ac:dyDescent="0.25">
      <c r="A427" t="s">
        <v>104</v>
      </c>
      <c r="B427" s="5">
        <v>41435</v>
      </c>
      <c r="C427" s="5" t="str">
        <f t="shared" si="6"/>
        <v>LCWLR000.92_41435</v>
      </c>
      <c r="D427" t="s">
        <v>1837</v>
      </c>
      <c r="E427">
        <f>COUNTIF(data.SampSummary!$C$2:$C$958,C427)</f>
        <v>1</v>
      </c>
    </row>
    <row r="428" spans="1:5" x14ac:dyDescent="0.25">
      <c r="A428" t="s">
        <v>238</v>
      </c>
      <c r="B428" s="5">
        <v>41044</v>
      </c>
      <c r="C428" s="5" t="str">
        <f t="shared" si="6"/>
        <v>UGBLR008.19_41044</v>
      </c>
      <c r="D428" t="s">
        <v>1838</v>
      </c>
      <c r="E428">
        <f>COUNTIF(data.SampSummary!$C$2:$C$958,C428)</f>
        <v>1</v>
      </c>
    </row>
    <row r="429" spans="1:5" x14ac:dyDescent="0.25">
      <c r="A429" t="s">
        <v>226</v>
      </c>
      <c r="B429" s="5">
        <v>35914</v>
      </c>
      <c r="C429" s="5" t="str">
        <f t="shared" si="6"/>
        <v>MGSYD009.13_35914</v>
      </c>
      <c r="D429" t="s">
        <v>1839</v>
      </c>
      <c r="E429">
        <f>COUNTIF(data.SampSummary!$C$2:$C$958,C429)</f>
        <v>1</v>
      </c>
    </row>
    <row r="430" spans="1:5" x14ac:dyDescent="0.25">
      <c r="A430" t="s">
        <v>186</v>
      </c>
      <c r="B430" s="5">
        <v>37014</v>
      </c>
      <c r="C430" s="5" t="str">
        <f t="shared" si="6"/>
        <v>VREVR034.80_37014</v>
      </c>
      <c r="D430" t="s">
        <v>1840</v>
      </c>
      <c r="E430">
        <f>COUNTIF(data.SampSummary!$C$2:$C$958,C430)</f>
        <v>1</v>
      </c>
    </row>
    <row r="431" spans="1:5" x14ac:dyDescent="0.25">
      <c r="A431" t="s">
        <v>1817</v>
      </c>
      <c r="B431" s="5">
        <v>39926</v>
      </c>
      <c r="C431" s="5" t="str">
        <f t="shared" si="6"/>
        <v>MGCVE037.68_39926</v>
      </c>
      <c r="D431" t="s">
        <v>1841</v>
      </c>
      <c r="E431">
        <f>COUNTIF(data.SampSummary!$C$2:$C$958,C431)</f>
        <v>0</v>
      </c>
    </row>
    <row r="432" spans="1:5" x14ac:dyDescent="0.25">
      <c r="A432" t="s">
        <v>118</v>
      </c>
      <c r="B432" s="5">
        <v>40354</v>
      </c>
      <c r="C432" s="5" t="str">
        <f t="shared" si="6"/>
        <v>LCSIL027.05_40354</v>
      </c>
      <c r="D432" t="s">
        <v>1842</v>
      </c>
      <c r="E432">
        <f>COUNTIF(data.SampSummary!$C$2:$C$958,C432)</f>
        <v>1</v>
      </c>
    </row>
    <row r="433" spans="1:5" x14ac:dyDescent="0.25">
      <c r="A433" t="s">
        <v>1843</v>
      </c>
      <c r="B433" s="5">
        <v>39562</v>
      </c>
      <c r="C433" s="5" t="str">
        <f t="shared" si="6"/>
        <v>VRGRA027.35_39562</v>
      </c>
      <c r="D433" t="s">
        <v>1844</v>
      </c>
      <c r="E433">
        <f>COUNTIF(data.SampSummary!$C$2:$C$958,C433)</f>
        <v>0</v>
      </c>
    </row>
    <row r="434" spans="1:5" x14ac:dyDescent="0.25">
      <c r="A434" t="s">
        <v>128</v>
      </c>
      <c r="B434" s="5">
        <v>36705</v>
      </c>
      <c r="C434" s="5" t="str">
        <f t="shared" si="6"/>
        <v>LCLCR340.02_36705</v>
      </c>
      <c r="D434" t="s">
        <v>1845</v>
      </c>
      <c r="E434">
        <f>COUNTIF(data.SampSummary!$C$2:$C$958,C434)</f>
        <v>1</v>
      </c>
    </row>
    <row r="435" spans="1:5" x14ac:dyDescent="0.25">
      <c r="A435" t="s">
        <v>87</v>
      </c>
      <c r="B435" s="5">
        <v>40353</v>
      </c>
      <c r="C435" s="5" t="str">
        <f t="shared" si="6"/>
        <v>LCLVL001.32_40353</v>
      </c>
      <c r="D435" t="s">
        <v>1846</v>
      </c>
      <c r="E435">
        <f>COUNTIF(data.SampSummary!$C$2:$C$958,C435)</f>
        <v>1</v>
      </c>
    </row>
    <row r="436" spans="1:5" x14ac:dyDescent="0.25">
      <c r="A436" t="s">
        <v>314</v>
      </c>
      <c r="B436" s="5">
        <v>35606</v>
      </c>
      <c r="C436" s="5" t="str">
        <f t="shared" si="6"/>
        <v>VRSPN001.89_35606</v>
      </c>
      <c r="D436" t="s">
        <v>1847</v>
      </c>
      <c r="E436">
        <f>COUNTIF(data.SampSummary!$C$2:$C$958,C436)</f>
        <v>1</v>
      </c>
    </row>
    <row r="437" spans="1:5" x14ac:dyDescent="0.25">
      <c r="A437" t="s">
        <v>37</v>
      </c>
      <c r="B437" s="5">
        <v>39757</v>
      </c>
      <c r="C437" s="5" t="str">
        <f t="shared" si="6"/>
        <v>VRWOK000.82_39757</v>
      </c>
      <c r="D437" t="s">
        <v>1848</v>
      </c>
      <c r="E437">
        <f>COUNTIF(data.SampSummary!$C$2:$C$958,C437)</f>
        <v>0</v>
      </c>
    </row>
    <row r="438" spans="1:5" x14ac:dyDescent="0.25">
      <c r="A438" t="s">
        <v>256</v>
      </c>
      <c r="B438" s="5">
        <v>35549</v>
      </c>
      <c r="C438" s="5" t="str">
        <f t="shared" si="6"/>
        <v>SPRDC012.76_35549</v>
      </c>
      <c r="D438" t="s">
        <v>1849</v>
      </c>
      <c r="E438">
        <f>COUNTIF(data.SampSummary!$C$2:$C$958,C438)</f>
        <v>1</v>
      </c>
    </row>
    <row r="439" spans="1:5" x14ac:dyDescent="0.25">
      <c r="A439" t="s">
        <v>76</v>
      </c>
      <c r="B439" s="5">
        <v>37425</v>
      </c>
      <c r="C439" s="5" t="str">
        <f t="shared" si="6"/>
        <v>SREFB011.86_37425</v>
      </c>
      <c r="D439" t="s">
        <v>1850</v>
      </c>
      <c r="E439">
        <f>COUNTIF(data.SampSummary!$C$2:$C$958,C439)</f>
        <v>1</v>
      </c>
    </row>
    <row r="440" spans="1:5" x14ac:dyDescent="0.25">
      <c r="A440" t="s">
        <v>127</v>
      </c>
      <c r="B440" s="5">
        <v>41750</v>
      </c>
      <c r="C440" s="5" t="str">
        <f t="shared" si="6"/>
        <v>MGHSR108.19_41750</v>
      </c>
      <c r="D440" t="s">
        <v>1851</v>
      </c>
      <c r="E440">
        <f>COUNTIF(data.SampSummary!$C$2:$C$958,C440)</f>
        <v>1</v>
      </c>
    </row>
    <row r="441" spans="1:5" x14ac:dyDescent="0.25">
      <c r="A441" t="s">
        <v>1852</v>
      </c>
      <c r="B441" s="5">
        <v>35722</v>
      </c>
      <c r="C441" s="5" t="str">
        <f t="shared" si="6"/>
        <v>CGTAP000.57_35722</v>
      </c>
      <c r="D441" t="s">
        <v>1853</v>
      </c>
      <c r="E441">
        <f>COUNTIF(data.SampSummary!$C$2:$C$958,C441)</f>
        <v>0</v>
      </c>
    </row>
    <row r="442" spans="1:5" x14ac:dyDescent="0.25">
      <c r="A442" t="s">
        <v>230</v>
      </c>
      <c r="B442" s="5">
        <v>41414</v>
      </c>
      <c r="C442" s="5" t="str">
        <f t="shared" si="6"/>
        <v>VREVR023.59_41414</v>
      </c>
      <c r="D442" t="s">
        <v>1854</v>
      </c>
      <c r="E442">
        <f>COUNTIF(data.SampSummary!$C$2:$C$958,C442)</f>
        <v>1</v>
      </c>
    </row>
    <row r="443" spans="1:5" x14ac:dyDescent="0.25">
      <c r="A443" t="s">
        <v>1855</v>
      </c>
      <c r="B443" s="5">
        <v>39909</v>
      </c>
      <c r="C443" s="5" t="str">
        <f t="shared" si="6"/>
        <v>VRASP005.07_39909</v>
      </c>
      <c r="D443" t="s">
        <v>1856</v>
      </c>
      <c r="E443">
        <f>COUNTIF(data.SampSummary!$C$2:$C$958,C443)</f>
        <v>0</v>
      </c>
    </row>
    <row r="444" spans="1:5" x14ac:dyDescent="0.25">
      <c r="A444" t="s">
        <v>359</v>
      </c>
      <c r="B444" s="5">
        <v>36662</v>
      </c>
      <c r="C444" s="5" t="str">
        <f t="shared" si="6"/>
        <v>UGBON014.47_36662</v>
      </c>
      <c r="D444" t="s">
        <v>1857</v>
      </c>
      <c r="E444">
        <f>COUNTIF(data.SampSummary!$C$2:$C$958,C444)</f>
        <v>0</v>
      </c>
    </row>
    <row r="445" spans="1:5" x14ac:dyDescent="0.25">
      <c r="A445" t="s">
        <v>130</v>
      </c>
      <c r="B445" s="5">
        <v>40323</v>
      </c>
      <c r="C445" s="5" t="str">
        <f t="shared" si="6"/>
        <v>LCCHC073.26_40323</v>
      </c>
      <c r="D445" t="s">
        <v>1858</v>
      </c>
      <c r="E445">
        <f>COUNTIF(data.SampSummary!$C$2:$C$958,C445)</f>
        <v>1</v>
      </c>
    </row>
    <row r="446" spans="1:5" x14ac:dyDescent="0.25">
      <c r="A446" t="s">
        <v>1859</v>
      </c>
      <c r="B446" s="5">
        <v>35716</v>
      </c>
      <c r="C446" s="5" t="str">
        <f t="shared" si="6"/>
        <v>CGGDN001.09_35716</v>
      </c>
      <c r="D446" t="s">
        <v>1860</v>
      </c>
      <c r="E446">
        <f>COUNTIF(data.SampSummary!$C$2:$C$958,C446)</f>
        <v>0</v>
      </c>
    </row>
    <row r="447" spans="1:5" x14ac:dyDescent="0.25">
      <c r="A447" t="s">
        <v>360</v>
      </c>
      <c r="B447" s="5">
        <v>42466</v>
      </c>
      <c r="C447" s="5" t="str">
        <f t="shared" si="6"/>
        <v>SCSCR039.63_42466</v>
      </c>
      <c r="D447" t="s">
        <v>1861</v>
      </c>
      <c r="E447">
        <f>COUNTIF(data.SampSummary!$C$2:$C$958,C447)</f>
        <v>1</v>
      </c>
    </row>
    <row r="448" spans="1:5" x14ac:dyDescent="0.25">
      <c r="A448" t="s">
        <v>273</v>
      </c>
      <c r="B448" s="5">
        <v>39910</v>
      </c>
      <c r="C448" s="5" t="str">
        <f t="shared" si="6"/>
        <v>MGHSR058.80_39910</v>
      </c>
      <c r="D448" t="s">
        <v>1862</v>
      </c>
      <c r="E448">
        <f>COUNTIF(data.SampSummary!$C$2:$C$958,C448)</f>
        <v>1</v>
      </c>
    </row>
    <row r="449" spans="1:5" x14ac:dyDescent="0.25">
      <c r="A449" t="s">
        <v>49</v>
      </c>
      <c r="B449" s="5">
        <v>35682</v>
      </c>
      <c r="C449" s="5" t="str">
        <f t="shared" si="6"/>
        <v>VRWCL036.37_35682</v>
      </c>
      <c r="D449" t="s">
        <v>1863</v>
      </c>
      <c r="E449">
        <f>COUNTIF(data.SampSummary!$C$2:$C$958,C449)</f>
        <v>0</v>
      </c>
    </row>
    <row r="450" spans="1:5" x14ac:dyDescent="0.25">
      <c r="A450" t="s">
        <v>277</v>
      </c>
      <c r="B450" s="5">
        <v>35727</v>
      </c>
      <c r="C450" s="5" t="str">
        <f t="shared" si="6"/>
        <v>CGTHS000.04_35727</v>
      </c>
      <c r="D450" t="s">
        <v>1864</v>
      </c>
      <c r="E450">
        <f>COUNTIF(data.SampSummary!$C$2:$C$958,C450)</f>
        <v>0</v>
      </c>
    </row>
    <row r="451" spans="1:5" x14ac:dyDescent="0.25">
      <c r="A451" t="s">
        <v>193</v>
      </c>
      <c r="B451" s="5">
        <v>39610</v>
      </c>
      <c r="C451" s="5" t="str">
        <f t="shared" ref="C451:C514" si="7">A451&amp;"_"&amp;B451</f>
        <v>VRSYW001.72_39610</v>
      </c>
      <c r="D451" t="s">
        <v>1865</v>
      </c>
      <c r="E451">
        <f>COUNTIF(data.SampSummary!$C$2:$C$958,C451)</f>
        <v>1</v>
      </c>
    </row>
    <row r="452" spans="1:5" x14ac:dyDescent="0.25">
      <c r="A452" t="s">
        <v>294</v>
      </c>
      <c r="B452" s="5">
        <v>38462</v>
      </c>
      <c r="C452" s="5" t="str">
        <f t="shared" si="7"/>
        <v>VRVER164.63_38462</v>
      </c>
      <c r="D452" t="s">
        <v>1866</v>
      </c>
      <c r="E452">
        <f>COUNTIF(data.SampSummary!$C$2:$C$958,C452)</f>
        <v>1</v>
      </c>
    </row>
    <row r="453" spans="1:5" x14ac:dyDescent="0.25">
      <c r="A453" t="s">
        <v>1867</v>
      </c>
      <c r="B453" s="5">
        <v>38112</v>
      </c>
      <c r="C453" s="5" t="str">
        <f t="shared" si="7"/>
        <v>MGFRG007.28_38112</v>
      </c>
      <c r="D453" t="s">
        <v>1868</v>
      </c>
      <c r="E453">
        <f>COUNTIF(data.SampSummary!$C$2:$C$958,C453)</f>
        <v>0</v>
      </c>
    </row>
    <row r="454" spans="1:5" x14ac:dyDescent="0.25">
      <c r="A454" t="s">
        <v>205</v>
      </c>
      <c r="B454" s="5">
        <v>38478</v>
      </c>
      <c r="C454" s="5" t="str">
        <f t="shared" si="7"/>
        <v>CGRYA000.05_38478</v>
      </c>
      <c r="D454" t="s">
        <v>1869</v>
      </c>
      <c r="E454">
        <f>COUNTIF(data.SampSummary!$C$2:$C$958,C454)</f>
        <v>1</v>
      </c>
    </row>
    <row r="455" spans="1:5" x14ac:dyDescent="0.25">
      <c r="A455" t="s">
        <v>242</v>
      </c>
      <c r="B455" s="5">
        <v>38119</v>
      </c>
      <c r="C455" s="5" t="str">
        <f t="shared" si="7"/>
        <v>VROAK031.38_38119</v>
      </c>
      <c r="D455" t="s">
        <v>1870</v>
      </c>
      <c r="E455">
        <f>COUNTIF(data.SampSummary!$C$2:$C$958,C455)</f>
        <v>2</v>
      </c>
    </row>
    <row r="456" spans="1:5" x14ac:dyDescent="0.25">
      <c r="A456" t="s">
        <v>85</v>
      </c>
      <c r="B456" s="5">
        <v>35955</v>
      </c>
      <c r="C456" s="5" t="str">
        <f t="shared" si="7"/>
        <v>SRFIS004.49_35955</v>
      </c>
      <c r="D456" t="s">
        <v>1871</v>
      </c>
      <c r="E456">
        <f>COUNTIF(data.SampSummary!$C$2:$C$958,C456)</f>
        <v>1</v>
      </c>
    </row>
    <row r="457" spans="1:5" x14ac:dyDescent="0.25">
      <c r="A457" t="s">
        <v>231</v>
      </c>
      <c r="B457" s="5">
        <v>41368</v>
      </c>
      <c r="C457" s="5" t="str">
        <f t="shared" si="7"/>
        <v>SPARA026.35_41368</v>
      </c>
      <c r="D457" t="s">
        <v>1872</v>
      </c>
      <c r="E457">
        <f>COUNTIF(data.SampSummary!$C$2:$C$958,C457)</f>
        <v>2</v>
      </c>
    </row>
    <row r="458" spans="1:5" x14ac:dyDescent="0.25">
      <c r="A458" t="s">
        <v>247</v>
      </c>
      <c r="B458" s="5">
        <v>37018</v>
      </c>
      <c r="C458" s="5" t="str">
        <f t="shared" si="7"/>
        <v>BWTRT002.43_37018</v>
      </c>
      <c r="D458" t="s">
        <v>1873</v>
      </c>
      <c r="E458">
        <f>COUNTIF(data.SampSummary!$C$2:$C$958,C458)</f>
        <v>1</v>
      </c>
    </row>
    <row r="459" spans="1:5" x14ac:dyDescent="0.25">
      <c r="A459" t="s">
        <v>273</v>
      </c>
      <c r="B459" s="5">
        <v>42109</v>
      </c>
      <c r="C459" s="5" t="str">
        <f t="shared" si="7"/>
        <v>MGHSR058.80_42109</v>
      </c>
      <c r="D459" t="s">
        <v>1874</v>
      </c>
      <c r="E459">
        <f>COUNTIF(data.SampSummary!$C$2:$C$958,C459)</f>
        <v>1</v>
      </c>
    </row>
    <row r="460" spans="1:5" x14ac:dyDescent="0.25">
      <c r="A460" t="s">
        <v>1875</v>
      </c>
      <c r="B460" s="5">
        <v>35390</v>
      </c>
      <c r="C460" s="5" t="str">
        <f t="shared" si="7"/>
        <v>UGBON010.37_35390</v>
      </c>
      <c r="D460" t="s">
        <v>1876</v>
      </c>
      <c r="E460">
        <f>COUNTIF(data.SampSummary!$C$2:$C$958,C460)</f>
        <v>0</v>
      </c>
    </row>
    <row r="461" spans="1:5" x14ac:dyDescent="0.25">
      <c r="A461" t="s">
        <v>115</v>
      </c>
      <c r="B461" s="5">
        <v>41787</v>
      </c>
      <c r="C461" s="5" t="str">
        <f t="shared" si="7"/>
        <v>LCNUT011.29_41787</v>
      </c>
      <c r="D461" t="s">
        <v>1877</v>
      </c>
      <c r="E461">
        <f>COUNTIF(data.SampSummary!$C$2:$C$958,C461)</f>
        <v>1</v>
      </c>
    </row>
    <row r="462" spans="1:5" x14ac:dyDescent="0.25">
      <c r="A462" t="s">
        <v>18</v>
      </c>
      <c r="B462" s="5">
        <v>39989</v>
      </c>
      <c r="C462" s="5" t="str">
        <f t="shared" si="7"/>
        <v>SPGRA007.71_39989</v>
      </c>
      <c r="D462" t="s">
        <v>1878</v>
      </c>
      <c r="E462">
        <f>COUNTIF(data.SampSummary!$C$2:$C$958,C462)</f>
        <v>1</v>
      </c>
    </row>
    <row r="463" spans="1:5" x14ac:dyDescent="0.25">
      <c r="A463" t="s">
        <v>154</v>
      </c>
      <c r="B463" s="5">
        <v>39933</v>
      </c>
      <c r="C463" s="5" t="str">
        <f t="shared" si="7"/>
        <v>SPGDN007.55_39933</v>
      </c>
      <c r="D463" t="s">
        <v>1879</v>
      </c>
      <c r="E463">
        <f>COUNTIF(data.SampSummary!$C$2:$C$958,C463)</f>
        <v>1</v>
      </c>
    </row>
    <row r="464" spans="1:5" x14ac:dyDescent="0.25">
      <c r="A464" t="s">
        <v>153</v>
      </c>
      <c r="B464" s="5">
        <v>39212</v>
      </c>
      <c r="C464" s="5" t="str">
        <f t="shared" si="7"/>
        <v>LCRIG004.87_39212</v>
      </c>
      <c r="D464" t="s">
        <v>1880</v>
      </c>
      <c r="E464">
        <f>COUNTIF(data.SampSummary!$C$2:$C$958,C464)</f>
        <v>1</v>
      </c>
    </row>
    <row r="465" spans="1:5" x14ac:dyDescent="0.25">
      <c r="A465" t="s">
        <v>106</v>
      </c>
      <c r="B465" s="5">
        <v>40351</v>
      </c>
      <c r="C465" s="5" t="str">
        <f t="shared" si="7"/>
        <v>LCWLR007.37_40351</v>
      </c>
      <c r="D465" t="s">
        <v>1881</v>
      </c>
      <c r="E465">
        <f>COUNTIF(data.SampSummary!$C$2:$C$958,C465)</f>
        <v>0</v>
      </c>
    </row>
    <row r="466" spans="1:5" x14ac:dyDescent="0.25">
      <c r="A466" t="s">
        <v>261</v>
      </c>
      <c r="B466" s="5">
        <v>36285</v>
      </c>
      <c r="C466" s="5" t="str">
        <f t="shared" si="7"/>
        <v>VRWBV012.56_36285</v>
      </c>
      <c r="D466" t="s">
        <v>1882</v>
      </c>
      <c r="E466">
        <f>COUNTIF(data.SampSummary!$C$2:$C$958,C466)</f>
        <v>1</v>
      </c>
    </row>
    <row r="467" spans="1:5" x14ac:dyDescent="0.25">
      <c r="A467" t="s">
        <v>211</v>
      </c>
      <c r="B467" s="5">
        <v>42464</v>
      </c>
      <c r="C467" s="5" t="str">
        <f t="shared" si="7"/>
        <v>MGAFR110.01_42464</v>
      </c>
      <c r="D467" t="s">
        <v>1883</v>
      </c>
      <c r="E467">
        <f>COUNTIF(data.SampSummary!$C$2:$C$958,C467)</f>
        <v>1</v>
      </c>
    </row>
    <row r="468" spans="1:5" x14ac:dyDescent="0.25">
      <c r="A468" t="s">
        <v>267</v>
      </c>
      <c r="B468" s="5">
        <v>39584</v>
      </c>
      <c r="C468" s="5" t="str">
        <f t="shared" si="7"/>
        <v>VRSYH000.25_39584</v>
      </c>
      <c r="D468" t="s">
        <v>1884</v>
      </c>
      <c r="E468">
        <f>COUNTIF(data.SampSummary!$C$2:$C$958,C468)</f>
        <v>1</v>
      </c>
    </row>
    <row r="469" spans="1:5" x14ac:dyDescent="0.25">
      <c r="A469" t="s">
        <v>296</v>
      </c>
      <c r="B469" s="5">
        <v>38855</v>
      </c>
      <c r="C469" s="5" t="str">
        <f t="shared" si="7"/>
        <v>UGDIX000.78_38855</v>
      </c>
      <c r="D469" t="s">
        <v>1885</v>
      </c>
      <c r="E469">
        <f>COUNTIF(data.SampSummary!$C$2:$C$958,C469)</f>
        <v>2</v>
      </c>
    </row>
    <row r="470" spans="1:5" x14ac:dyDescent="0.25">
      <c r="A470" t="s">
        <v>351</v>
      </c>
      <c r="B470" s="5">
        <v>36663</v>
      </c>
      <c r="C470" s="5" t="str">
        <f t="shared" si="7"/>
        <v>UGEAG010.12_36663</v>
      </c>
      <c r="D470" t="s">
        <v>1886</v>
      </c>
      <c r="E470">
        <f>COUNTIF(data.SampSummary!$C$2:$C$958,C470)</f>
        <v>1</v>
      </c>
    </row>
    <row r="471" spans="1:5" x14ac:dyDescent="0.25">
      <c r="A471" t="s">
        <v>261</v>
      </c>
      <c r="B471" s="5">
        <v>41386</v>
      </c>
      <c r="C471" s="5" t="str">
        <f t="shared" si="7"/>
        <v>VRWBV012.56_41386</v>
      </c>
      <c r="D471" t="s">
        <v>1887</v>
      </c>
      <c r="E471">
        <f>COUNTIF(data.SampSummary!$C$2:$C$958,C471)</f>
        <v>1</v>
      </c>
    </row>
    <row r="472" spans="1:5" x14ac:dyDescent="0.25">
      <c r="A472" t="s">
        <v>169</v>
      </c>
      <c r="B472" s="5">
        <v>42534</v>
      </c>
      <c r="C472" s="5" t="str">
        <f t="shared" si="7"/>
        <v>SRUEF000.87_42534</v>
      </c>
      <c r="D472" t="s">
        <v>1888</v>
      </c>
      <c r="E472">
        <f>COUNTIF(data.SampSummary!$C$2:$C$958,C472)</f>
        <v>1</v>
      </c>
    </row>
    <row r="473" spans="1:5" x14ac:dyDescent="0.25">
      <c r="A473" t="s">
        <v>228</v>
      </c>
      <c r="B473" s="5">
        <v>42109</v>
      </c>
      <c r="C473" s="5" t="str">
        <f t="shared" si="7"/>
        <v>MGHSR048.20_42109</v>
      </c>
      <c r="D473" t="s">
        <v>1889</v>
      </c>
      <c r="E473">
        <f>COUNTIF(data.SampSummary!$C$2:$C$958,C473)</f>
        <v>1</v>
      </c>
    </row>
    <row r="474" spans="1:5" x14ac:dyDescent="0.25">
      <c r="A474" t="s">
        <v>292</v>
      </c>
      <c r="B474" s="5">
        <v>36629</v>
      </c>
      <c r="C474" s="5" t="str">
        <f t="shared" si="7"/>
        <v>SPSPR005.28_36629</v>
      </c>
      <c r="D474" t="s">
        <v>1890</v>
      </c>
      <c r="E474">
        <f>COUNTIF(data.SampSummary!$C$2:$C$958,C474)</f>
        <v>0</v>
      </c>
    </row>
    <row r="475" spans="1:5" x14ac:dyDescent="0.25">
      <c r="A475" t="s">
        <v>83</v>
      </c>
      <c r="B475" s="5">
        <v>40353</v>
      </c>
      <c r="C475" s="5" t="str">
        <f t="shared" si="7"/>
        <v>LCELR008.70_40353</v>
      </c>
      <c r="D475" t="s">
        <v>1891</v>
      </c>
      <c r="E475">
        <f>COUNTIF(data.SampSummary!$C$2:$C$958,C475)</f>
        <v>1</v>
      </c>
    </row>
    <row r="476" spans="1:5" x14ac:dyDescent="0.25">
      <c r="A476" t="s">
        <v>369</v>
      </c>
      <c r="B476" s="5">
        <v>41410</v>
      </c>
      <c r="C476" s="5" t="str">
        <f t="shared" si="7"/>
        <v>MGHSR002.67_41410</v>
      </c>
      <c r="D476" t="s">
        <v>1892</v>
      </c>
      <c r="E476">
        <f>COUNTIF(data.SampSummary!$C$2:$C$958,C476)</f>
        <v>1</v>
      </c>
    </row>
    <row r="477" spans="1:5" x14ac:dyDescent="0.25">
      <c r="A477" t="s">
        <v>203</v>
      </c>
      <c r="B477" s="5">
        <v>39911</v>
      </c>
      <c r="C477" s="5" t="str">
        <f t="shared" si="7"/>
        <v>MGLSY000.42_39911</v>
      </c>
      <c r="D477" t="s">
        <v>1893</v>
      </c>
      <c r="E477">
        <f>COUNTIF(data.SampSummary!$C$2:$C$958,C477)</f>
        <v>1</v>
      </c>
    </row>
    <row r="478" spans="1:5" x14ac:dyDescent="0.25">
      <c r="A478" t="s">
        <v>1894</v>
      </c>
      <c r="B478" s="5">
        <v>42507</v>
      </c>
      <c r="C478" s="5" t="str">
        <f t="shared" si="7"/>
        <v>SRFIN000.78_42507</v>
      </c>
      <c r="D478" t="s">
        <v>1895</v>
      </c>
      <c r="E478">
        <f>COUNTIF(data.SampSummary!$C$2:$C$958,C478)</f>
        <v>0</v>
      </c>
    </row>
    <row r="479" spans="1:5" x14ac:dyDescent="0.25">
      <c r="A479" t="s">
        <v>58</v>
      </c>
      <c r="B479" s="5">
        <v>37069</v>
      </c>
      <c r="C479" s="5" t="str">
        <f t="shared" si="7"/>
        <v>LCLCR350.32_37069</v>
      </c>
      <c r="D479" t="s">
        <v>1896</v>
      </c>
      <c r="E479">
        <f>COUNTIF(data.SampSummary!$C$2:$C$958,C479)</f>
        <v>1</v>
      </c>
    </row>
    <row r="480" spans="1:5" x14ac:dyDescent="0.25">
      <c r="A480" t="s">
        <v>217</v>
      </c>
      <c r="B480" s="5">
        <v>37761</v>
      </c>
      <c r="C480" s="5" t="str">
        <f t="shared" si="7"/>
        <v>SPARA010.19_37761</v>
      </c>
      <c r="D480" t="s">
        <v>1897</v>
      </c>
      <c r="E480">
        <f>COUNTIF(data.SampSummary!$C$2:$C$958,C480)</f>
        <v>1</v>
      </c>
    </row>
    <row r="481" spans="1:5" x14ac:dyDescent="0.25">
      <c r="A481" t="s">
        <v>275</v>
      </c>
      <c r="B481" s="5">
        <v>37364</v>
      </c>
      <c r="C481" s="5" t="str">
        <f t="shared" si="7"/>
        <v>MGLAS004.52_37364</v>
      </c>
      <c r="D481" t="s">
        <v>1898</v>
      </c>
      <c r="E481">
        <f>COUNTIF(data.SampSummary!$C$2:$C$958,C481)</f>
        <v>1</v>
      </c>
    </row>
    <row r="482" spans="1:5" x14ac:dyDescent="0.25">
      <c r="A482" t="s">
        <v>130</v>
      </c>
      <c r="B482" s="5">
        <v>41778</v>
      </c>
      <c r="C482" s="5" t="str">
        <f t="shared" si="7"/>
        <v>LCCHC073.26_41778</v>
      </c>
      <c r="D482" t="s">
        <v>1899</v>
      </c>
      <c r="E482">
        <f>COUNTIF(data.SampSummary!$C$2:$C$958,C482)</f>
        <v>1</v>
      </c>
    </row>
    <row r="483" spans="1:5" x14ac:dyDescent="0.25">
      <c r="A483" t="s">
        <v>52</v>
      </c>
      <c r="B483" s="5">
        <v>37405</v>
      </c>
      <c r="C483" s="5" t="str">
        <f t="shared" si="7"/>
        <v>UGCAV016.84_37405</v>
      </c>
      <c r="D483" t="s">
        <v>1900</v>
      </c>
      <c r="E483">
        <f>COUNTIF(data.SampSummary!$C$2:$C$958,C483)</f>
        <v>1</v>
      </c>
    </row>
    <row r="484" spans="1:5" x14ac:dyDescent="0.25">
      <c r="A484" t="s">
        <v>221</v>
      </c>
      <c r="B484" s="5">
        <v>39771</v>
      </c>
      <c r="C484" s="5" t="str">
        <f t="shared" si="7"/>
        <v>MGSYD009.51_39771</v>
      </c>
      <c r="D484" t="s">
        <v>1901</v>
      </c>
      <c r="E484">
        <f>COUNTIF(data.SampSummary!$C$2:$C$958,C484)</f>
        <v>0</v>
      </c>
    </row>
    <row r="485" spans="1:5" x14ac:dyDescent="0.25">
      <c r="A485" t="s">
        <v>111</v>
      </c>
      <c r="B485" s="5">
        <v>39217</v>
      </c>
      <c r="C485" s="5" t="str">
        <f t="shared" si="7"/>
        <v>LCLCR211.73_39217</v>
      </c>
      <c r="D485" t="s">
        <v>1902</v>
      </c>
      <c r="E485">
        <f>COUNTIF(data.SampSummary!$C$2:$C$958,C485)</f>
        <v>1</v>
      </c>
    </row>
    <row r="486" spans="1:5" x14ac:dyDescent="0.25">
      <c r="A486" t="s">
        <v>367</v>
      </c>
      <c r="B486" s="5">
        <v>35557</v>
      </c>
      <c r="C486" s="5" t="str">
        <f t="shared" si="7"/>
        <v>VRBIT003.17_35557</v>
      </c>
      <c r="D486" t="s">
        <v>1903</v>
      </c>
      <c r="E486">
        <f>COUNTIF(data.SampSummary!$C$2:$C$958,C486)</f>
        <v>1</v>
      </c>
    </row>
    <row r="487" spans="1:5" x14ac:dyDescent="0.25">
      <c r="A487" t="s">
        <v>238</v>
      </c>
      <c r="B487" s="5">
        <v>37027</v>
      </c>
      <c r="C487" s="5" t="str">
        <f t="shared" si="7"/>
        <v>UGBLR008.19_37027</v>
      </c>
      <c r="D487" t="s">
        <v>1904</v>
      </c>
      <c r="E487">
        <f>COUNTIF(data.SampSummary!$C$2:$C$958,C487)</f>
        <v>1</v>
      </c>
    </row>
    <row r="488" spans="1:5" x14ac:dyDescent="0.25">
      <c r="A488" t="s">
        <v>199</v>
      </c>
      <c r="B488" s="5">
        <v>39946</v>
      </c>
      <c r="C488" s="5" t="str">
        <f t="shared" si="7"/>
        <v>UGBON006.41_39946</v>
      </c>
      <c r="D488" t="s">
        <v>1905</v>
      </c>
      <c r="E488">
        <f>COUNTIF(data.SampSummary!$C$2:$C$958,C488)</f>
        <v>1</v>
      </c>
    </row>
    <row r="489" spans="1:5" x14ac:dyDescent="0.25">
      <c r="A489" t="s">
        <v>346</v>
      </c>
      <c r="B489" s="5">
        <v>41401</v>
      </c>
      <c r="C489" s="5" t="str">
        <f t="shared" si="7"/>
        <v>UGGLR446.02_41401</v>
      </c>
      <c r="D489" t="s">
        <v>1906</v>
      </c>
      <c r="E489">
        <f>COUNTIF(data.SampSummary!$C$2:$C$958,C489)</f>
        <v>1</v>
      </c>
    </row>
    <row r="490" spans="1:5" x14ac:dyDescent="0.25">
      <c r="A490" t="s">
        <v>193</v>
      </c>
      <c r="B490" s="5">
        <v>35921</v>
      </c>
      <c r="C490" s="5" t="str">
        <f t="shared" si="7"/>
        <v>VRSYW001.72_35921</v>
      </c>
      <c r="D490" t="s">
        <v>1907</v>
      </c>
      <c r="E490">
        <f>COUNTIF(data.SampSummary!$C$2:$C$958,C490)</f>
        <v>1</v>
      </c>
    </row>
    <row r="491" spans="1:5" x14ac:dyDescent="0.25">
      <c r="A491" t="s">
        <v>274</v>
      </c>
      <c r="B491" s="5">
        <v>39604</v>
      </c>
      <c r="C491" s="5" t="str">
        <f t="shared" si="7"/>
        <v>VRVER165.07_39604</v>
      </c>
      <c r="D491" t="s">
        <v>1908</v>
      </c>
      <c r="E491">
        <f>COUNTIF(data.SampSummary!$C$2:$C$958,C491)</f>
        <v>1</v>
      </c>
    </row>
    <row r="492" spans="1:5" x14ac:dyDescent="0.25">
      <c r="A492" t="s">
        <v>262</v>
      </c>
      <c r="B492" s="5">
        <v>37761</v>
      </c>
      <c r="C492" s="5" t="str">
        <f t="shared" si="7"/>
        <v>UGEAG040.33_37761</v>
      </c>
      <c r="D492" t="s">
        <v>1909</v>
      </c>
      <c r="E492">
        <f>COUNTIF(data.SampSummary!$C$2:$C$958,C492)</f>
        <v>1</v>
      </c>
    </row>
    <row r="493" spans="1:5" x14ac:dyDescent="0.25">
      <c r="A493" t="s">
        <v>1910</v>
      </c>
      <c r="B493" s="5">
        <v>39881</v>
      </c>
      <c r="C493" s="5" t="str">
        <f t="shared" si="7"/>
        <v>VRCAM000.79_39881</v>
      </c>
      <c r="D493" t="s">
        <v>1911</v>
      </c>
      <c r="E493">
        <f>COUNTIF(data.SampSummary!$C$2:$C$958,C493)</f>
        <v>0</v>
      </c>
    </row>
    <row r="494" spans="1:5" x14ac:dyDescent="0.25">
      <c r="A494" t="s">
        <v>208</v>
      </c>
      <c r="B494" s="5">
        <v>36994</v>
      </c>
      <c r="C494" s="5" t="str">
        <f t="shared" si="7"/>
        <v>SCSON014.52_36994</v>
      </c>
      <c r="D494" t="s">
        <v>1912</v>
      </c>
      <c r="E494">
        <f>COUNTIF(data.SampSummary!$C$2:$C$958,C494)</f>
        <v>1</v>
      </c>
    </row>
    <row r="495" spans="1:5" x14ac:dyDescent="0.25">
      <c r="A495" t="s">
        <v>95</v>
      </c>
      <c r="B495" s="5">
        <v>40360</v>
      </c>
      <c r="C495" s="5" t="str">
        <f t="shared" si="7"/>
        <v>LCRUD008.43_40360</v>
      </c>
      <c r="D495" t="s">
        <v>1913</v>
      </c>
      <c r="E495">
        <f>COUNTIF(data.SampSummary!$C$2:$C$958,C495)</f>
        <v>1</v>
      </c>
    </row>
    <row r="496" spans="1:5" x14ac:dyDescent="0.25">
      <c r="A496" t="s">
        <v>269</v>
      </c>
      <c r="B496" s="5">
        <v>41402</v>
      </c>
      <c r="C496" s="5" t="str">
        <f t="shared" si="7"/>
        <v>SRCHE011.90_41402</v>
      </c>
      <c r="D496" t="s">
        <v>1914</v>
      </c>
      <c r="E496">
        <f>COUNTIF(data.SampSummary!$C$2:$C$958,C496)</f>
        <v>1</v>
      </c>
    </row>
    <row r="497" spans="1:5" x14ac:dyDescent="0.25">
      <c r="A497" t="s">
        <v>110</v>
      </c>
      <c r="B497" s="5">
        <v>35950</v>
      </c>
      <c r="C497" s="5" t="str">
        <f t="shared" si="7"/>
        <v>SRWFB015.22_35950</v>
      </c>
      <c r="D497" t="s">
        <v>1915</v>
      </c>
      <c r="E497">
        <f>COUNTIF(data.SampSummary!$C$2:$C$958,C497)</f>
        <v>1</v>
      </c>
    </row>
    <row r="498" spans="1:5" x14ac:dyDescent="0.25">
      <c r="A498" t="s">
        <v>362</v>
      </c>
      <c r="B498" s="5">
        <v>39799</v>
      </c>
      <c r="C498" s="5" t="str">
        <f t="shared" si="7"/>
        <v>SCSCR034.56_39799</v>
      </c>
      <c r="D498" t="s">
        <v>1916</v>
      </c>
      <c r="E498">
        <f>COUNTIF(data.SampSummary!$C$2:$C$958,C498)</f>
        <v>0</v>
      </c>
    </row>
    <row r="499" spans="1:5" x14ac:dyDescent="0.25">
      <c r="A499" t="s">
        <v>99</v>
      </c>
      <c r="B499" s="5">
        <v>37788</v>
      </c>
      <c r="C499" s="5" t="str">
        <f t="shared" si="7"/>
        <v>LCWLR004.09_37788</v>
      </c>
      <c r="D499" t="s">
        <v>1917</v>
      </c>
      <c r="E499">
        <f>COUNTIF(data.SampSummary!$C$2:$C$958,C499)</f>
        <v>1</v>
      </c>
    </row>
    <row r="500" spans="1:5" x14ac:dyDescent="0.25">
      <c r="A500" t="s">
        <v>294</v>
      </c>
      <c r="B500" s="5">
        <v>36627</v>
      </c>
      <c r="C500" s="5" t="str">
        <f t="shared" si="7"/>
        <v>VRVER164.63_36627</v>
      </c>
      <c r="D500" t="s">
        <v>1918</v>
      </c>
      <c r="E500">
        <f>COUNTIF(data.SampSummary!$C$2:$C$958,C500)</f>
        <v>1</v>
      </c>
    </row>
    <row r="501" spans="1:5" x14ac:dyDescent="0.25">
      <c r="A501" t="s">
        <v>261</v>
      </c>
      <c r="B501" s="5">
        <v>39758</v>
      </c>
      <c r="C501" s="5" t="str">
        <f t="shared" si="7"/>
        <v>VRWBV012.56_39758</v>
      </c>
      <c r="D501" t="s">
        <v>1919</v>
      </c>
      <c r="E501">
        <f>COUNTIF(data.SampSummary!$C$2:$C$958,C501)</f>
        <v>0</v>
      </c>
    </row>
    <row r="502" spans="1:5" x14ac:dyDescent="0.25">
      <c r="A502" t="s">
        <v>275</v>
      </c>
      <c r="B502" s="5">
        <v>35914</v>
      </c>
      <c r="C502" s="5" t="str">
        <f t="shared" si="7"/>
        <v>MGLAS004.52_35914</v>
      </c>
      <c r="D502" t="s">
        <v>1920</v>
      </c>
      <c r="E502">
        <f>COUNTIF(data.SampSummary!$C$2:$C$958,C502)</f>
        <v>1</v>
      </c>
    </row>
    <row r="503" spans="1:5" x14ac:dyDescent="0.25">
      <c r="A503" t="s">
        <v>214</v>
      </c>
      <c r="B503" s="5">
        <v>38481</v>
      </c>
      <c r="C503" s="5" t="str">
        <f t="shared" si="7"/>
        <v>CGKAN000.26_38481</v>
      </c>
      <c r="D503" t="s">
        <v>1921</v>
      </c>
      <c r="E503">
        <f>COUNTIF(data.SampSummary!$C$2:$C$958,C503)</f>
        <v>1</v>
      </c>
    </row>
    <row r="504" spans="1:5" x14ac:dyDescent="0.25">
      <c r="A504" t="s">
        <v>342</v>
      </c>
      <c r="B504" s="5">
        <v>37026</v>
      </c>
      <c r="C504" s="5" t="str">
        <f t="shared" si="7"/>
        <v>UGBON000.17_37026</v>
      </c>
      <c r="D504" t="s">
        <v>1922</v>
      </c>
      <c r="E504">
        <f>COUNTIF(data.SampSummary!$C$2:$C$958,C504)</f>
        <v>1</v>
      </c>
    </row>
    <row r="505" spans="1:5" x14ac:dyDescent="0.25">
      <c r="A505" t="s">
        <v>217</v>
      </c>
      <c r="B505" s="5">
        <v>42115</v>
      </c>
      <c r="C505" s="5" t="str">
        <f t="shared" si="7"/>
        <v>SPARA010.19_42115</v>
      </c>
      <c r="D505" t="s">
        <v>1923</v>
      </c>
      <c r="E505">
        <f>COUNTIF(data.SampSummary!$C$2:$C$958,C505)</f>
        <v>2</v>
      </c>
    </row>
    <row r="506" spans="1:5" x14ac:dyDescent="0.25">
      <c r="A506" t="s">
        <v>1924</v>
      </c>
      <c r="B506" s="5">
        <v>39896</v>
      </c>
      <c r="C506" s="5" t="str">
        <f t="shared" si="7"/>
        <v>SRR2K004.34_39896</v>
      </c>
      <c r="D506" t="s">
        <v>1925</v>
      </c>
      <c r="E506">
        <f>COUNTIF(data.SampSummary!$C$2:$C$958,C506)</f>
        <v>0</v>
      </c>
    </row>
    <row r="507" spans="1:5" x14ac:dyDescent="0.25">
      <c r="A507" t="s">
        <v>321</v>
      </c>
      <c r="B507" s="5">
        <v>35901</v>
      </c>
      <c r="C507" s="5" t="str">
        <f t="shared" si="7"/>
        <v>MGNWR054.26_35901</v>
      </c>
      <c r="D507" t="s">
        <v>1926</v>
      </c>
      <c r="E507">
        <f>COUNTIF(data.SampSummary!$C$2:$C$958,C507)</f>
        <v>0</v>
      </c>
    </row>
    <row r="508" spans="1:5" x14ac:dyDescent="0.25">
      <c r="A508" t="s">
        <v>1927</v>
      </c>
      <c r="B508" s="5">
        <v>39568</v>
      </c>
      <c r="C508" s="5" t="str">
        <f t="shared" si="7"/>
        <v>SRHNC000.14_39568</v>
      </c>
      <c r="D508" t="s">
        <v>1928</v>
      </c>
      <c r="E508">
        <f>COUNTIF(data.SampSummary!$C$2:$C$958,C508)</f>
        <v>0</v>
      </c>
    </row>
    <row r="509" spans="1:5" x14ac:dyDescent="0.25">
      <c r="A509" t="s">
        <v>204</v>
      </c>
      <c r="B509" s="5">
        <v>36669</v>
      </c>
      <c r="C509" s="5" t="str">
        <f t="shared" si="7"/>
        <v>SPBAS001.64_36669</v>
      </c>
      <c r="D509" t="s">
        <v>1929</v>
      </c>
      <c r="E509">
        <f>COUNTIF(data.SampSummary!$C$2:$C$958,C509)</f>
        <v>1</v>
      </c>
    </row>
    <row r="510" spans="1:5" x14ac:dyDescent="0.25">
      <c r="A510" t="s">
        <v>38</v>
      </c>
      <c r="B510" s="5">
        <v>40023</v>
      </c>
      <c r="C510" s="5" t="str">
        <f t="shared" si="7"/>
        <v>UGBLR046.35_40023</v>
      </c>
      <c r="D510" t="s">
        <v>1930</v>
      </c>
      <c r="E510">
        <f>COUNTIF(data.SampSummary!$C$2:$C$958,C510)</f>
        <v>1</v>
      </c>
    </row>
    <row r="511" spans="1:5" x14ac:dyDescent="0.25">
      <c r="A511" t="s">
        <v>165</v>
      </c>
      <c r="B511" s="5">
        <v>39743</v>
      </c>
      <c r="C511" s="5" t="str">
        <f t="shared" si="7"/>
        <v>SRBON001.69_39743</v>
      </c>
      <c r="D511" t="s">
        <v>1931</v>
      </c>
      <c r="E511">
        <f>COUNTIF(data.SampSummary!$C$2:$C$958,C511)</f>
        <v>0</v>
      </c>
    </row>
    <row r="512" spans="1:5" x14ac:dyDescent="0.25">
      <c r="A512" t="s">
        <v>20</v>
      </c>
      <c r="B512" s="5">
        <v>39637</v>
      </c>
      <c r="C512" s="5" t="str">
        <f t="shared" si="7"/>
        <v>VROAK048.36_39637</v>
      </c>
      <c r="D512" t="s">
        <v>1932</v>
      </c>
      <c r="E512">
        <f>COUNTIF(data.SampSummary!$C$2:$C$958,C512)</f>
        <v>1</v>
      </c>
    </row>
    <row r="513" spans="1:5" x14ac:dyDescent="0.25">
      <c r="A513" t="s">
        <v>238</v>
      </c>
      <c r="B513" s="5">
        <v>36655</v>
      </c>
      <c r="C513" s="5" t="str">
        <f t="shared" si="7"/>
        <v>UGBLR008.19_36655</v>
      </c>
      <c r="D513" t="s">
        <v>1933</v>
      </c>
      <c r="E513">
        <f>COUNTIF(data.SampSummary!$C$2:$C$958,C513)</f>
        <v>1</v>
      </c>
    </row>
    <row r="514" spans="1:5" x14ac:dyDescent="0.25">
      <c r="A514" t="s">
        <v>1910</v>
      </c>
      <c r="B514" s="5">
        <v>40273</v>
      </c>
      <c r="C514" s="5" t="str">
        <f t="shared" si="7"/>
        <v>VRCAM000.79_40273</v>
      </c>
      <c r="D514" t="s">
        <v>1934</v>
      </c>
      <c r="E514">
        <f>COUNTIF(data.SampSummary!$C$2:$C$958,C514)</f>
        <v>0</v>
      </c>
    </row>
    <row r="515" spans="1:5" x14ac:dyDescent="0.25">
      <c r="A515" t="s">
        <v>1509</v>
      </c>
      <c r="B515" s="5">
        <v>40102</v>
      </c>
      <c r="C515" s="5" t="str">
        <f t="shared" ref="C515:C578" si="8">A515&amp;"_"&amp;B515</f>
        <v>CGBRA001.36_40102</v>
      </c>
      <c r="D515" t="s">
        <v>1935</v>
      </c>
      <c r="E515">
        <f>COUNTIF(data.SampSummary!$C$2:$C$958,C515)</f>
        <v>0</v>
      </c>
    </row>
    <row r="516" spans="1:5" x14ac:dyDescent="0.25">
      <c r="A516" t="s">
        <v>180</v>
      </c>
      <c r="B516" s="5">
        <v>39225</v>
      </c>
      <c r="C516" s="5" t="str">
        <f t="shared" si="8"/>
        <v>LCMRS043.17_39225</v>
      </c>
      <c r="D516" t="s">
        <v>1936</v>
      </c>
      <c r="E516">
        <f>COUNTIF(data.SampSummary!$C$2:$C$958,C516)</f>
        <v>1</v>
      </c>
    </row>
    <row r="517" spans="1:5" x14ac:dyDescent="0.25">
      <c r="A517" t="s">
        <v>186</v>
      </c>
      <c r="B517" s="5">
        <v>38503</v>
      </c>
      <c r="C517" s="5" t="str">
        <f t="shared" si="8"/>
        <v>VREVR034.80_38503</v>
      </c>
      <c r="D517" t="s">
        <v>1937</v>
      </c>
      <c r="E517">
        <f>COUNTIF(data.SampSummary!$C$2:$C$958,C517)</f>
        <v>1</v>
      </c>
    </row>
    <row r="518" spans="1:5" x14ac:dyDescent="0.25">
      <c r="A518" t="s">
        <v>140</v>
      </c>
      <c r="B518" s="5">
        <v>39979</v>
      </c>
      <c r="C518" s="5" t="str">
        <f t="shared" si="8"/>
        <v>UGEAG056.85_39979</v>
      </c>
      <c r="D518" t="s">
        <v>1938</v>
      </c>
      <c r="E518">
        <f>COUNTIF(data.SampSummary!$C$2:$C$958,C518)</f>
        <v>1</v>
      </c>
    </row>
    <row r="519" spans="1:5" x14ac:dyDescent="0.25">
      <c r="A519" t="s">
        <v>46</v>
      </c>
      <c r="B519" s="5">
        <v>37425</v>
      </c>
      <c r="C519" s="5" t="str">
        <f t="shared" si="8"/>
        <v>SREFB000.91_37425</v>
      </c>
      <c r="D519" t="s">
        <v>1939</v>
      </c>
      <c r="E519">
        <f>COUNTIF(data.SampSummary!$C$2:$C$958,C519)</f>
        <v>1</v>
      </c>
    </row>
    <row r="520" spans="1:5" x14ac:dyDescent="0.25">
      <c r="A520" t="s">
        <v>184</v>
      </c>
      <c r="B520" s="5">
        <v>40106</v>
      </c>
      <c r="C520" s="5" t="str">
        <f t="shared" si="8"/>
        <v>CGDEE000.07_40106</v>
      </c>
      <c r="D520" t="s">
        <v>1940</v>
      </c>
      <c r="E520">
        <f>COUNTIF(data.SampSummary!$C$2:$C$958,C520)</f>
        <v>0</v>
      </c>
    </row>
    <row r="521" spans="1:5" x14ac:dyDescent="0.25">
      <c r="A521" t="s">
        <v>1711</v>
      </c>
      <c r="B521" s="5">
        <v>39560</v>
      </c>
      <c r="C521" s="5" t="str">
        <f t="shared" si="8"/>
        <v>MGIDN002.66_39560</v>
      </c>
      <c r="D521" t="s">
        <v>1941</v>
      </c>
      <c r="E521">
        <f>COUNTIF(data.SampSummary!$C$2:$C$958,C521)</f>
        <v>0</v>
      </c>
    </row>
    <row r="522" spans="1:5" x14ac:dyDescent="0.25">
      <c r="A522" t="s">
        <v>70</v>
      </c>
      <c r="B522" s="5">
        <v>41437</v>
      </c>
      <c r="C522" s="5" t="str">
        <f t="shared" si="8"/>
        <v>SRWFB003.45_41437</v>
      </c>
      <c r="D522" t="s">
        <v>1942</v>
      </c>
      <c r="E522">
        <f>COUNTIF(data.SampSummary!$C$2:$C$958,C522)</f>
        <v>1</v>
      </c>
    </row>
    <row r="523" spans="1:5" x14ac:dyDescent="0.25">
      <c r="A523" t="s">
        <v>219</v>
      </c>
      <c r="B523" s="5">
        <v>40344</v>
      </c>
      <c r="C523" s="5" t="str">
        <f t="shared" si="8"/>
        <v>CGVGR052.23_40344</v>
      </c>
      <c r="D523" t="s">
        <v>1943</v>
      </c>
      <c r="E523">
        <f>COUNTIF(data.SampSummary!$C$2:$C$958,C523)</f>
        <v>1</v>
      </c>
    </row>
    <row r="524" spans="1:5" x14ac:dyDescent="0.25">
      <c r="A524" t="s">
        <v>39</v>
      </c>
      <c r="B524" s="5">
        <v>42136</v>
      </c>
      <c r="C524" s="5" t="str">
        <f t="shared" si="8"/>
        <v>UGFRY009.52_42136</v>
      </c>
      <c r="D524" t="s">
        <v>1944</v>
      </c>
      <c r="E524">
        <f>COUNTIF(data.SampSummary!$C$2:$C$958,C524)</f>
        <v>2</v>
      </c>
    </row>
    <row r="525" spans="1:5" x14ac:dyDescent="0.25">
      <c r="A525" t="s">
        <v>70</v>
      </c>
      <c r="B525" s="5">
        <v>41800</v>
      </c>
      <c r="C525" s="5" t="str">
        <f t="shared" si="8"/>
        <v>SRWFB003.45_41800</v>
      </c>
      <c r="D525" t="s">
        <v>1945</v>
      </c>
      <c r="E525">
        <f>COUNTIF(data.SampSummary!$C$2:$C$958,C525)</f>
        <v>2</v>
      </c>
    </row>
    <row r="526" spans="1:5" x14ac:dyDescent="0.25">
      <c r="A526" t="s">
        <v>357</v>
      </c>
      <c r="B526" s="5">
        <v>36654</v>
      </c>
      <c r="C526" s="5" t="str">
        <f t="shared" si="8"/>
        <v>UGSFR034.57_36654</v>
      </c>
      <c r="D526" t="s">
        <v>1946</v>
      </c>
      <c r="E526">
        <f>COUNTIF(data.SampSummary!$C$2:$C$958,C526)</f>
        <v>0</v>
      </c>
    </row>
    <row r="527" spans="1:5" x14ac:dyDescent="0.25">
      <c r="A527" t="s">
        <v>242</v>
      </c>
      <c r="B527" s="5">
        <v>37363</v>
      </c>
      <c r="C527" s="5" t="str">
        <f t="shared" si="8"/>
        <v>VROAK031.38_37363</v>
      </c>
      <c r="D527" t="s">
        <v>1947</v>
      </c>
      <c r="E527">
        <f>COUNTIF(data.SampSummary!$C$2:$C$958,C527)</f>
        <v>1</v>
      </c>
    </row>
    <row r="528" spans="1:5" x14ac:dyDescent="0.25">
      <c r="A528" t="s">
        <v>200</v>
      </c>
      <c r="B528" s="5">
        <v>41744</v>
      </c>
      <c r="C528" s="5" t="str">
        <f t="shared" si="8"/>
        <v>SPSPR015.42_41744</v>
      </c>
      <c r="D528" t="s">
        <v>1948</v>
      </c>
      <c r="E528">
        <f>COUNTIF(data.SampSummary!$C$2:$C$958,C528)</f>
        <v>1</v>
      </c>
    </row>
    <row r="529" spans="1:5" x14ac:dyDescent="0.25">
      <c r="A529" t="s">
        <v>124</v>
      </c>
      <c r="B529" s="5">
        <v>39261</v>
      </c>
      <c r="C529" s="5" t="str">
        <f t="shared" si="8"/>
        <v>LCSIL043.84_39261</v>
      </c>
      <c r="D529" t="s">
        <v>1949</v>
      </c>
      <c r="E529">
        <f>COUNTIF(data.SampSummary!$C$2:$C$958,C529)</f>
        <v>1</v>
      </c>
    </row>
    <row r="530" spans="1:5" x14ac:dyDescent="0.25">
      <c r="A530" t="s">
        <v>106</v>
      </c>
      <c r="B530" s="5">
        <v>41759</v>
      </c>
      <c r="C530" s="5" t="str">
        <f t="shared" si="8"/>
        <v>LCWLR007.37_41759</v>
      </c>
      <c r="D530" t="s">
        <v>1950</v>
      </c>
      <c r="E530">
        <f>COUNTIF(data.SampSummary!$C$2:$C$958,C530)</f>
        <v>1</v>
      </c>
    </row>
    <row r="531" spans="1:5" x14ac:dyDescent="0.25">
      <c r="A531" t="s">
        <v>1951</v>
      </c>
      <c r="B531" s="5">
        <v>37398</v>
      </c>
      <c r="C531" s="5" t="str">
        <f t="shared" si="8"/>
        <v>SRCYN046.07_37398</v>
      </c>
      <c r="D531" t="s">
        <v>1952</v>
      </c>
      <c r="E531">
        <f>COUNTIF(data.SampSummary!$C$2:$C$958,C531)</f>
        <v>0</v>
      </c>
    </row>
    <row r="532" spans="1:5" x14ac:dyDescent="0.25">
      <c r="A532" t="s">
        <v>195</v>
      </c>
      <c r="B532" s="5">
        <v>39567</v>
      </c>
      <c r="C532" s="5" t="str">
        <f t="shared" si="8"/>
        <v>VRWCL005.10_39567</v>
      </c>
      <c r="D532" t="s">
        <v>1953</v>
      </c>
      <c r="E532">
        <f>COUNTIF(data.SampSummary!$C$2:$C$958,C532)</f>
        <v>1</v>
      </c>
    </row>
    <row r="533" spans="1:5" x14ac:dyDescent="0.25">
      <c r="A533" t="s">
        <v>263</v>
      </c>
      <c r="B533" s="5">
        <v>35389</v>
      </c>
      <c r="C533" s="5" t="str">
        <f t="shared" si="8"/>
        <v>UGBON003.68_35389</v>
      </c>
      <c r="D533" t="s">
        <v>1954</v>
      </c>
      <c r="E533">
        <f>COUNTIF(data.SampSummary!$C$2:$C$958,C533)</f>
        <v>0</v>
      </c>
    </row>
    <row r="534" spans="1:5" x14ac:dyDescent="0.25">
      <c r="A534" t="s">
        <v>356</v>
      </c>
      <c r="B534" s="5">
        <v>38125</v>
      </c>
      <c r="C534" s="5" t="str">
        <f t="shared" si="8"/>
        <v>VRWBV012.35_38125</v>
      </c>
      <c r="D534" t="s">
        <v>1955</v>
      </c>
      <c r="E534">
        <f>COUNTIF(data.SampSummary!$C$2:$C$958,C534)</f>
        <v>1</v>
      </c>
    </row>
    <row r="535" spans="1:5" x14ac:dyDescent="0.25">
      <c r="A535" t="s">
        <v>1768</v>
      </c>
      <c r="B535" s="5">
        <v>40273</v>
      </c>
      <c r="C535" s="5" t="str">
        <f t="shared" si="8"/>
        <v>VRROK002.80_40273</v>
      </c>
      <c r="D535" t="s">
        <v>1956</v>
      </c>
      <c r="E535">
        <f>COUNTIF(data.SampSummary!$C$2:$C$958,C535)</f>
        <v>0</v>
      </c>
    </row>
    <row r="536" spans="1:5" x14ac:dyDescent="0.25">
      <c r="A536" t="s">
        <v>1411</v>
      </c>
      <c r="B536" s="5">
        <v>40282</v>
      </c>
      <c r="C536" s="5" t="str">
        <f t="shared" si="8"/>
        <v>VRBTT005.70_40282</v>
      </c>
      <c r="D536" t="s">
        <v>1957</v>
      </c>
      <c r="E536">
        <f>COUNTIF(data.SampSummary!$C$2:$C$958,C536)</f>
        <v>0</v>
      </c>
    </row>
    <row r="537" spans="1:5" x14ac:dyDescent="0.25">
      <c r="A537" t="s">
        <v>32</v>
      </c>
      <c r="B537" s="5">
        <v>41801</v>
      </c>
      <c r="C537" s="5" t="str">
        <f t="shared" si="8"/>
        <v>SRBGY002.86_41801</v>
      </c>
      <c r="D537" t="s">
        <v>1958</v>
      </c>
      <c r="E537">
        <f>COUNTIF(data.SampSummary!$C$2:$C$958,C537)</f>
        <v>1</v>
      </c>
    </row>
    <row r="538" spans="1:5" x14ac:dyDescent="0.25">
      <c r="A538" t="s">
        <v>60</v>
      </c>
      <c r="B538" s="5">
        <v>39741</v>
      </c>
      <c r="C538" s="5" t="str">
        <f t="shared" si="8"/>
        <v>VREVR051.15_39741</v>
      </c>
      <c r="D538" t="s">
        <v>1959</v>
      </c>
      <c r="E538">
        <f>COUNTIF(data.SampSummary!$C$2:$C$958,C538)</f>
        <v>0</v>
      </c>
    </row>
    <row r="539" spans="1:5" x14ac:dyDescent="0.25">
      <c r="A539" t="s">
        <v>230</v>
      </c>
      <c r="B539" s="5">
        <v>39758</v>
      </c>
      <c r="C539" s="5" t="str">
        <f t="shared" si="8"/>
        <v>VREVR023.59_39758</v>
      </c>
      <c r="D539" t="s">
        <v>1960</v>
      </c>
      <c r="E539">
        <f>COUNTIF(data.SampSummary!$C$2:$C$958,C539)</f>
        <v>0</v>
      </c>
    </row>
    <row r="540" spans="1:5" x14ac:dyDescent="0.25">
      <c r="A540" t="s">
        <v>1618</v>
      </c>
      <c r="B540" s="5">
        <v>39911</v>
      </c>
      <c r="C540" s="5" t="str">
        <f t="shared" si="8"/>
        <v>VRGRA033.51_39911</v>
      </c>
      <c r="D540" t="s">
        <v>1961</v>
      </c>
      <c r="E540">
        <f>COUNTIF(data.SampSummary!$C$2:$C$958,C540)</f>
        <v>0</v>
      </c>
    </row>
    <row r="541" spans="1:5" x14ac:dyDescent="0.25">
      <c r="A541" t="s">
        <v>221</v>
      </c>
      <c r="B541" s="5">
        <v>39559</v>
      </c>
      <c r="C541" s="5" t="str">
        <f t="shared" si="8"/>
        <v>MGSYD009.51_39559</v>
      </c>
      <c r="D541" t="s">
        <v>1962</v>
      </c>
      <c r="E541">
        <f>COUNTIF(data.SampSummary!$C$2:$C$958,C541)</f>
        <v>0</v>
      </c>
    </row>
    <row r="542" spans="1:5" x14ac:dyDescent="0.25">
      <c r="A542" t="s">
        <v>246</v>
      </c>
      <c r="B542" s="5">
        <v>40103</v>
      </c>
      <c r="C542" s="5" t="str">
        <f t="shared" si="8"/>
        <v>CGHRM000.08_40103</v>
      </c>
      <c r="D542" t="s">
        <v>1963</v>
      </c>
      <c r="E542">
        <f>COUNTIF(data.SampSummary!$C$2:$C$958,C542)</f>
        <v>0</v>
      </c>
    </row>
    <row r="543" spans="1:5" x14ac:dyDescent="0.25">
      <c r="A543" t="s">
        <v>284</v>
      </c>
      <c r="B543" s="5">
        <v>37741</v>
      </c>
      <c r="C543" s="5" t="str">
        <f t="shared" si="8"/>
        <v>BWFRA001.04_37741</v>
      </c>
      <c r="D543" t="s">
        <v>1964</v>
      </c>
      <c r="E543">
        <f>COUNTIF(data.SampSummary!$C$2:$C$958,C543)</f>
        <v>1</v>
      </c>
    </row>
    <row r="544" spans="1:5" x14ac:dyDescent="0.25">
      <c r="A544" t="s">
        <v>261</v>
      </c>
      <c r="B544" s="5">
        <v>39568</v>
      </c>
      <c r="C544" s="5" t="str">
        <f t="shared" si="8"/>
        <v>VRWBV012.56_39568</v>
      </c>
      <c r="D544" t="s">
        <v>1965</v>
      </c>
      <c r="E544">
        <f>COUNTIF(data.SampSummary!$C$2:$C$958,C544)</f>
        <v>1</v>
      </c>
    </row>
    <row r="545" spans="1:5" x14ac:dyDescent="0.25">
      <c r="A545" t="s">
        <v>60</v>
      </c>
      <c r="B545" s="5">
        <v>39623</v>
      </c>
      <c r="C545" s="5" t="str">
        <f t="shared" si="8"/>
        <v>VREVR051.15_39623</v>
      </c>
      <c r="D545" t="s">
        <v>1966</v>
      </c>
      <c r="E545">
        <f>COUNTIF(data.SampSummary!$C$2:$C$958,C545)</f>
        <v>1</v>
      </c>
    </row>
    <row r="546" spans="1:5" x14ac:dyDescent="0.25">
      <c r="A546" t="s">
        <v>1967</v>
      </c>
      <c r="B546" s="5">
        <v>39209</v>
      </c>
      <c r="C546" s="5" t="str">
        <f t="shared" si="8"/>
        <v>LCCLE063.52_39209</v>
      </c>
      <c r="D546" t="s">
        <v>1968</v>
      </c>
      <c r="E546">
        <f>COUNTIF(data.SampSummary!$C$2:$C$958,C546)</f>
        <v>0</v>
      </c>
    </row>
    <row r="547" spans="1:5" x14ac:dyDescent="0.25">
      <c r="A547" t="s">
        <v>308</v>
      </c>
      <c r="B547" s="5">
        <v>37041</v>
      </c>
      <c r="C547" s="5" t="str">
        <f t="shared" si="8"/>
        <v>SRTON019.37_37041</v>
      </c>
      <c r="D547" t="s">
        <v>1969</v>
      </c>
      <c r="E547">
        <f>COUNTIF(data.SampSummary!$C$2:$C$958,C547)</f>
        <v>1</v>
      </c>
    </row>
    <row r="548" spans="1:5" x14ac:dyDescent="0.25">
      <c r="A548" t="s">
        <v>52</v>
      </c>
      <c r="B548" s="5">
        <v>39763</v>
      </c>
      <c r="C548" s="5" t="str">
        <f t="shared" si="8"/>
        <v>UGCAV016.84_39763</v>
      </c>
      <c r="D548" t="s">
        <v>1970</v>
      </c>
      <c r="E548">
        <f>COUNTIF(data.SampSummary!$C$2:$C$958,C548)</f>
        <v>0</v>
      </c>
    </row>
    <row r="549" spans="1:5" x14ac:dyDescent="0.25">
      <c r="A549" t="s">
        <v>365</v>
      </c>
      <c r="B549" s="5">
        <v>40674</v>
      </c>
      <c r="C549" s="5" t="str">
        <f t="shared" si="8"/>
        <v>SCSCR103.45_40674</v>
      </c>
      <c r="D549" t="s">
        <v>1971</v>
      </c>
      <c r="E549">
        <f>COUNTIF(data.SampSummary!$C$2:$C$958,C549)</f>
        <v>1</v>
      </c>
    </row>
    <row r="550" spans="1:5" x14ac:dyDescent="0.25">
      <c r="A550" t="s">
        <v>365</v>
      </c>
      <c r="B550" s="5">
        <v>42101</v>
      </c>
      <c r="C550" s="5" t="str">
        <f t="shared" si="8"/>
        <v>SCSCR103.45_42101</v>
      </c>
      <c r="D550" t="s">
        <v>1972</v>
      </c>
      <c r="E550">
        <f>COUNTIF(data.SampSummary!$C$2:$C$958,C550)</f>
        <v>1</v>
      </c>
    </row>
    <row r="551" spans="1:5" x14ac:dyDescent="0.25">
      <c r="A551" t="s">
        <v>223</v>
      </c>
      <c r="B551" s="5">
        <v>37000</v>
      </c>
      <c r="C551" s="5" t="str">
        <f t="shared" si="8"/>
        <v>SPBHC004.31_37000</v>
      </c>
      <c r="D551" t="s">
        <v>1973</v>
      </c>
      <c r="E551">
        <f>COUNTIF(data.SampSummary!$C$2:$C$958,C551)</f>
        <v>1</v>
      </c>
    </row>
    <row r="552" spans="1:5" x14ac:dyDescent="0.25">
      <c r="A552" t="s">
        <v>71</v>
      </c>
      <c r="B552" s="5">
        <v>36648</v>
      </c>
      <c r="C552" s="5" t="str">
        <f t="shared" si="8"/>
        <v>SRTON056.39_36648</v>
      </c>
      <c r="D552" t="s">
        <v>1974</v>
      </c>
      <c r="E552">
        <f>COUNTIF(data.SampSummary!$C$2:$C$958,C552)</f>
        <v>1</v>
      </c>
    </row>
    <row r="553" spans="1:5" x14ac:dyDescent="0.25">
      <c r="A553" t="s">
        <v>295</v>
      </c>
      <c r="B553" s="5">
        <v>39568</v>
      </c>
      <c r="C553" s="5" t="str">
        <f t="shared" si="8"/>
        <v>VRROU002.93_39568</v>
      </c>
      <c r="D553" t="s">
        <v>1975</v>
      </c>
      <c r="E553">
        <f>COUNTIF(data.SampSummary!$C$2:$C$958,C553)</f>
        <v>1</v>
      </c>
    </row>
    <row r="554" spans="1:5" x14ac:dyDescent="0.25">
      <c r="A554" t="s">
        <v>183</v>
      </c>
      <c r="B554" s="5">
        <v>39961</v>
      </c>
      <c r="C554" s="5" t="str">
        <f t="shared" si="8"/>
        <v>SPSPR126.35_39961</v>
      </c>
      <c r="D554" t="s">
        <v>1976</v>
      </c>
      <c r="E554">
        <f>COUNTIF(data.SampSummary!$C$2:$C$958,C554)</f>
        <v>1</v>
      </c>
    </row>
    <row r="555" spans="1:5" x14ac:dyDescent="0.25">
      <c r="A555" t="s">
        <v>1530</v>
      </c>
      <c r="B555" s="5">
        <v>37404</v>
      </c>
      <c r="C555" s="5" t="str">
        <f t="shared" si="8"/>
        <v>UGCAV014.44_37404</v>
      </c>
      <c r="D555" t="s">
        <v>1977</v>
      </c>
      <c r="E555">
        <f>COUNTIF(data.SampSummary!$C$2:$C$958,C555)</f>
        <v>0</v>
      </c>
    </row>
    <row r="556" spans="1:5" x14ac:dyDescent="0.25">
      <c r="A556" t="s">
        <v>275</v>
      </c>
      <c r="B556" s="5">
        <v>39911</v>
      </c>
      <c r="C556" s="5" t="str">
        <f t="shared" si="8"/>
        <v>MGLAS004.52_39911</v>
      </c>
      <c r="D556" t="s">
        <v>1978</v>
      </c>
      <c r="E556">
        <f>COUNTIF(data.SampSummary!$C$2:$C$958,C556)</f>
        <v>1</v>
      </c>
    </row>
    <row r="557" spans="1:5" x14ac:dyDescent="0.25">
      <c r="A557" t="s">
        <v>202</v>
      </c>
      <c r="B557" s="5">
        <v>37040</v>
      </c>
      <c r="C557" s="5" t="str">
        <f t="shared" si="8"/>
        <v>SRPNT008.48_37040</v>
      </c>
      <c r="D557" t="s">
        <v>1979</v>
      </c>
      <c r="E557">
        <f>COUNTIF(data.SampSummary!$C$2:$C$958,C557)</f>
        <v>1</v>
      </c>
    </row>
    <row r="558" spans="1:5" x14ac:dyDescent="0.25">
      <c r="A558" t="s">
        <v>136</v>
      </c>
      <c r="B558" s="5">
        <v>39183</v>
      </c>
      <c r="C558" s="5" t="str">
        <f t="shared" si="8"/>
        <v>LCLCR342.03_39183</v>
      </c>
      <c r="D558" t="s">
        <v>1980</v>
      </c>
      <c r="E558">
        <f>COUNTIF(data.SampSummary!$C$2:$C$958,C558)</f>
        <v>1</v>
      </c>
    </row>
    <row r="559" spans="1:5" x14ac:dyDescent="0.25">
      <c r="A559" t="s">
        <v>235</v>
      </c>
      <c r="B559" s="5">
        <v>40287</v>
      </c>
      <c r="C559" s="5" t="str">
        <f t="shared" si="8"/>
        <v>BWFRA000.04_40287</v>
      </c>
      <c r="D559" t="s">
        <v>1981</v>
      </c>
      <c r="E559">
        <f>COUNTIF(data.SampSummary!$C$2:$C$958,C559)</f>
        <v>1</v>
      </c>
    </row>
    <row r="560" spans="1:5" x14ac:dyDescent="0.25">
      <c r="A560" t="s">
        <v>92</v>
      </c>
      <c r="B560" s="5">
        <v>40353</v>
      </c>
      <c r="C560" s="5" t="str">
        <f t="shared" si="8"/>
        <v>LCLIL002.16_40353</v>
      </c>
      <c r="D560" t="s">
        <v>1982</v>
      </c>
      <c r="E560">
        <f>COUNTIF(data.SampSummary!$C$2:$C$958,C560)</f>
        <v>1</v>
      </c>
    </row>
    <row r="561" spans="1:5" x14ac:dyDescent="0.25">
      <c r="A561" t="s">
        <v>109</v>
      </c>
      <c r="B561" s="5">
        <v>39623</v>
      </c>
      <c r="C561" s="5" t="str">
        <f t="shared" si="8"/>
        <v>SRHAN002.27_39623</v>
      </c>
      <c r="D561" t="s">
        <v>1983</v>
      </c>
      <c r="E561">
        <f>COUNTIF(data.SampSummary!$C$2:$C$958,C561)</f>
        <v>1</v>
      </c>
    </row>
    <row r="562" spans="1:5" x14ac:dyDescent="0.25">
      <c r="A562" t="s">
        <v>185</v>
      </c>
      <c r="B562" s="5">
        <v>40337</v>
      </c>
      <c r="C562" s="5" t="str">
        <f t="shared" si="8"/>
        <v>CGPAR000.49_40337</v>
      </c>
      <c r="D562" t="s">
        <v>1984</v>
      </c>
      <c r="E562">
        <f>COUNTIF(data.SampSummary!$C$2:$C$958,C562)</f>
        <v>1</v>
      </c>
    </row>
    <row r="563" spans="1:5" x14ac:dyDescent="0.25">
      <c r="A563" t="s">
        <v>125</v>
      </c>
      <c r="B563" s="5">
        <v>39188</v>
      </c>
      <c r="C563" s="5" t="str">
        <f t="shared" si="8"/>
        <v>LCSHL026.50_39188</v>
      </c>
      <c r="D563" t="s">
        <v>1985</v>
      </c>
      <c r="E563">
        <f>COUNTIF(data.SampSummary!$C$2:$C$958,C563)</f>
        <v>1</v>
      </c>
    </row>
    <row r="564" spans="1:5" x14ac:dyDescent="0.25">
      <c r="A564" t="s">
        <v>128</v>
      </c>
      <c r="B564" s="5">
        <v>39190</v>
      </c>
      <c r="C564" s="5" t="str">
        <f t="shared" si="8"/>
        <v>LCLCR340.02_39190</v>
      </c>
      <c r="D564" t="s">
        <v>1986</v>
      </c>
      <c r="E564">
        <f>COUNTIF(data.SampSummary!$C$2:$C$958,C564)</f>
        <v>1</v>
      </c>
    </row>
    <row r="565" spans="1:5" x14ac:dyDescent="0.25">
      <c r="A565" t="s">
        <v>260</v>
      </c>
      <c r="B565" s="5">
        <v>41387</v>
      </c>
      <c r="C565" s="5" t="str">
        <f t="shared" si="8"/>
        <v>VROAK034.02_41387</v>
      </c>
      <c r="D565" t="s">
        <v>1987</v>
      </c>
      <c r="E565">
        <f>COUNTIF(data.SampSummary!$C$2:$C$958,C565)</f>
        <v>1</v>
      </c>
    </row>
    <row r="566" spans="1:5" x14ac:dyDescent="0.25">
      <c r="A566" t="s">
        <v>104</v>
      </c>
      <c r="B566" s="5">
        <v>36705</v>
      </c>
      <c r="C566" s="5" t="str">
        <f t="shared" si="8"/>
        <v>LCWLR000.92_36705</v>
      </c>
      <c r="D566" t="s">
        <v>1988</v>
      </c>
      <c r="E566">
        <f>COUNTIF(data.SampSummary!$C$2:$C$958,C566)</f>
        <v>1</v>
      </c>
    </row>
    <row r="567" spans="1:5" x14ac:dyDescent="0.25">
      <c r="A567" t="s">
        <v>301</v>
      </c>
      <c r="B567" s="5">
        <v>36633</v>
      </c>
      <c r="C567" s="5" t="str">
        <f t="shared" si="8"/>
        <v>BWSMR026.08_36633</v>
      </c>
      <c r="D567" t="s">
        <v>1989</v>
      </c>
      <c r="E567">
        <f>COUNTIF(data.SampSummary!$C$2:$C$958,C567)</f>
        <v>2</v>
      </c>
    </row>
    <row r="568" spans="1:5" x14ac:dyDescent="0.25">
      <c r="A568" t="s">
        <v>1573</v>
      </c>
      <c r="B568" s="5">
        <v>38915</v>
      </c>
      <c r="C568" s="5" t="str">
        <f t="shared" si="8"/>
        <v>CGSPG000.17_38915</v>
      </c>
      <c r="D568" t="s">
        <v>1990</v>
      </c>
      <c r="E568">
        <f>COUNTIF(data.SampSummary!$C$2:$C$958,C568)</f>
        <v>0</v>
      </c>
    </row>
    <row r="569" spans="1:5" x14ac:dyDescent="0.25">
      <c r="A569" t="s">
        <v>100</v>
      </c>
      <c r="B569" s="5">
        <v>41436</v>
      </c>
      <c r="C569" s="5" t="str">
        <f t="shared" si="8"/>
        <v>SRBWL005.79_41436</v>
      </c>
      <c r="D569" t="s">
        <v>1991</v>
      </c>
      <c r="E569">
        <f>COUNTIF(data.SampSummary!$C$2:$C$958,C569)</f>
        <v>1</v>
      </c>
    </row>
    <row r="570" spans="1:5" x14ac:dyDescent="0.25">
      <c r="A570" t="s">
        <v>326</v>
      </c>
      <c r="B570" s="5">
        <v>36661</v>
      </c>
      <c r="C570" s="5" t="str">
        <f t="shared" si="8"/>
        <v>UGSFR006.42_36661</v>
      </c>
      <c r="D570" t="s">
        <v>1992</v>
      </c>
      <c r="E570">
        <f>COUNTIF(data.SampSummary!$C$2:$C$958,C570)</f>
        <v>1</v>
      </c>
    </row>
    <row r="571" spans="1:5" x14ac:dyDescent="0.25">
      <c r="A571" t="s">
        <v>128</v>
      </c>
      <c r="B571" s="5">
        <v>37782</v>
      </c>
      <c r="C571" s="5" t="str">
        <f t="shared" si="8"/>
        <v>LCLCR340.02_37782</v>
      </c>
      <c r="D571" t="s">
        <v>1993</v>
      </c>
      <c r="E571">
        <f>COUNTIF(data.SampSummary!$C$2:$C$958,C571)</f>
        <v>1</v>
      </c>
    </row>
    <row r="572" spans="1:5" x14ac:dyDescent="0.25">
      <c r="A572" t="s">
        <v>290</v>
      </c>
      <c r="B572" s="5">
        <v>41003</v>
      </c>
      <c r="C572" s="5" t="str">
        <f t="shared" si="8"/>
        <v>SPHSC010.67_41003</v>
      </c>
      <c r="D572" t="s">
        <v>1994</v>
      </c>
      <c r="E572">
        <f>COUNTIF(data.SampSummary!$C$2:$C$958,C572)</f>
        <v>1</v>
      </c>
    </row>
    <row r="573" spans="1:5" x14ac:dyDescent="0.25">
      <c r="A573" t="s">
        <v>81</v>
      </c>
      <c r="B573" s="5">
        <v>39799</v>
      </c>
      <c r="C573" s="5" t="str">
        <f t="shared" si="8"/>
        <v>SPCRC013.37_39799</v>
      </c>
      <c r="D573" t="s">
        <v>1995</v>
      </c>
      <c r="E573">
        <f>COUNTIF(data.SampSummary!$C$2:$C$958,C573)</f>
        <v>0</v>
      </c>
    </row>
    <row r="574" spans="1:5" x14ac:dyDescent="0.25">
      <c r="A574" t="s">
        <v>336</v>
      </c>
      <c r="B574" s="5">
        <v>35562</v>
      </c>
      <c r="C574" s="5" t="str">
        <f t="shared" si="8"/>
        <v>SRTON046.90_35562</v>
      </c>
      <c r="D574" t="s">
        <v>1996</v>
      </c>
      <c r="E574">
        <f>COUNTIF(data.SampSummary!$C$2:$C$958,C574)</f>
        <v>1</v>
      </c>
    </row>
    <row r="575" spans="1:5" x14ac:dyDescent="0.25">
      <c r="A575" t="s">
        <v>172</v>
      </c>
      <c r="B575" s="5">
        <v>39608</v>
      </c>
      <c r="C575" s="5" t="str">
        <f t="shared" si="8"/>
        <v>VROAK048.92_39608</v>
      </c>
      <c r="D575" t="s">
        <v>1997</v>
      </c>
      <c r="E575">
        <f>COUNTIF(data.SampSummary!$C$2:$C$958,C575)</f>
        <v>1</v>
      </c>
    </row>
    <row r="576" spans="1:5" x14ac:dyDescent="0.25">
      <c r="A576" t="s">
        <v>135</v>
      </c>
      <c r="B576" s="5">
        <v>42541</v>
      </c>
      <c r="C576" s="5" t="str">
        <f t="shared" si="8"/>
        <v>SRHRS001.41_42541</v>
      </c>
      <c r="D576" t="s">
        <v>1998</v>
      </c>
      <c r="E576">
        <f>COUNTIF(data.SampSummary!$C$2:$C$958,C576)</f>
        <v>1</v>
      </c>
    </row>
    <row r="577" spans="1:5" x14ac:dyDescent="0.25">
      <c r="A577" t="s">
        <v>79</v>
      </c>
      <c r="B577" s="5">
        <v>39980</v>
      </c>
      <c r="C577" s="5" t="str">
        <f t="shared" si="8"/>
        <v>UGETK011.80_39980</v>
      </c>
      <c r="D577" t="s">
        <v>1999</v>
      </c>
      <c r="E577">
        <f>COUNTIF(data.SampSummary!$C$2:$C$958,C577)</f>
        <v>0</v>
      </c>
    </row>
    <row r="578" spans="1:5" x14ac:dyDescent="0.25">
      <c r="A578" t="s">
        <v>142</v>
      </c>
      <c r="B578" s="5">
        <v>41780</v>
      </c>
      <c r="C578" s="5" t="str">
        <f t="shared" si="8"/>
        <v>LCLCR336.72_41780</v>
      </c>
      <c r="D578" t="s">
        <v>2000</v>
      </c>
      <c r="E578">
        <f>COUNTIF(data.SampSummary!$C$2:$C$958,C578)</f>
        <v>1</v>
      </c>
    </row>
    <row r="579" spans="1:5" x14ac:dyDescent="0.25">
      <c r="A579" t="s">
        <v>243</v>
      </c>
      <c r="B579" s="5">
        <v>38446</v>
      </c>
      <c r="C579" s="5" t="str">
        <f t="shared" ref="C579:C642" si="9">A579&amp;"_"&amp;B579</f>
        <v>SPBHC004.66_38446</v>
      </c>
      <c r="D579" t="s">
        <v>2001</v>
      </c>
      <c r="E579">
        <f>COUNTIF(data.SampSummary!$C$2:$C$958,C579)</f>
        <v>1</v>
      </c>
    </row>
    <row r="580" spans="1:5" x14ac:dyDescent="0.25">
      <c r="A580" t="s">
        <v>187</v>
      </c>
      <c r="B580" s="5">
        <v>39566</v>
      </c>
      <c r="C580" s="5" t="str">
        <f t="shared" si="9"/>
        <v>VRWBV002.97_39566</v>
      </c>
      <c r="D580" t="s">
        <v>2002</v>
      </c>
      <c r="E580">
        <f>COUNTIF(data.SampSummary!$C$2:$C$958,C580)</f>
        <v>1</v>
      </c>
    </row>
    <row r="581" spans="1:5" x14ac:dyDescent="0.25">
      <c r="A581" t="s">
        <v>274</v>
      </c>
      <c r="B581" s="5">
        <v>41387</v>
      </c>
      <c r="C581" s="5" t="str">
        <f t="shared" si="9"/>
        <v>VRVER165.07_41387</v>
      </c>
      <c r="D581" t="s">
        <v>2003</v>
      </c>
      <c r="E581">
        <f>COUNTIF(data.SampSummary!$C$2:$C$958,C581)</f>
        <v>1</v>
      </c>
    </row>
    <row r="582" spans="1:5" x14ac:dyDescent="0.25">
      <c r="A582" t="s">
        <v>271</v>
      </c>
      <c r="B582" s="5">
        <v>35696</v>
      </c>
      <c r="C582" s="5" t="str">
        <f t="shared" si="9"/>
        <v>VRWCL011.16_35696</v>
      </c>
      <c r="D582" t="s">
        <v>2004</v>
      </c>
      <c r="E582">
        <f>COUNTIF(data.SampSummary!$C$2:$C$958,C582)</f>
        <v>0</v>
      </c>
    </row>
    <row r="583" spans="1:5" x14ac:dyDescent="0.25">
      <c r="A583" t="s">
        <v>75</v>
      </c>
      <c r="B583" s="5">
        <v>39617</v>
      </c>
      <c r="C583" s="5" t="str">
        <f t="shared" si="9"/>
        <v>SRBEV007.28_39617</v>
      </c>
      <c r="D583" t="s">
        <v>2005</v>
      </c>
      <c r="E583">
        <f>COUNTIF(data.SampSummary!$C$2:$C$958,C583)</f>
        <v>1</v>
      </c>
    </row>
    <row r="584" spans="1:5" x14ac:dyDescent="0.25">
      <c r="A584" t="s">
        <v>247</v>
      </c>
      <c r="B584" s="5">
        <v>40317</v>
      </c>
      <c r="C584" s="5" t="str">
        <f t="shared" si="9"/>
        <v>BWTRT002.43_40317</v>
      </c>
      <c r="D584" t="s">
        <v>2006</v>
      </c>
      <c r="E584">
        <f>COUNTIF(data.SampSummary!$C$2:$C$958,C584)</f>
        <v>0</v>
      </c>
    </row>
    <row r="585" spans="1:5" x14ac:dyDescent="0.25">
      <c r="A585" t="s">
        <v>54</v>
      </c>
      <c r="B585" s="5">
        <v>39980</v>
      </c>
      <c r="C585" s="5" t="str">
        <f t="shared" si="9"/>
        <v>UGCOL003.48_39980</v>
      </c>
      <c r="D585" t="s">
        <v>2007</v>
      </c>
      <c r="E585">
        <f>COUNTIF(data.SampSummary!$C$2:$C$958,C585)</f>
        <v>1</v>
      </c>
    </row>
    <row r="586" spans="1:5" x14ac:dyDescent="0.25">
      <c r="A586" t="s">
        <v>43</v>
      </c>
      <c r="B586" s="5">
        <v>39742</v>
      </c>
      <c r="C586" s="5" t="str">
        <f t="shared" si="9"/>
        <v>SRCYN045.73_39742</v>
      </c>
      <c r="D586" t="s">
        <v>2008</v>
      </c>
      <c r="E586">
        <f>COUNTIF(data.SampSummary!$C$2:$C$958,C586)</f>
        <v>0</v>
      </c>
    </row>
    <row r="587" spans="1:5" x14ac:dyDescent="0.25">
      <c r="A587" t="s">
        <v>328</v>
      </c>
      <c r="B587" s="5">
        <v>38825</v>
      </c>
      <c r="C587" s="5" t="str">
        <f t="shared" si="9"/>
        <v>UGSFR019.04_38825</v>
      </c>
      <c r="D587" t="s">
        <v>2009</v>
      </c>
      <c r="E587">
        <f>COUNTIF(data.SampSummary!$C$2:$C$958,C587)</f>
        <v>1</v>
      </c>
    </row>
    <row r="588" spans="1:5" x14ac:dyDescent="0.25">
      <c r="A588" t="s">
        <v>231</v>
      </c>
      <c r="B588" s="5">
        <v>39797</v>
      </c>
      <c r="C588" s="5" t="str">
        <f t="shared" si="9"/>
        <v>SPARA026.35_39797</v>
      </c>
      <c r="D588" t="s">
        <v>2010</v>
      </c>
      <c r="E588">
        <f>COUNTIF(data.SampSummary!$C$2:$C$958,C588)</f>
        <v>0</v>
      </c>
    </row>
    <row r="589" spans="1:5" x14ac:dyDescent="0.25">
      <c r="A589" t="s">
        <v>245</v>
      </c>
      <c r="B589" s="5">
        <v>35563</v>
      </c>
      <c r="C589" s="5" t="str">
        <f t="shared" si="9"/>
        <v>SRHAG007.47_35563</v>
      </c>
      <c r="D589" t="s">
        <v>2011</v>
      </c>
      <c r="E589">
        <f>COUNTIF(data.SampSummary!$C$2:$C$958,C589)</f>
        <v>1</v>
      </c>
    </row>
    <row r="590" spans="1:5" x14ac:dyDescent="0.25">
      <c r="A590" t="s">
        <v>290</v>
      </c>
      <c r="B590" s="5">
        <v>38461</v>
      </c>
      <c r="C590" s="5" t="str">
        <f t="shared" si="9"/>
        <v>SPHSC010.67_38461</v>
      </c>
      <c r="D590" t="s">
        <v>2012</v>
      </c>
      <c r="E590">
        <f>COUNTIF(data.SampSummary!$C$2:$C$958,C590)</f>
        <v>1</v>
      </c>
    </row>
    <row r="591" spans="1:5" x14ac:dyDescent="0.25">
      <c r="A591" t="s">
        <v>342</v>
      </c>
      <c r="B591" s="5">
        <v>36668</v>
      </c>
      <c r="C591" s="5" t="str">
        <f t="shared" si="9"/>
        <v>UGBON000.17_36668</v>
      </c>
      <c r="D591" t="s">
        <v>2013</v>
      </c>
      <c r="E591">
        <f>COUNTIF(data.SampSummary!$C$2:$C$958,C591)</f>
        <v>2</v>
      </c>
    </row>
    <row r="592" spans="1:5" x14ac:dyDescent="0.25">
      <c r="A592" t="s">
        <v>376</v>
      </c>
      <c r="B592" s="5">
        <v>38190</v>
      </c>
      <c r="C592" s="5" t="str">
        <f t="shared" si="9"/>
        <v>CGCLE000.19_38190</v>
      </c>
      <c r="D592" t="s">
        <v>2014</v>
      </c>
      <c r="E592">
        <f>COUNTIF(data.SampSummary!$C$2:$C$958,C592)</f>
        <v>0</v>
      </c>
    </row>
    <row r="593" spans="1:5" x14ac:dyDescent="0.25">
      <c r="A593" t="s">
        <v>2015</v>
      </c>
      <c r="B593" s="5">
        <v>37383</v>
      </c>
      <c r="C593" s="5" t="str">
        <f t="shared" si="9"/>
        <v>SPSPR003.85_37383</v>
      </c>
      <c r="D593" t="s">
        <v>2016</v>
      </c>
      <c r="E593">
        <f>COUNTIF(data.SampSummary!$C$2:$C$958,C593)</f>
        <v>0</v>
      </c>
    </row>
    <row r="594" spans="1:5" x14ac:dyDescent="0.25">
      <c r="A594" t="s">
        <v>160</v>
      </c>
      <c r="B594" s="5">
        <v>40106</v>
      </c>
      <c r="C594" s="5" t="str">
        <f t="shared" si="9"/>
        <v>CGTAP000.08_40106</v>
      </c>
      <c r="D594" t="s">
        <v>2017</v>
      </c>
      <c r="E594">
        <f>COUNTIF(data.SampSummary!$C$2:$C$958,C594)</f>
        <v>0</v>
      </c>
    </row>
    <row r="595" spans="1:5" x14ac:dyDescent="0.25">
      <c r="A595" t="s">
        <v>278</v>
      </c>
      <c r="B595" s="5">
        <v>40289</v>
      </c>
      <c r="C595" s="5" t="str">
        <f t="shared" si="9"/>
        <v>BWBSR037.79_40289</v>
      </c>
      <c r="D595" t="s">
        <v>2018</v>
      </c>
      <c r="E595">
        <f>COUNTIF(data.SampSummary!$C$2:$C$958,C595)</f>
        <v>0</v>
      </c>
    </row>
    <row r="596" spans="1:5" x14ac:dyDescent="0.25">
      <c r="A596" t="s">
        <v>52</v>
      </c>
      <c r="B596" s="5">
        <v>41044</v>
      </c>
      <c r="C596" s="5" t="str">
        <f t="shared" si="9"/>
        <v>UGCAV016.84_41044</v>
      </c>
      <c r="D596" t="s">
        <v>2019</v>
      </c>
      <c r="E596">
        <f>COUNTIF(data.SampSummary!$C$2:$C$958,C596)</f>
        <v>1</v>
      </c>
    </row>
    <row r="597" spans="1:5" x14ac:dyDescent="0.25">
      <c r="A597" t="s">
        <v>129</v>
      </c>
      <c r="B597" s="5">
        <v>41779</v>
      </c>
      <c r="C597" s="5" t="str">
        <f t="shared" si="9"/>
        <v>LCECL009.39_41779</v>
      </c>
      <c r="D597" t="s">
        <v>2020</v>
      </c>
      <c r="E597">
        <f>COUNTIF(data.SampSummary!$C$2:$C$958,C597)</f>
        <v>1</v>
      </c>
    </row>
    <row r="598" spans="1:5" x14ac:dyDescent="0.25">
      <c r="A598" t="s">
        <v>43</v>
      </c>
      <c r="B598" s="5">
        <v>41745</v>
      </c>
      <c r="C598" s="5" t="str">
        <f t="shared" si="9"/>
        <v>SRCYN045.73_41745</v>
      </c>
      <c r="D598" t="s">
        <v>2021</v>
      </c>
      <c r="E598">
        <f>COUNTIF(data.SampSummary!$C$2:$C$958,C598)</f>
        <v>1</v>
      </c>
    </row>
    <row r="599" spans="1:5" x14ac:dyDescent="0.25">
      <c r="A599" t="s">
        <v>165</v>
      </c>
      <c r="B599" s="5">
        <v>39615</v>
      </c>
      <c r="C599" s="5" t="str">
        <f t="shared" si="9"/>
        <v>SRBON001.69_39615</v>
      </c>
      <c r="D599" t="s">
        <v>2022</v>
      </c>
      <c r="E599">
        <f>COUNTIF(data.SampSummary!$C$2:$C$958,C599)</f>
        <v>1</v>
      </c>
    </row>
    <row r="600" spans="1:5" x14ac:dyDescent="0.25">
      <c r="A600" t="s">
        <v>102</v>
      </c>
      <c r="B600" s="5">
        <v>40024</v>
      </c>
      <c r="C600" s="5" t="str">
        <f t="shared" si="9"/>
        <v>UGKPK011.18_40024</v>
      </c>
      <c r="D600" t="s">
        <v>2023</v>
      </c>
      <c r="E600">
        <f>COUNTIF(data.SampSummary!$C$2:$C$958,C600)</f>
        <v>1</v>
      </c>
    </row>
    <row r="601" spans="1:5" x14ac:dyDescent="0.25">
      <c r="A601" t="s">
        <v>205</v>
      </c>
      <c r="B601" s="5">
        <v>38913</v>
      </c>
      <c r="C601" s="5" t="str">
        <f t="shared" si="9"/>
        <v>CGRYA000.05_38913</v>
      </c>
      <c r="D601" t="s">
        <v>2024</v>
      </c>
      <c r="E601">
        <f>COUNTIF(data.SampSummary!$C$2:$C$958,C601)</f>
        <v>1</v>
      </c>
    </row>
    <row r="602" spans="1:5" x14ac:dyDescent="0.25">
      <c r="A602" t="s">
        <v>358</v>
      </c>
      <c r="B602" s="5">
        <v>39580</v>
      </c>
      <c r="C602" s="5" t="str">
        <f t="shared" si="9"/>
        <v>SRSPI011.63_39580</v>
      </c>
      <c r="D602" t="s">
        <v>2025</v>
      </c>
      <c r="E602">
        <f>COUNTIF(data.SampSummary!$C$2:$C$958,C602)</f>
        <v>1</v>
      </c>
    </row>
    <row r="603" spans="1:5" x14ac:dyDescent="0.25">
      <c r="A603" t="s">
        <v>177</v>
      </c>
      <c r="B603" s="5">
        <v>41086</v>
      </c>
      <c r="C603" s="5" t="str">
        <f t="shared" si="9"/>
        <v>SRBLR070.45_41086</v>
      </c>
      <c r="D603" t="s">
        <v>2026</v>
      </c>
      <c r="E603">
        <f>COUNTIF(data.SampSummary!$C$2:$C$958,C603)</f>
        <v>1</v>
      </c>
    </row>
    <row r="604" spans="1:5" x14ac:dyDescent="0.25">
      <c r="A604" t="s">
        <v>2027</v>
      </c>
      <c r="B604" s="5">
        <v>42480</v>
      </c>
      <c r="C604" s="5" t="str">
        <f t="shared" si="9"/>
        <v>MGBGB023.15_42480</v>
      </c>
      <c r="D604" t="s">
        <v>2028</v>
      </c>
      <c r="E604">
        <f>COUNTIF(data.SampSummary!$C$2:$C$958,C604)</f>
        <v>0</v>
      </c>
    </row>
    <row r="605" spans="1:5" x14ac:dyDescent="0.25">
      <c r="A605" t="s">
        <v>139</v>
      </c>
      <c r="B605" s="5">
        <v>40304</v>
      </c>
      <c r="C605" s="5" t="str">
        <f t="shared" si="9"/>
        <v>LCBIL000.01_40304</v>
      </c>
      <c r="D605" t="s">
        <v>2029</v>
      </c>
      <c r="E605">
        <f>COUNTIF(data.SampSummary!$C$2:$C$958,C605)</f>
        <v>0</v>
      </c>
    </row>
    <row r="606" spans="1:5" x14ac:dyDescent="0.25">
      <c r="A606" t="s">
        <v>52</v>
      </c>
      <c r="B606" s="5">
        <v>42171</v>
      </c>
      <c r="C606" s="5" t="str">
        <f t="shared" si="9"/>
        <v>UGCAV016.84_42171</v>
      </c>
      <c r="D606" t="s">
        <v>2030</v>
      </c>
      <c r="E606">
        <f>COUNTIF(data.SampSummary!$C$2:$C$958,C606)</f>
        <v>1</v>
      </c>
    </row>
    <row r="607" spans="1:5" x14ac:dyDescent="0.25">
      <c r="A607" t="s">
        <v>19</v>
      </c>
      <c r="B607" s="5">
        <v>41780</v>
      </c>
      <c r="C607" s="5" t="str">
        <f t="shared" si="9"/>
        <v>LCCOL003.03_41780</v>
      </c>
      <c r="D607" t="s">
        <v>2031</v>
      </c>
      <c r="E607">
        <f>COUNTIF(data.SampSummary!$C$2:$C$958,C607)</f>
        <v>1</v>
      </c>
    </row>
    <row r="608" spans="1:5" x14ac:dyDescent="0.25">
      <c r="A608" t="s">
        <v>168</v>
      </c>
      <c r="B608" s="5">
        <v>40709</v>
      </c>
      <c r="C608" s="5" t="str">
        <f t="shared" si="9"/>
        <v>VRELL009.02_40709</v>
      </c>
      <c r="D608" t="s">
        <v>2032</v>
      </c>
      <c r="E608">
        <f>COUNTIF(data.SampSummary!$C$2:$C$958,C608)</f>
        <v>1</v>
      </c>
    </row>
    <row r="609" spans="1:5" x14ac:dyDescent="0.25">
      <c r="A609" t="s">
        <v>226</v>
      </c>
      <c r="B609" s="5">
        <v>37364</v>
      </c>
      <c r="C609" s="5" t="str">
        <f t="shared" si="9"/>
        <v>MGSYD009.13_37364</v>
      </c>
      <c r="D609" t="s">
        <v>2033</v>
      </c>
      <c r="E609">
        <f>COUNTIF(data.SampSummary!$C$2:$C$958,C609)</f>
        <v>1</v>
      </c>
    </row>
    <row r="610" spans="1:5" x14ac:dyDescent="0.25">
      <c r="A610" t="s">
        <v>300</v>
      </c>
      <c r="B610" s="5">
        <v>35541</v>
      </c>
      <c r="C610" s="5" t="str">
        <f t="shared" si="9"/>
        <v>BWTRT011.97_35541</v>
      </c>
      <c r="D610" t="s">
        <v>2034</v>
      </c>
      <c r="E610">
        <f>COUNTIF(data.SampSummary!$C$2:$C$958,C610)</f>
        <v>1</v>
      </c>
    </row>
    <row r="611" spans="1:5" x14ac:dyDescent="0.25">
      <c r="A611" t="s">
        <v>348</v>
      </c>
      <c r="B611" s="5">
        <v>39612</v>
      </c>
      <c r="C611" s="5" t="str">
        <f t="shared" si="9"/>
        <v>VRFOS014.33_39612</v>
      </c>
      <c r="D611" t="s">
        <v>2035</v>
      </c>
      <c r="E611">
        <f>COUNTIF(data.SampSummary!$C$2:$C$958,C611)</f>
        <v>1</v>
      </c>
    </row>
    <row r="612" spans="1:5" x14ac:dyDescent="0.25">
      <c r="A612" t="s">
        <v>232</v>
      </c>
      <c r="B612" s="5">
        <v>40674</v>
      </c>
      <c r="C612" s="5" t="str">
        <f t="shared" si="9"/>
        <v>SCSON016.78_40674</v>
      </c>
      <c r="D612" t="s">
        <v>2036</v>
      </c>
      <c r="E612">
        <f>COUNTIF(data.SampSummary!$C$2:$C$958,C612)</f>
        <v>1</v>
      </c>
    </row>
    <row r="613" spans="1:5" x14ac:dyDescent="0.25">
      <c r="A613" t="s">
        <v>231</v>
      </c>
      <c r="B613" s="5">
        <v>39947</v>
      </c>
      <c r="C613" s="5" t="str">
        <f t="shared" si="9"/>
        <v>SPARA026.35_39947</v>
      </c>
      <c r="D613" t="s">
        <v>2037</v>
      </c>
      <c r="E613">
        <f>COUNTIF(data.SampSummary!$C$2:$C$958,C613)</f>
        <v>1</v>
      </c>
    </row>
    <row r="614" spans="1:5" x14ac:dyDescent="0.25">
      <c r="A614" t="s">
        <v>259</v>
      </c>
      <c r="B614" s="5">
        <v>35923</v>
      </c>
      <c r="C614" s="5" t="str">
        <f t="shared" si="9"/>
        <v>VRVER185.21_35923</v>
      </c>
      <c r="D614" t="s">
        <v>2038</v>
      </c>
      <c r="E614">
        <f>COUNTIF(data.SampSummary!$C$2:$C$958,C614)</f>
        <v>1</v>
      </c>
    </row>
    <row r="615" spans="1:5" x14ac:dyDescent="0.25">
      <c r="A615" t="s">
        <v>290</v>
      </c>
      <c r="B615" s="5">
        <v>35549</v>
      </c>
      <c r="C615" s="5" t="str">
        <f t="shared" si="9"/>
        <v>SPHSC010.67_35549</v>
      </c>
      <c r="D615" t="s">
        <v>2039</v>
      </c>
      <c r="E615">
        <f>COUNTIF(data.SampSummary!$C$2:$C$958,C615)</f>
        <v>1</v>
      </c>
    </row>
    <row r="616" spans="1:5" x14ac:dyDescent="0.25">
      <c r="A616" t="s">
        <v>221</v>
      </c>
      <c r="B616" s="5">
        <v>39924</v>
      </c>
      <c r="C616" s="5" t="str">
        <f t="shared" si="9"/>
        <v>MGSYD009.51_39924</v>
      </c>
      <c r="D616" t="s">
        <v>2040</v>
      </c>
      <c r="E616">
        <f>COUNTIF(data.SampSummary!$C$2:$C$958,C616)</f>
        <v>2</v>
      </c>
    </row>
    <row r="617" spans="1:5" x14ac:dyDescent="0.25">
      <c r="A617" t="s">
        <v>101</v>
      </c>
      <c r="B617" s="5">
        <v>39238</v>
      </c>
      <c r="C617" s="5" t="str">
        <f t="shared" si="9"/>
        <v>LCLCR360.06_39238</v>
      </c>
      <c r="D617" t="s">
        <v>2041</v>
      </c>
      <c r="E617">
        <f>COUNTIF(data.SampSummary!$C$2:$C$958,C617)</f>
        <v>1</v>
      </c>
    </row>
    <row r="618" spans="1:5" x14ac:dyDescent="0.25">
      <c r="A618" t="s">
        <v>2042</v>
      </c>
      <c r="B618" s="5">
        <v>42143</v>
      </c>
      <c r="C618" s="5" t="str">
        <f t="shared" si="9"/>
        <v>UGEEG001.57_42143</v>
      </c>
      <c r="D618" t="s">
        <v>2043</v>
      </c>
      <c r="E618">
        <f>COUNTIF(data.SampSummary!$C$2:$C$958,C618)</f>
        <v>0</v>
      </c>
    </row>
    <row r="619" spans="1:5" x14ac:dyDescent="0.25">
      <c r="A619" t="s">
        <v>31</v>
      </c>
      <c r="B619" s="5">
        <v>42543</v>
      </c>
      <c r="C619" s="5" t="str">
        <f t="shared" si="9"/>
        <v>SRUDC000.02_42543</v>
      </c>
      <c r="D619" t="s">
        <v>2044</v>
      </c>
      <c r="E619">
        <f>COUNTIF(data.SampSummary!$C$2:$C$958,C619)</f>
        <v>1</v>
      </c>
    </row>
    <row r="620" spans="1:5" x14ac:dyDescent="0.25">
      <c r="A620" t="s">
        <v>163</v>
      </c>
      <c r="B620" s="5">
        <v>39205</v>
      </c>
      <c r="C620" s="5" t="str">
        <f t="shared" si="9"/>
        <v>LCECL021.13_39205</v>
      </c>
      <c r="D620" t="s">
        <v>2045</v>
      </c>
      <c r="E620">
        <f>COUNTIF(data.SampSummary!$C$2:$C$958,C620)</f>
        <v>1</v>
      </c>
    </row>
    <row r="621" spans="1:5" x14ac:dyDescent="0.25">
      <c r="A621" t="s">
        <v>216</v>
      </c>
      <c r="B621" s="5">
        <v>42116</v>
      </c>
      <c r="C621" s="5" t="str">
        <f t="shared" si="9"/>
        <v>MGSSW000.38_42116</v>
      </c>
      <c r="D621" t="s">
        <v>2046</v>
      </c>
      <c r="E621">
        <f>COUNTIF(data.SampSummary!$C$2:$C$958,C621)</f>
        <v>1</v>
      </c>
    </row>
    <row r="622" spans="1:5" x14ac:dyDescent="0.25">
      <c r="A622" t="s">
        <v>1675</v>
      </c>
      <c r="B622" s="5">
        <v>39882</v>
      </c>
      <c r="C622" s="5" t="str">
        <f t="shared" si="9"/>
        <v>VRPIN001.31_39882</v>
      </c>
      <c r="D622" t="s">
        <v>2047</v>
      </c>
      <c r="E622">
        <f>COUNTIF(data.SampSummary!$C$2:$C$958,C622)</f>
        <v>0</v>
      </c>
    </row>
    <row r="623" spans="1:5" x14ac:dyDescent="0.25">
      <c r="A623" t="s">
        <v>281</v>
      </c>
      <c r="B623" s="5">
        <v>40104</v>
      </c>
      <c r="C623" s="5" t="str">
        <f t="shared" si="9"/>
        <v>CGCRY000.05_40104</v>
      </c>
      <c r="D623" t="s">
        <v>2048</v>
      </c>
      <c r="E623">
        <f>COUNTIF(data.SampSummary!$C$2:$C$958,C623)</f>
        <v>0</v>
      </c>
    </row>
    <row r="624" spans="1:5" x14ac:dyDescent="0.25">
      <c r="A624" t="s">
        <v>342</v>
      </c>
      <c r="B624" s="5">
        <v>35388</v>
      </c>
      <c r="C624" s="5" t="str">
        <f t="shared" si="9"/>
        <v>UGBON000.17_35388</v>
      </c>
      <c r="D624" t="s">
        <v>2049</v>
      </c>
      <c r="E624">
        <f>COUNTIF(data.SampSummary!$C$2:$C$958,C624)</f>
        <v>0</v>
      </c>
    </row>
    <row r="625" spans="1:5" x14ac:dyDescent="0.25">
      <c r="A625" t="s">
        <v>69</v>
      </c>
      <c r="B625" s="5">
        <v>41774</v>
      </c>
      <c r="C625" s="5" t="str">
        <f t="shared" si="9"/>
        <v>SRWRK007.97_41774</v>
      </c>
      <c r="D625" t="s">
        <v>2050</v>
      </c>
      <c r="E625">
        <f>COUNTIF(data.SampSummary!$C$2:$C$958,C625)</f>
        <v>1</v>
      </c>
    </row>
    <row r="626" spans="1:5" x14ac:dyDescent="0.25">
      <c r="A626" t="s">
        <v>294</v>
      </c>
      <c r="B626" s="5">
        <v>38112</v>
      </c>
      <c r="C626" s="5" t="str">
        <f t="shared" si="9"/>
        <v>VRVER164.63_38112</v>
      </c>
      <c r="D626" t="s">
        <v>2051</v>
      </c>
      <c r="E626">
        <f>COUNTIF(data.SampSummary!$C$2:$C$958,C626)</f>
        <v>1</v>
      </c>
    </row>
    <row r="627" spans="1:5" x14ac:dyDescent="0.25">
      <c r="A627" t="s">
        <v>19</v>
      </c>
      <c r="B627" s="5">
        <v>37053</v>
      </c>
      <c r="C627" s="5" t="str">
        <f t="shared" si="9"/>
        <v>LCCOL003.03_37053</v>
      </c>
      <c r="D627" t="s">
        <v>2052</v>
      </c>
      <c r="E627">
        <f>COUNTIF(data.SampSummary!$C$2:$C$958,C627)</f>
        <v>1</v>
      </c>
    </row>
    <row r="628" spans="1:5" x14ac:dyDescent="0.25">
      <c r="A628" t="s">
        <v>234</v>
      </c>
      <c r="B628" s="5">
        <v>42100</v>
      </c>
      <c r="C628" s="5" t="str">
        <f t="shared" si="9"/>
        <v>SPSPR014.18_42100</v>
      </c>
      <c r="D628" t="s">
        <v>2053</v>
      </c>
      <c r="E628">
        <f>COUNTIF(data.SampSummary!$C$2:$C$958,C628)</f>
        <v>1</v>
      </c>
    </row>
    <row r="629" spans="1:5" x14ac:dyDescent="0.25">
      <c r="A629" t="s">
        <v>272</v>
      </c>
      <c r="B629" s="5">
        <v>36284</v>
      </c>
      <c r="C629" s="5" t="str">
        <f t="shared" si="9"/>
        <v>VROAK028.24_36284</v>
      </c>
      <c r="D629" t="s">
        <v>2054</v>
      </c>
      <c r="E629">
        <f>COUNTIF(data.SampSummary!$C$2:$C$958,C629)</f>
        <v>1</v>
      </c>
    </row>
    <row r="630" spans="1:5" x14ac:dyDescent="0.25">
      <c r="A630" t="s">
        <v>113</v>
      </c>
      <c r="B630" s="5">
        <v>38147</v>
      </c>
      <c r="C630" s="5" t="str">
        <f t="shared" si="9"/>
        <v>LCNUT020.72_38147</v>
      </c>
      <c r="D630" t="s">
        <v>2055</v>
      </c>
      <c r="E630">
        <f>COUNTIF(data.SampSummary!$C$2:$C$958,C630)</f>
        <v>1</v>
      </c>
    </row>
    <row r="631" spans="1:5" x14ac:dyDescent="0.25">
      <c r="A631" t="s">
        <v>2056</v>
      </c>
      <c r="B631" s="5">
        <v>36998</v>
      </c>
      <c r="C631" s="5" t="str">
        <f t="shared" si="9"/>
        <v>SCCIE003.26_36998</v>
      </c>
      <c r="D631" t="s">
        <v>2057</v>
      </c>
      <c r="E631">
        <f>COUNTIF(data.SampSummary!$C$2:$C$958,C631)</f>
        <v>0</v>
      </c>
    </row>
    <row r="632" spans="1:5" x14ac:dyDescent="0.25">
      <c r="A632" t="s">
        <v>246</v>
      </c>
      <c r="B632" s="5">
        <v>38911</v>
      </c>
      <c r="C632" s="5" t="str">
        <f t="shared" si="9"/>
        <v>CGHRM000.08_38911</v>
      </c>
      <c r="D632" t="s">
        <v>2058</v>
      </c>
      <c r="E632">
        <f>COUNTIF(data.SampSummary!$C$2:$C$958,C632)</f>
        <v>1</v>
      </c>
    </row>
    <row r="633" spans="1:5" x14ac:dyDescent="0.25">
      <c r="A633" t="s">
        <v>124</v>
      </c>
      <c r="B633" s="5">
        <v>37047</v>
      </c>
      <c r="C633" s="5" t="str">
        <f t="shared" si="9"/>
        <v>LCSIL043.84_37047</v>
      </c>
      <c r="D633" t="s">
        <v>2059</v>
      </c>
      <c r="E633">
        <f>COUNTIF(data.SampSummary!$C$2:$C$958,C633)</f>
        <v>1</v>
      </c>
    </row>
    <row r="634" spans="1:5" x14ac:dyDescent="0.25">
      <c r="A634" t="s">
        <v>1711</v>
      </c>
      <c r="B634" s="5">
        <v>40281</v>
      </c>
      <c r="C634" s="5" t="str">
        <f t="shared" si="9"/>
        <v>MGIDN002.66_40281</v>
      </c>
      <c r="D634" t="s">
        <v>2060</v>
      </c>
      <c r="E634">
        <f>COUNTIF(data.SampSummary!$C$2:$C$958,C634)</f>
        <v>0</v>
      </c>
    </row>
    <row r="635" spans="1:5" x14ac:dyDescent="0.25">
      <c r="A635" t="s">
        <v>352</v>
      </c>
      <c r="B635" s="5">
        <v>35543</v>
      </c>
      <c r="C635" s="5" t="str">
        <f t="shared" si="9"/>
        <v>BWCNG006.59_35543</v>
      </c>
      <c r="D635" t="s">
        <v>2061</v>
      </c>
      <c r="E635">
        <f>COUNTIF(data.SampSummary!$C$2:$C$958,C635)</f>
        <v>1</v>
      </c>
    </row>
    <row r="636" spans="1:5" x14ac:dyDescent="0.25">
      <c r="A636" t="s">
        <v>238</v>
      </c>
      <c r="B636" s="5">
        <v>37761</v>
      </c>
      <c r="C636" s="5" t="str">
        <f t="shared" si="9"/>
        <v>UGBLR008.19_37761</v>
      </c>
      <c r="D636" t="s">
        <v>2062</v>
      </c>
      <c r="E636">
        <f>COUNTIF(data.SampSummary!$C$2:$C$958,C636)</f>
        <v>1</v>
      </c>
    </row>
    <row r="637" spans="1:5" x14ac:dyDescent="0.25">
      <c r="A637" t="s">
        <v>216</v>
      </c>
      <c r="B637" s="5">
        <v>41393</v>
      </c>
      <c r="C637" s="5" t="str">
        <f t="shared" si="9"/>
        <v>MGSSW000.38_41393</v>
      </c>
      <c r="D637" t="s">
        <v>2063</v>
      </c>
      <c r="E637">
        <f>COUNTIF(data.SampSummary!$C$2:$C$958,C637)</f>
        <v>2</v>
      </c>
    </row>
    <row r="638" spans="1:5" x14ac:dyDescent="0.25">
      <c r="A638" t="s">
        <v>357</v>
      </c>
      <c r="B638" s="5">
        <v>39945</v>
      </c>
      <c r="C638" s="5" t="str">
        <f t="shared" si="9"/>
        <v>UGSFR034.57_39945</v>
      </c>
      <c r="D638" t="s">
        <v>2064</v>
      </c>
      <c r="E638">
        <f>COUNTIF(data.SampSummary!$C$2:$C$958,C638)</f>
        <v>1</v>
      </c>
    </row>
    <row r="639" spans="1:5" x14ac:dyDescent="0.25">
      <c r="A639" t="s">
        <v>375</v>
      </c>
      <c r="B639" s="5">
        <v>39561</v>
      </c>
      <c r="C639" s="5" t="str">
        <f t="shared" si="9"/>
        <v>SRPNL005.12_39561</v>
      </c>
      <c r="D639" t="s">
        <v>2065</v>
      </c>
      <c r="E639">
        <f>COUNTIF(data.SampSummary!$C$2:$C$958,C639)</f>
        <v>1</v>
      </c>
    </row>
    <row r="640" spans="1:5" x14ac:dyDescent="0.25">
      <c r="A640" t="s">
        <v>211</v>
      </c>
      <c r="B640" s="5">
        <v>42108</v>
      </c>
      <c r="C640" s="5" t="str">
        <f t="shared" si="9"/>
        <v>MGAFR110.01_42108</v>
      </c>
      <c r="D640" t="s">
        <v>2066</v>
      </c>
      <c r="E640">
        <f>COUNTIF(data.SampSummary!$C$2:$C$958,C640)</f>
        <v>1</v>
      </c>
    </row>
    <row r="641" spans="1:5" x14ac:dyDescent="0.25">
      <c r="A641" t="s">
        <v>211</v>
      </c>
      <c r="B641" s="5">
        <v>39741</v>
      </c>
      <c r="C641" s="5" t="str">
        <f t="shared" si="9"/>
        <v>MGAFR110.01_39741</v>
      </c>
      <c r="D641" t="s">
        <v>2067</v>
      </c>
      <c r="E641">
        <f>COUNTIF(data.SampSummary!$C$2:$C$958,C641)</f>
        <v>0</v>
      </c>
    </row>
    <row r="642" spans="1:5" x14ac:dyDescent="0.25">
      <c r="A642" t="s">
        <v>2068</v>
      </c>
      <c r="B642" s="5">
        <v>37004</v>
      </c>
      <c r="C642" s="5" t="str">
        <f t="shared" si="9"/>
        <v>SCSAB009.77_37004</v>
      </c>
      <c r="D642" t="s">
        <v>2069</v>
      </c>
      <c r="E642">
        <f>COUNTIF(data.SampSummary!$C$2:$C$958,C642)</f>
        <v>0</v>
      </c>
    </row>
    <row r="643" spans="1:5" x14ac:dyDescent="0.25">
      <c r="A643" t="s">
        <v>23</v>
      </c>
      <c r="B643" s="5">
        <v>38133</v>
      </c>
      <c r="C643" s="5" t="str">
        <f t="shared" ref="C643:C706" si="10">A643&amp;"_"&amp;B643</f>
        <v>VROAK049.65_38133</v>
      </c>
      <c r="D643" t="s">
        <v>2070</v>
      </c>
      <c r="E643">
        <f>COUNTIF(data.SampSummary!$C$2:$C$958,C643)</f>
        <v>1</v>
      </c>
    </row>
    <row r="644" spans="1:5" x14ac:dyDescent="0.25">
      <c r="A644" t="s">
        <v>249</v>
      </c>
      <c r="B644" s="5">
        <v>41389</v>
      </c>
      <c r="C644" s="5" t="str">
        <f t="shared" si="10"/>
        <v>MGLSY000.91_41389</v>
      </c>
      <c r="D644" t="s">
        <v>2071</v>
      </c>
      <c r="E644">
        <f>COUNTIF(data.SampSummary!$C$2:$C$958,C644)</f>
        <v>1</v>
      </c>
    </row>
    <row r="645" spans="1:5" x14ac:dyDescent="0.25">
      <c r="A645" t="s">
        <v>354</v>
      </c>
      <c r="B645" s="5">
        <v>35605</v>
      </c>
      <c r="C645" s="5" t="str">
        <f t="shared" si="10"/>
        <v>VRSPN000.19_35605</v>
      </c>
      <c r="D645" t="s">
        <v>2072</v>
      </c>
      <c r="E645">
        <f>COUNTIF(data.SampSummary!$C$2:$C$958,C645)</f>
        <v>1</v>
      </c>
    </row>
    <row r="646" spans="1:5" x14ac:dyDescent="0.25">
      <c r="A646" t="s">
        <v>104</v>
      </c>
      <c r="B646" s="5">
        <v>38511</v>
      </c>
      <c r="C646" s="5" t="str">
        <f t="shared" si="10"/>
        <v>LCWLR000.92_38511</v>
      </c>
      <c r="D646" t="s">
        <v>2073</v>
      </c>
      <c r="E646">
        <f>COUNTIF(data.SampSummary!$C$2:$C$958,C646)</f>
        <v>1</v>
      </c>
    </row>
    <row r="647" spans="1:5" x14ac:dyDescent="0.25">
      <c r="A647" t="s">
        <v>141</v>
      </c>
      <c r="B647" s="5">
        <v>39981</v>
      </c>
      <c r="C647" s="5" t="str">
        <f t="shared" si="10"/>
        <v>UGBLR031.69_39981</v>
      </c>
      <c r="D647" t="s">
        <v>2074</v>
      </c>
      <c r="E647">
        <f>COUNTIF(data.SampSummary!$C$2:$C$958,C647)</f>
        <v>1</v>
      </c>
    </row>
    <row r="648" spans="1:5" x14ac:dyDescent="0.25">
      <c r="A648" t="s">
        <v>151</v>
      </c>
      <c r="B648" s="5">
        <v>39742</v>
      </c>
      <c r="C648" s="5" t="str">
        <f t="shared" si="10"/>
        <v>SRHAG013.09_39742</v>
      </c>
      <c r="D648" t="s">
        <v>2075</v>
      </c>
      <c r="E648">
        <f>COUNTIF(data.SampSummary!$C$2:$C$958,C648)</f>
        <v>0</v>
      </c>
    </row>
    <row r="649" spans="1:5" x14ac:dyDescent="0.25">
      <c r="A649" t="s">
        <v>83</v>
      </c>
      <c r="B649" s="5">
        <v>41758</v>
      </c>
      <c r="C649" s="5" t="str">
        <f t="shared" si="10"/>
        <v>LCELR008.70_41758</v>
      </c>
      <c r="D649" t="s">
        <v>2076</v>
      </c>
      <c r="E649">
        <f>COUNTIF(data.SampSummary!$C$2:$C$958,C649)</f>
        <v>1</v>
      </c>
    </row>
    <row r="650" spans="1:5" x14ac:dyDescent="0.25">
      <c r="A650" t="s">
        <v>280</v>
      </c>
      <c r="B650" s="5">
        <v>36284</v>
      </c>
      <c r="C650" s="5" t="str">
        <f t="shared" si="10"/>
        <v>VROAK016.70_36284</v>
      </c>
      <c r="D650" t="s">
        <v>2077</v>
      </c>
      <c r="E650">
        <f>COUNTIF(data.SampSummary!$C$2:$C$958,C650)</f>
        <v>1</v>
      </c>
    </row>
    <row r="651" spans="1:5" x14ac:dyDescent="0.25">
      <c r="A651" t="s">
        <v>141</v>
      </c>
      <c r="B651" s="5">
        <v>39744</v>
      </c>
      <c r="C651" s="5" t="str">
        <f t="shared" si="10"/>
        <v>UGBLR031.69_39744</v>
      </c>
      <c r="D651" t="s">
        <v>2078</v>
      </c>
      <c r="E651">
        <f>COUNTIF(data.SampSummary!$C$2:$C$958,C651)</f>
        <v>0</v>
      </c>
    </row>
    <row r="652" spans="1:5" x14ac:dyDescent="0.25">
      <c r="A652" t="s">
        <v>2079</v>
      </c>
      <c r="B652" s="5">
        <v>37014</v>
      </c>
      <c r="C652" s="5" t="str">
        <f t="shared" si="10"/>
        <v>UGCAV011.45_37014</v>
      </c>
      <c r="D652" t="s">
        <v>2080</v>
      </c>
      <c r="E652">
        <f>COUNTIF(data.SampSummary!$C$2:$C$958,C652)</f>
        <v>0</v>
      </c>
    </row>
    <row r="653" spans="1:5" x14ac:dyDescent="0.25">
      <c r="A653" t="s">
        <v>290</v>
      </c>
      <c r="B653" s="5">
        <v>39944</v>
      </c>
      <c r="C653" s="5" t="str">
        <f t="shared" si="10"/>
        <v>SPHSC010.67_39944</v>
      </c>
      <c r="D653" t="s">
        <v>2081</v>
      </c>
      <c r="E653">
        <f>COUNTIF(data.SampSummary!$C$2:$C$958,C653)</f>
        <v>2</v>
      </c>
    </row>
    <row r="654" spans="1:5" x14ac:dyDescent="0.25">
      <c r="A654" t="s">
        <v>121</v>
      </c>
      <c r="B654" s="5">
        <v>39569</v>
      </c>
      <c r="C654" s="5" t="str">
        <f t="shared" si="10"/>
        <v>VREVR045.50_39569</v>
      </c>
      <c r="D654" t="s">
        <v>2082</v>
      </c>
      <c r="E654">
        <f>COUNTIF(data.SampSummary!$C$2:$C$958,C654)</f>
        <v>1</v>
      </c>
    </row>
    <row r="655" spans="1:5" x14ac:dyDescent="0.25">
      <c r="A655" t="s">
        <v>33</v>
      </c>
      <c r="B655" s="5">
        <v>39259</v>
      </c>
      <c r="C655" s="5" t="str">
        <f t="shared" si="10"/>
        <v>LCMIN018.05_39259</v>
      </c>
      <c r="D655" t="s">
        <v>2083</v>
      </c>
      <c r="E655">
        <f>COUNTIF(data.SampSummary!$C$2:$C$958,C655)</f>
        <v>1</v>
      </c>
    </row>
    <row r="656" spans="1:5" x14ac:dyDescent="0.25">
      <c r="A656" t="s">
        <v>295</v>
      </c>
      <c r="B656" s="5">
        <v>41388</v>
      </c>
      <c r="C656" s="5" t="str">
        <f t="shared" si="10"/>
        <v>VRROU002.93_41388</v>
      </c>
      <c r="D656" t="s">
        <v>2084</v>
      </c>
      <c r="E656">
        <f>COUNTIF(data.SampSummary!$C$2:$C$958,C656)</f>
        <v>1</v>
      </c>
    </row>
    <row r="657" spans="1:5" x14ac:dyDescent="0.25">
      <c r="A657" t="s">
        <v>306</v>
      </c>
      <c r="B657" s="5">
        <v>38106</v>
      </c>
      <c r="C657" s="5" t="str">
        <f t="shared" si="10"/>
        <v>VRVER053.70_38106</v>
      </c>
      <c r="D657" t="s">
        <v>2085</v>
      </c>
      <c r="E657">
        <f>COUNTIF(data.SampSummary!$C$2:$C$958,C657)</f>
        <v>1</v>
      </c>
    </row>
    <row r="658" spans="1:5" x14ac:dyDescent="0.25">
      <c r="A658" t="s">
        <v>205</v>
      </c>
      <c r="B658" s="5">
        <v>40105</v>
      </c>
      <c r="C658" s="5" t="str">
        <f t="shared" si="10"/>
        <v>CGRYA000.05_40105</v>
      </c>
      <c r="D658" t="s">
        <v>2086</v>
      </c>
      <c r="E658">
        <f>COUNTIF(data.SampSummary!$C$2:$C$958,C658)</f>
        <v>0</v>
      </c>
    </row>
    <row r="659" spans="1:5" x14ac:dyDescent="0.25">
      <c r="A659" t="s">
        <v>161</v>
      </c>
      <c r="B659" s="5">
        <v>38889</v>
      </c>
      <c r="C659" s="5" t="str">
        <f t="shared" si="10"/>
        <v>UGBLR028.99_38889</v>
      </c>
      <c r="D659" t="s">
        <v>2087</v>
      </c>
      <c r="E659">
        <f>COUNTIF(data.SampSummary!$C$2:$C$958,C659)</f>
        <v>1</v>
      </c>
    </row>
    <row r="660" spans="1:5" x14ac:dyDescent="0.25">
      <c r="A660" t="s">
        <v>347</v>
      </c>
      <c r="B660" s="5">
        <v>39570</v>
      </c>
      <c r="C660" s="5" t="str">
        <f t="shared" si="10"/>
        <v>SRCGN009.78_39570</v>
      </c>
      <c r="D660" t="s">
        <v>2088</v>
      </c>
      <c r="E660">
        <f>COUNTIF(data.SampSummary!$C$2:$C$958,C660)</f>
        <v>1</v>
      </c>
    </row>
    <row r="661" spans="1:5" x14ac:dyDescent="0.25">
      <c r="A661" t="s">
        <v>255</v>
      </c>
      <c r="B661" s="5">
        <v>36670</v>
      </c>
      <c r="C661" s="5" t="str">
        <f t="shared" si="10"/>
        <v>SPARA017.25_36670</v>
      </c>
      <c r="D661" t="s">
        <v>2089</v>
      </c>
      <c r="E661">
        <f>COUNTIF(data.SampSummary!$C$2:$C$958,C661)</f>
        <v>1</v>
      </c>
    </row>
    <row r="662" spans="1:5" x14ac:dyDescent="0.25">
      <c r="A662" t="s">
        <v>1398</v>
      </c>
      <c r="B662" s="5">
        <v>40108</v>
      </c>
      <c r="C662" s="5" t="str">
        <f t="shared" si="10"/>
        <v>CGNAT000.48_40108</v>
      </c>
      <c r="D662" t="s">
        <v>2090</v>
      </c>
      <c r="E662">
        <f>COUNTIF(data.SampSummary!$C$2:$C$958,C662)</f>
        <v>0</v>
      </c>
    </row>
    <row r="663" spans="1:5" x14ac:dyDescent="0.25">
      <c r="A663" t="s">
        <v>253</v>
      </c>
      <c r="B663" s="5">
        <v>41387</v>
      </c>
      <c r="C663" s="5" t="str">
        <f t="shared" si="10"/>
        <v>VRWBV006.54_41387</v>
      </c>
      <c r="D663" t="s">
        <v>2091</v>
      </c>
      <c r="E663">
        <f>COUNTIF(data.SampSummary!$C$2:$C$958,C663)</f>
        <v>1</v>
      </c>
    </row>
    <row r="664" spans="1:5" x14ac:dyDescent="0.25">
      <c r="A664" t="s">
        <v>382</v>
      </c>
      <c r="B664" s="5">
        <v>37000</v>
      </c>
      <c r="C664" s="5" t="str">
        <f t="shared" si="10"/>
        <v>SCRED005.58_37000</v>
      </c>
      <c r="D664" t="s">
        <v>2092</v>
      </c>
      <c r="E664">
        <f>COUNTIF(data.SampSummary!$C$2:$C$958,C664)</f>
        <v>1</v>
      </c>
    </row>
    <row r="665" spans="1:5" x14ac:dyDescent="0.25">
      <c r="A665" t="s">
        <v>62</v>
      </c>
      <c r="B665" s="5">
        <v>35569</v>
      </c>
      <c r="C665" s="5" t="str">
        <f t="shared" si="10"/>
        <v>LCBRB006.74_35569</v>
      </c>
      <c r="D665" t="s">
        <v>2093</v>
      </c>
      <c r="E665">
        <f>COUNTIF(data.SampSummary!$C$2:$C$958,C665)</f>
        <v>1</v>
      </c>
    </row>
    <row r="666" spans="1:5" x14ac:dyDescent="0.25">
      <c r="A666" t="s">
        <v>111</v>
      </c>
      <c r="B666" s="5">
        <v>39196</v>
      </c>
      <c r="C666" s="5" t="str">
        <f t="shared" si="10"/>
        <v>LCLCR211.73_39196</v>
      </c>
      <c r="D666" t="s">
        <v>2094</v>
      </c>
      <c r="E666">
        <f>COUNTIF(data.SampSummary!$C$2:$C$958,C666)</f>
        <v>0</v>
      </c>
    </row>
    <row r="667" spans="1:5" x14ac:dyDescent="0.25">
      <c r="A667" t="s">
        <v>2095</v>
      </c>
      <c r="B667" s="5">
        <v>39617</v>
      </c>
      <c r="C667" s="5" t="str">
        <f t="shared" si="10"/>
        <v>SRBEV001.40_39617</v>
      </c>
      <c r="D667" t="s">
        <v>2096</v>
      </c>
      <c r="E667">
        <f>COUNTIF(data.SampSummary!$C$2:$C$958,C667)</f>
        <v>0</v>
      </c>
    </row>
    <row r="668" spans="1:5" x14ac:dyDescent="0.25">
      <c r="A668" t="s">
        <v>124</v>
      </c>
      <c r="B668" s="5">
        <v>39742</v>
      </c>
      <c r="C668" s="5" t="str">
        <f t="shared" si="10"/>
        <v>LCSIL043.84_39742</v>
      </c>
      <c r="D668" t="s">
        <v>2097</v>
      </c>
      <c r="E668">
        <f>COUNTIF(data.SampSummary!$C$2:$C$958,C668)</f>
        <v>0</v>
      </c>
    </row>
    <row r="669" spans="1:5" x14ac:dyDescent="0.25">
      <c r="A669" t="s">
        <v>1398</v>
      </c>
      <c r="B669" s="5">
        <v>35724</v>
      </c>
      <c r="C669" s="5" t="str">
        <f t="shared" si="10"/>
        <v>CGNAT000.48_35724</v>
      </c>
      <c r="D669" t="s">
        <v>2098</v>
      </c>
      <c r="E669">
        <f>COUNTIF(data.SampSummary!$C$2:$C$958,C669)</f>
        <v>0</v>
      </c>
    </row>
    <row r="670" spans="1:5" x14ac:dyDescent="0.25">
      <c r="A670" t="s">
        <v>172</v>
      </c>
      <c r="B670" s="5">
        <v>39757</v>
      </c>
      <c r="C670" s="5" t="str">
        <f t="shared" si="10"/>
        <v>VROAK048.92_39757</v>
      </c>
      <c r="D670" t="s">
        <v>2099</v>
      </c>
      <c r="E670">
        <f>COUNTIF(data.SampSummary!$C$2:$C$958,C670)</f>
        <v>0</v>
      </c>
    </row>
    <row r="671" spans="1:5" x14ac:dyDescent="0.25">
      <c r="A671" t="s">
        <v>140</v>
      </c>
      <c r="B671" s="5">
        <v>39770</v>
      </c>
      <c r="C671" s="5" t="str">
        <f t="shared" si="10"/>
        <v>UGEAG056.85_39770</v>
      </c>
      <c r="D671" t="s">
        <v>2100</v>
      </c>
      <c r="E671">
        <f>COUNTIF(data.SampSummary!$C$2:$C$958,C671)</f>
        <v>0</v>
      </c>
    </row>
    <row r="672" spans="1:5" x14ac:dyDescent="0.25">
      <c r="A672" t="s">
        <v>256</v>
      </c>
      <c r="B672" s="5">
        <v>38462</v>
      </c>
      <c r="C672" s="5" t="str">
        <f t="shared" si="10"/>
        <v>SPRDC012.76_38462</v>
      </c>
      <c r="D672" t="s">
        <v>2101</v>
      </c>
      <c r="E672">
        <f>COUNTIF(data.SampSummary!$C$2:$C$958,C672)</f>
        <v>1</v>
      </c>
    </row>
    <row r="673" spans="1:5" x14ac:dyDescent="0.25">
      <c r="A673" t="s">
        <v>329</v>
      </c>
      <c r="B673" s="5">
        <v>41751</v>
      </c>
      <c r="C673" s="5" t="str">
        <f t="shared" si="10"/>
        <v>VRWCL010.66_41751</v>
      </c>
      <c r="D673" t="s">
        <v>2102</v>
      </c>
      <c r="E673">
        <f>COUNTIF(data.SampSummary!$C$2:$C$958,C673)</f>
        <v>1</v>
      </c>
    </row>
    <row r="674" spans="1:5" x14ac:dyDescent="0.25">
      <c r="A674" t="s">
        <v>94</v>
      </c>
      <c r="B674" s="5">
        <v>40353</v>
      </c>
      <c r="C674" s="5" t="str">
        <f t="shared" si="10"/>
        <v>LCMAM002.05_40353</v>
      </c>
      <c r="D674" t="s">
        <v>2103</v>
      </c>
      <c r="E674">
        <f>COUNTIF(data.SampSummary!$C$2:$C$958,C674)</f>
        <v>1</v>
      </c>
    </row>
    <row r="675" spans="1:5" x14ac:dyDescent="0.25">
      <c r="A675" t="s">
        <v>335</v>
      </c>
      <c r="B675" s="5">
        <v>35606</v>
      </c>
      <c r="C675" s="5" t="str">
        <f t="shared" si="10"/>
        <v>VRSPN002.64_35606</v>
      </c>
      <c r="D675" t="s">
        <v>2104</v>
      </c>
      <c r="E675">
        <f>COUNTIF(data.SampSummary!$C$2:$C$958,C675)</f>
        <v>1</v>
      </c>
    </row>
    <row r="676" spans="1:5" x14ac:dyDescent="0.25">
      <c r="A676" t="s">
        <v>294</v>
      </c>
      <c r="B676" s="5">
        <v>37362</v>
      </c>
      <c r="C676" s="5" t="str">
        <f t="shared" si="10"/>
        <v>VRVER164.63_37362</v>
      </c>
      <c r="D676" t="s">
        <v>2105</v>
      </c>
      <c r="E676">
        <f>COUNTIF(data.SampSummary!$C$2:$C$958,C676)</f>
        <v>1</v>
      </c>
    </row>
    <row r="677" spans="1:5" x14ac:dyDescent="0.25">
      <c r="A677" t="s">
        <v>320</v>
      </c>
      <c r="B677" s="5">
        <v>39216</v>
      </c>
      <c r="C677" s="5" t="str">
        <f t="shared" si="10"/>
        <v>UGGLR452.43_39216</v>
      </c>
      <c r="D677" t="s">
        <v>2106</v>
      </c>
      <c r="E677">
        <f>COUNTIF(data.SampSummary!$C$2:$C$958,C677)</f>
        <v>1</v>
      </c>
    </row>
    <row r="678" spans="1:5" x14ac:dyDescent="0.25">
      <c r="A678" t="s">
        <v>1855</v>
      </c>
      <c r="B678" s="5">
        <v>40281</v>
      </c>
      <c r="C678" s="5" t="str">
        <f t="shared" si="10"/>
        <v>VRASP005.07_40281</v>
      </c>
      <c r="D678" t="s">
        <v>2107</v>
      </c>
      <c r="E678">
        <f>COUNTIF(data.SampSummary!$C$2:$C$958,C678)</f>
        <v>0</v>
      </c>
    </row>
    <row r="679" spans="1:5" x14ac:dyDescent="0.25">
      <c r="A679" t="s">
        <v>2108</v>
      </c>
      <c r="B679" s="5">
        <v>42157</v>
      </c>
      <c r="C679" s="5" t="str">
        <f t="shared" si="10"/>
        <v>UGSFR151.22_42157</v>
      </c>
      <c r="D679" t="s">
        <v>2109</v>
      </c>
      <c r="E679">
        <f>COUNTIF(data.SampSummary!$C$2:$C$958,C679)</f>
        <v>0</v>
      </c>
    </row>
    <row r="680" spans="1:5" x14ac:dyDescent="0.25">
      <c r="A680" t="s">
        <v>68</v>
      </c>
      <c r="B680" s="5">
        <v>39226</v>
      </c>
      <c r="C680" s="5" t="str">
        <f t="shared" si="10"/>
        <v>LCSLR001.42_39226</v>
      </c>
      <c r="D680" t="s">
        <v>2110</v>
      </c>
      <c r="E680">
        <f>COUNTIF(data.SampSummary!$C$2:$C$958,C680)</f>
        <v>1</v>
      </c>
    </row>
    <row r="681" spans="1:5" x14ac:dyDescent="0.25">
      <c r="A681" t="s">
        <v>360</v>
      </c>
      <c r="B681" s="5">
        <v>41743</v>
      </c>
      <c r="C681" s="5" t="str">
        <f t="shared" si="10"/>
        <v>SCSCR039.63_41743</v>
      </c>
      <c r="D681" t="s">
        <v>2111</v>
      </c>
      <c r="E681">
        <f>COUNTIF(data.SampSummary!$C$2:$C$958,C681)</f>
        <v>1</v>
      </c>
    </row>
    <row r="682" spans="1:5" x14ac:dyDescent="0.25">
      <c r="A682" t="s">
        <v>242</v>
      </c>
      <c r="B682" s="5">
        <v>36649</v>
      </c>
      <c r="C682" s="5" t="str">
        <f t="shared" si="10"/>
        <v>VROAK031.38_36649</v>
      </c>
      <c r="D682" t="s">
        <v>2112</v>
      </c>
      <c r="E682">
        <f>COUNTIF(data.SampSummary!$C$2:$C$958,C682)</f>
        <v>1</v>
      </c>
    </row>
    <row r="683" spans="1:5" x14ac:dyDescent="0.25">
      <c r="A683" t="s">
        <v>2113</v>
      </c>
      <c r="B683" s="5">
        <v>37404</v>
      </c>
      <c r="C683" s="5" t="str">
        <f t="shared" si="10"/>
        <v>SPMLG015.59_37404</v>
      </c>
      <c r="D683" t="s">
        <v>2114</v>
      </c>
      <c r="E683">
        <f>COUNTIF(data.SampSummary!$C$2:$C$958,C683)</f>
        <v>0</v>
      </c>
    </row>
    <row r="684" spans="1:5" x14ac:dyDescent="0.25">
      <c r="A684" t="s">
        <v>2115</v>
      </c>
      <c r="B684" s="5">
        <v>36669</v>
      </c>
      <c r="C684" s="5" t="str">
        <f t="shared" si="10"/>
        <v>UGGLR471.49_36669</v>
      </c>
      <c r="D684" t="s">
        <v>2116</v>
      </c>
      <c r="E684">
        <f>COUNTIF(data.SampSummary!$C$2:$C$958,C684)</f>
        <v>0</v>
      </c>
    </row>
    <row r="685" spans="1:5" x14ac:dyDescent="0.25">
      <c r="A685" t="s">
        <v>223</v>
      </c>
      <c r="B685" s="5">
        <v>41380</v>
      </c>
      <c r="C685" s="5" t="str">
        <f t="shared" si="10"/>
        <v>SPBHC004.31_41380</v>
      </c>
      <c r="D685" t="s">
        <v>2117</v>
      </c>
      <c r="E685">
        <f>COUNTIF(data.SampSummary!$C$2:$C$958,C685)</f>
        <v>1</v>
      </c>
    </row>
    <row r="686" spans="1:5" x14ac:dyDescent="0.25">
      <c r="A686" t="s">
        <v>287</v>
      </c>
      <c r="B686" s="5">
        <v>38104</v>
      </c>
      <c r="C686" s="5" t="str">
        <f t="shared" si="10"/>
        <v>VRGAP000.92_38104</v>
      </c>
      <c r="D686" t="s">
        <v>2118</v>
      </c>
      <c r="E686">
        <f>COUNTIF(data.SampSummary!$C$2:$C$958,C686)</f>
        <v>1</v>
      </c>
    </row>
    <row r="687" spans="1:5" x14ac:dyDescent="0.25">
      <c r="A687" t="s">
        <v>1571</v>
      </c>
      <c r="B687" s="5">
        <v>39910</v>
      </c>
      <c r="C687" s="5" t="str">
        <f t="shared" si="10"/>
        <v>VRMIL006.07_39910</v>
      </c>
      <c r="D687" t="s">
        <v>2119</v>
      </c>
      <c r="E687">
        <f>COUNTIF(data.SampSummary!$C$2:$C$958,C687)</f>
        <v>0</v>
      </c>
    </row>
    <row r="688" spans="1:5" x14ac:dyDescent="0.25">
      <c r="A688" t="s">
        <v>281</v>
      </c>
      <c r="B688" s="5">
        <v>38477</v>
      </c>
      <c r="C688" s="5" t="str">
        <f t="shared" si="10"/>
        <v>CGCRY000.05_38477</v>
      </c>
      <c r="D688" t="s">
        <v>2120</v>
      </c>
      <c r="E688">
        <f>COUNTIF(data.SampSummary!$C$2:$C$958,C688)</f>
        <v>1</v>
      </c>
    </row>
    <row r="689" spans="1:5" x14ac:dyDescent="0.25">
      <c r="A689" t="s">
        <v>56</v>
      </c>
      <c r="B689" s="5">
        <v>39238</v>
      </c>
      <c r="C689" s="5" t="str">
        <f t="shared" si="10"/>
        <v>LCHAL008.83_39238</v>
      </c>
      <c r="D689" t="s">
        <v>2121</v>
      </c>
      <c r="E689">
        <f>COUNTIF(data.SampSummary!$C$2:$C$958,C689)</f>
        <v>2</v>
      </c>
    </row>
    <row r="690" spans="1:5" x14ac:dyDescent="0.25">
      <c r="A690" t="s">
        <v>1458</v>
      </c>
      <c r="B690" s="5">
        <v>40274</v>
      </c>
      <c r="C690" s="5" t="str">
        <f t="shared" si="10"/>
        <v>SRCOT005.74_40274</v>
      </c>
      <c r="D690" t="s">
        <v>2122</v>
      </c>
      <c r="E690">
        <f>COUNTIF(data.SampSummary!$C$2:$C$958,C690)</f>
        <v>0</v>
      </c>
    </row>
    <row r="691" spans="1:5" x14ac:dyDescent="0.25">
      <c r="A691" t="s">
        <v>309</v>
      </c>
      <c r="B691" s="5">
        <v>41366</v>
      </c>
      <c r="C691" s="5" t="str">
        <f t="shared" si="10"/>
        <v>BWPEE003.51_41366</v>
      </c>
      <c r="D691" t="s">
        <v>2123</v>
      </c>
      <c r="E691">
        <f>COUNTIF(data.SampSummary!$C$2:$C$958,C691)</f>
        <v>1</v>
      </c>
    </row>
    <row r="692" spans="1:5" x14ac:dyDescent="0.25">
      <c r="A692" t="s">
        <v>85</v>
      </c>
      <c r="B692" s="5">
        <v>39623</v>
      </c>
      <c r="C692" s="5" t="str">
        <f t="shared" si="10"/>
        <v>SRFIS004.49_39623</v>
      </c>
      <c r="D692" t="s">
        <v>2124</v>
      </c>
      <c r="E692">
        <f>COUNTIF(data.SampSummary!$C$2:$C$958,C692)</f>
        <v>1</v>
      </c>
    </row>
    <row r="693" spans="1:5" x14ac:dyDescent="0.25">
      <c r="A693" t="s">
        <v>1855</v>
      </c>
      <c r="B693" s="5">
        <v>39559</v>
      </c>
      <c r="C693" s="5" t="str">
        <f t="shared" si="10"/>
        <v>VRASP005.07_39559</v>
      </c>
      <c r="D693" t="s">
        <v>2125</v>
      </c>
      <c r="E693">
        <f>COUNTIF(data.SampSummary!$C$2:$C$958,C693)</f>
        <v>0</v>
      </c>
    </row>
    <row r="694" spans="1:5" x14ac:dyDescent="0.25">
      <c r="A694" t="s">
        <v>328</v>
      </c>
      <c r="B694" s="5">
        <v>36663</v>
      </c>
      <c r="C694" s="5" t="str">
        <f t="shared" si="10"/>
        <v>UGSFR019.04_36663</v>
      </c>
      <c r="D694" t="s">
        <v>2126</v>
      </c>
      <c r="E694">
        <f>COUNTIF(data.SampSummary!$C$2:$C$958,C694)</f>
        <v>2</v>
      </c>
    </row>
    <row r="695" spans="1:5" x14ac:dyDescent="0.25">
      <c r="A695" t="s">
        <v>200</v>
      </c>
      <c r="B695" s="5">
        <v>41002</v>
      </c>
      <c r="C695" s="5" t="str">
        <f t="shared" si="10"/>
        <v>SPSPR015.42_41002</v>
      </c>
      <c r="D695" t="s">
        <v>2127</v>
      </c>
      <c r="E695">
        <f>COUNTIF(data.SampSummary!$C$2:$C$958,C695)</f>
        <v>1</v>
      </c>
    </row>
    <row r="696" spans="1:5" x14ac:dyDescent="0.25">
      <c r="A696" t="s">
        <v>2128</v>
      </c>
      <c r="B696" s="5">
        <v>38461</v>
      </c>
      <c r="C696" s="5" t="str">
        <f t="shared" si="10"/>
        <v>MGQEN039.75_38461</v>
      </c>
      <c r="D696" t="s">
        <v>2129</v>
      </c>
      <c r="E696">
        <f>COUNTIF(data.SampSummary!$C$2:$C$958,C696)</f>
        <v>0</v>
      </c>
    </row>
    <row r="697" spans="1:5" x14ac:dyDescent="0.25">
      <c r="A697" t="s">
        <v>71</v>
      </c>
      <c r="B697" s="5">
        <v>37048</v>
      </c>
      <c r="C697" s="5" t="str">
        <f t="shared" si="10"/>
        <v>SRTON056.39_37048</v>
      </c>
      <c r="D697" t="s">
        <v>2130</v>
      </c>
      <c r="E697">
        <f>COUNTIF(data.SampSummary!$C$2:$C$958,C697)</f>
        <v>1</v>
      </c>
    </row>
    <row r="698" spans="1:5" x14ac:dyDescent="0.25">
      <c r="A698" t="s">
        <v>275</v>
      </c>
      <c r="B698" s="5">
        <v>39742</v>
      </c>
      <c r="C698" s="5" t="str">
        <f t="shared" si="10"/>
        <v>MGLAS004.52_39742</v>
      </c>
      <c r="D698" t="s">
        <v>2131</v>
      </c>
      <c r="E698">
        <f>COUNTIF(data.SampSummary!$C$2:$C$958,C698)</f>
        <v>0</v>
      </c>
    </row>
    <row r="699" spans="1:5" x14ac:dyDescent="0.25">
      <c r="A699" t="s">
        <v>159</v>
      </c>
      <c r="B699" s="5">
        <v>37068</v>
      </c>
      <c r="C699" s="5" t="str">
        <f t="shared" si="10"/>
        <v>LCECL017.75_37068</v>
      </c>
      <c r="D699" t="s">
        <v>2132</v>
      </c>
      <c r="E699">
        <f>COUNTIF(data.SampSummary!$C$2:$C$958,C699)</f>
        <v>1</v>
      </c>
    </row>
    <row r="700" spans="1:5" x14ac:dyDescent="0.25">
      <c r="A700" t="s">
        <v>72</v>
      </c>
      <c r="B700" s="5">
        <v>42542</v>
      </c>
      <c r="C700" s="5" t="str">
        <f t="shared" si="10"/>
        <v>SRNBE000.86_42542</v>
      </c>
      <c r="D700" t="s">
        <v>2133</v>
      </c>
      <c r="E700">
        <f>COUNTIF(data.SampSummary!$C$2:$C$958,C700)</f>
        <v>1</v>
      </c>
    </row>
    <row r="701" spans="1:5" x14ac:dyDescent="0.25">
      <c r="A701" t="s">
        <v>369</v>
      </c>
      <c r="B701" s="5">
        <v>42102</v>
      </c>
      <c r="C701" s="5" t="str">
        <f t="shared" si="10"/>
        <v>MGHSR002.67_42102</v>
      </c>
      <c r="D701" t="s">
        <v>2134</v>
      </c>
      <c r="E701">
        <f>COUNTIF(data.SampSummary!$C$2:$C$958,C701)</f>
        <v>0</v>
      </c>
    </row>
    <row r="702" spans="1:5" x14ac:dyDescent="0.25">
      <c r="A702" t="s">
        <v>63</v>
      </c>
      <c r="B702" s="5">
        <v>40352</v>
      </c>
      <c r="C702" s="5" t="str">
        <f t="shared" si="10"/>
        <v>LCRUD007.23_40352</v>
      </c>
      <c r="D702" t="s">
        <v>2135</v>
      </c>
      <c r="E702">
        <f>COUNTIF(data.SampSummary!$C$2:$C$958,C702)</f>
        <v>1</v>
      </c>
    </row>
    <row r="703" spans="1:5" x14ac:dyDescent="0.25">
      <c r="A703" t="s">
        <v>2136</v>
      </c>
      <c r="B703" s="5">
        <v>42473</v>
      </c>
      <c r="C703" s="5" t="str">
        <f t="shared" si="10"/>
        <v>SPSPR108.03_42473</v>
      </c>
      <c r="D703" t="s">
        <v>2137</v>
      </c>
      <c r="E703">
        <f>COUNTIF(data.SampSummary!$C$2:$C$958,C703)</f>
        <v>0</v>
      </c>
    </row>
    <row r="704" spans="1:5" x14ac:dyDescent="0.25">
      <c r="A704" t="s">
        <v>30</v>
      </c>
      <c r="B704" s="5">
        <v>40360</v>
      </c>
      <c r="C704" s="5" t="str">
        <f t="shared" si="10"/>
        <v>LCNUT025.35_40360</v>
      </c>
      <c r="D704" t="s">
        <v>2138</v>
      </c>
      <c r="E704">
        <f>COUNTIF(data.SampSummary!$C$2:$C$958,C704)</f>
        <v>1</v>
      </c>
    </row>
    <row r="705" spans="1:5" x14ac:dyDescent="0.25">
      <c r="A705" t="s">
        <v>222</v>
      </c>
      <c r="B705" s="5">
        <v>39569</v>
      </c>
      <c r="C705" s="5" t="str">
        <f t="shared" si="10"/>
        <v>SRCHE013.65_39569</v>
      </c>
      <c r="D705" t="s">
        <v>2139</v>
      </c>
      <c r="E705">
        <f>COUNTIF(data.SampSummary!$C$2:$C$958,C705)</f>
        <v>1</v>
      </c>
    </row>
    <row r="706" spans="1:5" x14ac:dyDescent="0.25">
      <c r="A706" t="s">
        <v>140</v>
      </c>
      <c r="B706" s="5">
        <v>38854</v>
      </c>
      <c r="C706" s="5" t="str">
        <f t="shared" si="10"/>
        <v>UGEAG056.85_38854</v>
      </c>
      <c r="D706" t="s">
        <v>2140</v>
      </c>
      <c r="E706">
        <f>COUNTIF(data.SampSummary!$C$2:$C$958,C706)</f>
        <v>1</v>
      </c>
    </row>
    <row r="707" spans="1:5" x14ac:dyDescent="0.25">
      <c r="A707" t="s">
        <v>74</v>
      </c>
      <c r="B707" s="5">
        <v>39617</v>
      </c>
      <c r="C707" s="5" t="str">
        <f t="shared" ref="C707:C770" si="11">A707&amp;"_"&amp;B707</f>
        <v>SRSTI000.38_39617</v>
      </c>
      <c r="D707" t="s">
        <v>2141</v>
      </c>
      <c r="E707">
        <f>COUNTIF(data.SampSummary!$C$2:$C$958,C707)</f>
        <v>1</v>
      </c>
    </row>
    <row r="708" spans="1:5" x14ac:dyDescent="0.25">
      <c r="A708" t="s">
        <v>1817</v>
      </c>
      <c r="B708" s="5">
        <v>39771</v>
      </c>
      <c r="C708" s="5" t="str">
        <f t="shared" si="11"/>
        <v>MGCVE037.68_39771</v>
      </c>
      <c r="D708" t="s">
        <v>2142</v>
      </c>
      <c r="E708">
        <f>COUNTIF(data.SampSummary!$C$2:$C$958,C708)</f>
        <v>0</v>
      </c>
    </row>
    <row r="709" spans="1:5" x14ac:dyDescent="0.25">
      <c r="A709" t="s">
        <v>196</v>
      </c>
      <c r="B709" s="5">
        <v>37350</v>
      </c>
      <c r="C709" s="5" t="str">
        <f t="shared" si="11"/>
        <v>BWBRO029.27_37350</v>
      </c>
      <c r="D709" t="s">
        <v>2143</v>
      </c>
      <c r="E709">
        <f>COUNTIF(data.SampSummary!$C$2:$C$958,C709)</f>
        <v>1</v>
      </c>
    </row>
    <row r="710" spans="1:5" x14ac:dyDescent="0.25">
      <c r="A710" t="s">
        <v>138</v>
      </c>
      <c r="B710" s="5">
        <v>39204</v>
      </c>
      <c r="C710" s="5" t="str">
        <f t="shared" si="11"/>
        <v>LCECL018.17_39204</v>
      </c>
      <c r="D710" t="s">
        <v>2144</v>
      </c>
      <c r="E710">
        <f>COUNTIF(data.SampSummary!$C$2:$C$958,C710)</f>
        <v>1</v>
      </c>
    </row>
    <row r="711" spans="1:5" x14ac:dyDescent="0.25">
      <c r="A711" t="s">
        <v>218</v>
      </c>
      <c r="B711" s="5">
        <v>40339</v>
      </c>
      <c r="C711" s="5" t="str">
        <f t="shared" si="11"/>
        <v>BWBWR038.52_40339</v>
      </c>
      <c r="D711" t="s">
        <v>2145</v>
      </c>
      <c r="E711">
        <f>COUNTIF(data.SampSummary!$C$2:$C$958,C711)</f>
        <v>1</v>
      </c>
    </row>
    <row r="712" spans="1:5" x14ac:dyDescent="0.25">
      <c r="A712" t="s">
        <v>2146</v>
      </c>
      <c r="B712" s="5">
        <v>37000</v>
      </c>
      <c r="C712" s="5" t="str">
        <f t="shared" si="11"/>
        <v>SCCIE026.68_37000</v>
      </c>
      <c r="D712" t="s">
        <v>2147</v>
      </c>
      <c r="E712">
        <f>COUNTIF(data.SampSummary!$C$2:$C$958,C712)</f>
        <v>0</v>
      </c>
    </row>
    <row r="713" spans="1:5" x14ac:dyDescent="0.25">
      <c r="A713" t="s">
        <v>17</v>
      </c>
      <c r="B713" s="5">
        <v>40686</v>
      </c>
      <c r="C713" s="5" t="str">
        <f t="shared" si="11"/>
        <v>SRTON062.28_40686</v>
      </c>
      <c r="D713" t="s">
        <v>2148</v>
      </c>
      <c r="E713">
        <f>COUNTIF(data.SampSummary!$C$2:$C$958,C713)</f>
        <v>0</v>
      </c>
    </row>
    <row r="714" spans="1:5" x14ac:dyDescent="0.25">
      <c r="A714" t="s">
        <v>1573</v>
      </c>
      <c r="B714" s="5">
        <v>40111</v>
      </c>
      <c r="C714" s="5" t="str">
        <f t="shared" si="11"/>
        <v>CGSPG000.17_40111</v>
      </c>
      <c r="D714" t="s">
        <v>2149</v>
      </c>
      <c r="E714">
        <f>COUNTIF(data.SampSummary!$C$2:$C$958,C714)</f>
        <v>0</v>
      </c>
    </row>
    <row r="715" spans="1:5" x14ac:dyDescent="0.25">
      <c r="A715" t="s">
        <v>193</v>
      </c>
      <c r="B715" s="5">
        <v>39756</v>
      </c>
      <c r="C715" s="5" t="str">
        <f t="shared" si="11"/>
        <v>VRSYW001.72_39756</v>
      </c>
      <c r="D715" t="s">
        <v>2150</v>
      </c>
      <c r="E715">
        <f>COUNTIF(data.SampSummary!$C$2:$C$958,C715)</f>
        <v>0</v>
      </c>
    </row>
    <row r="716" spans="1:5" x14ac:dyDescent="0.25">
      <c r="A716" t="s">
        <v>171</v>
      </c>
      <c r="B716" s="5">
        <v>35949</v>
      </c>
      <c r="C716" s="5" t="str">
        <f t="shared" si="11"/>
        <v>SRSTI002.67_35949</v>
      </c>
      <c r="D716" t="s">
        <v>2151</v>
      </c>
      <c r="E716">
        <f>COUNTIF(data.SampSummary!$C$2:$C$958,C716)</f>
        <v>2</v>
      </c>
    </row>
    <row r="717" spans="1:5" x14ac:dyDescent="0.25">
      <c r="A717" t="s">
        <v>202</v>
      </c>
      <c r="B717" s="5">
        <v>39741</v>
      </c>
      <c r="C717" s="5" t="str">
        <f t="shared" si="11"/>
        <v>SRPNT008.48_39741</v>
      </c>
      <c r="D717" t="s">
        <v>2152</v>
      </c>
      <c r="E717">
        <f>COUNTIF(data.SampSummary!$C$2:$C$958,C717)</f>
        <v>0</v>
      </c>
    </row>
    <row r="718" spans="1:5" x14ac:dyDescent="0.25">
      <c r="A718" t="s">
        <v>188</v>
      </c>
      <c r="B718" s="5">
        <v>39931</v>
      </c>
      <c r="C718" s="5" t="str">
        <f t="shared" si="11"/>
        <v>SCSYR004.21_39931</v>
      </c>
      <c r="D718" t="s">
        <v>2153</v>
      </c>
      <c r="E718">
        <f>COUNTIF(data.SampSummary!$C$2:$C$958,C718)</f>
        <v>1</v>
      </c>
    </row>
    <row r="719" spans="1:5" x14ac:dyDescent="0.25">
      <c r="A719" t="s">
        <v>202</v>
      </c>
      <c r="B719" s="5">
        <v>42494</v>
      </c>
      <c r="C719" s="5" t="str">
        <f t="shared" si="11"/>
        <v>SRPNT008.48_42494</v>
      </c>
      <c r="D719" t="s">
        <v>2154</v>
      </c>
      <c r="E719">
        <f>COUNTIF(data.SampSummary!$C$2:$C$958,C719)</f>
        <v>1</v>
      </c>
    </row>
    <row r="720" spans="1:5" x14ac:dyDescent="0.25">
      <c r="A720" t="s">
        <v>208</v>
      </c>
      <c r="B720" s="5">
        <v>38819</v>
      </c>
      <c r="C720" s="5" t="str">
        <f t="shared" si="11"/>
        <v>SCSON014.52_38819</v>
      </c>
      <c r="D720" t="s">
        <v>2155</v>
      </c>
      <c r="E720">
        <f>COUNTIF(data.SampSummary!$C$2:$C$958,C720)</f>
        <v>1</v>
      </c>
    </row>
    <row r="721" spans="1:5" x14ac:dyDescent="0.25">
      <c r="A721" t="s">
        <v>112</v>
      </c>
      <c r="B721" s="5">
        <v>39189</v>
      </c>
      <c r="C721" s="5" t="str">
        <f t="shared" si="11"/>
        <v>LCSHL031.05_39189</v>
      </c>
      <c r="D721" t="s">
        <v>2156</v>
      </c>
      <c r="E721">
        <f>COUNTIF(data.SampSummary!$C$2:$C$958,C721)</f>
        <v>1</v>
      </c>
    </row>
    <row r="722" spans="1:5" x14ac:dyDescent="0.25">
      <c r="A722" t="s">
        <v>207</v>
      </c>
      <c r="B722" s="5">
        <v>40344</v>
      </c>
      <c r="C722" s="5" t="str">
        <f t="shared" si="11"/>
        <v>CGVGR039.41_40344</v>
      </c>
      <c r="D722" t="s">
        <v>2157</v>
      </c>
      <c r="E722">
        <f>COUNTIF(data.SampSummary!$C$2:$C$958,C722)</f>
        <v>1</v>
      </c>
    </row>
    <row r="723" spans="1:5" x14ac:dyDescent="0.25">
      <c r="A723" t="s">
        <v>36</v>
      </c>
      <c r="B723" s="5">
        <v>42541</v>
      </c>
      <c r="C723" s="5" t="str">
        <f t="shared" si="11"/>
        <v>SRFIS010.92_42541</v>
      </c>
      <c r="D723" t="s">
        <v>2158</v>
      </c>
      <c r="E723">
        <f>COUNTIF(data.SampSummary!$C$2:$C$958,C723)</f>
        <v>2</v>
      </c>
    </row>
    <row r="724" spans="1:5" x14ac:dyDescent="0.25">
      <c r="A724" t="s">
        <v>182</v>
      </c>
      <c r="B724" s="5">
        <v>42493</v>
      </c>
      <c r="C724" s="5" t="str">
        <f t="shared" si="11"/>
        <v>VRBON002.71_42493</v>
      </c>
      <c r="D724" t="s">
        <v>2159</v>
      </c>
      <c r="E724">
        <f>COUNTIF(data.SampSummary!$C$2:$C$958,C724)</f>
        <v>1</v>
      </c>
    </row>
    <row r="725" spans="1:5" x14ac:dyDescent="0.25">
      <c r="A725" t="s">
        <v>2160</v>
      </c>
      <c r="B725" s="5">
        <v>42606</v>
      </c>
      <c r="C725" s="5" t="str">
        <f t="shared" si="11"/>
        <v>VRUBS001.35_42606</v>
      </c>
      <c r="D725" t="s">
        <v>2161</v>
      </c>
      <c r="E725">
        <f>COUNTIF(data.SampSummary!$C$2:$C$958,C725)</f>
        <v>0</v>
      </c>
    </row>
    <row r="726" spans="1:5" x14ac:dyDescent="0.25">
      <c r="A726" t="s">
        <v>201</v>
      </c>
      <c r="B726" s="5">
        <v>41002</v>
      </c>
      <c r="C726" s="5" t="str">
        <f t="shared" si="11"/>
        <v>SPSPR006.75_41002</v>
      </c>
      <c r="D726" t="s">
        <v>2162</v>
      </c>
      <c r="E726">
        <f>COUNTIF(data.SampSummary!$C$2:$C$958,C726)</f>
        <v>1</v>
      </c>
    </row>
    <row r="727" spans="1:5" x14ac:dyDescent="0.25">
      <c r="A727" t="s">
        <v>178</v>
      </c>
      <c r="B727" s="5">
        <v>40415</v>
      </c>
      <c r="C727" s="5" t="str">
        <f t="shared" si="11"/>
        <v>SRCYN048.21_40415</v>
      </c>
      <c r="D727" t="s">
        <v>2163</v>
      </c>
      <c r="E727">
        <f>COUNTIF(data.SampSummary!$C$2:$C$958,C727)</f>
        <v>0</v>
      </c>
    </row>
    <row r="728" spans="1:5" x14ac:dyDescent="0.25">
      <c r="A728" t="s">
        <v>268</v>
      </c>
      <c r="B728" s="5">
        <v>36999</v>
      </c>
      <c r="C728" s="5" t="str">
        <f t="shared" si="11"/>
        <v>SCCIE020.88_36999</v>
      </c>
      <c r="D728" t="s">
        <v>2164</v>
      </c>
      <c r="E728">
        <f>COUNTIF(data.SampSummary!$C$2:$C$958,C728)</f>
        <v>1</v>
      </c>
    </row>
    <row r="729" spans="1:5" x14ac:dyDescent="0.25">
      <c r="A729" t="s">
        <v>2165</v>
      </c>
      <c r="B729" s="5">
        <v>42472</v>
      </c>
      <c r="C729" s="5" t="str">
        <f t="shared" si="11"/>
        <v>SCBCN002.27_42472</v>
      </c>
      <c r="D729" t="s">
        <v>2166</v>
      </c>
      <c r="E729">
        <f>COUNTIF(data.SampSummary!$C$2:$C$958,C729)</f>
        <v>0</v>
      </c>
    </row>
    <row r="730" spans="1:5" x14ac:dyDescent="0.25">
      <c r="A730" t="s">
        <v>204</v>
      </c>
      <c r="B730" s="5">
        <v>35859</v>
      </c>
      <c r="C730" s="5" t="str">
        <f t="shared" si="11"/>
        <v>SPBAS001.64_35859</v>
      </c>
      <c r="D730" t="s">
        <v>2167</v>
      </c>
      <c r="E730">
        <f>COUNTIF(data.SampSummary!$C$2:$C$958,C730)</f>
        <v>0</v>
      </c>
    </row>
    <row r="731" spans="1:5" x14ac:dyDescent="0.25">
      <c r="A731" t="s">
        <v>2168</v>
      </c>
      <c r="B731" s="5">
        <v>42815</v>
      </c>
      <c r="C731" s="5" t="str">
        <f t="shared" si="11"/>
        <v>SRGVL007.70_42815</v>
      </c>
      <c r="D731" t="s">
        <v>2169</v>
      </c>
      <c r="E731">
        <f>COUNTIF(data.SampSummary!$C$2:$C$958,C731)</f>
        <v>0</v>
      </c>
    </row>
    <row r="732" spans="1:5" x14ac:dyDescent="0.25">
      <c r="A732" t="s">
        <v>2170</v>
      </c>
      <c r="B732" s="5">
        <v>38146</v>
      </c>
      <c r="C732" s="5" t="str">
        <f t="shared" si="11"/>
        <v>LCNUT020.23_38146</v>
      </c>
      <c r="D732" t="s">
        <v>2171</v>
      </c>
      <c r="E732">
        <f>COUNTIF(data.SampSummary!$C$2:$C$958,C732)</f>
        <v>0</v>
      </c>
    </row>
    <row r="733" spans="1:5" x14ac:dyDescent="0.25">
      <c r="A733" t="s">
        <v>2172</v>
      </c>
      <c r="B733" s="5">
        <v>42592</v>
      </c>
      <c r="C733" s="5" t="str">
        <f t="shared" si="11"/>
        <v>LCJCC045.76_42592</v>
      </c>
      <c r="D733" t="s">
        <v>2173</v>
      </c>
      <c r="E733">
        <f>COUNTIF(data.SampSummary!$C$2:$C$958,C733)</f>
        <v>0</v>
      </c>
    </row>
    <row r="734" spans="1:5" x14ac:dyDescent="0.25">
      <c r="A734" t="s">
        <v>1519</v>
      </c>
      <c r="B734" s="5">
        <v>35569</v>
      </c>
      <c r="C734" s="5" t="str">
        <f t="shared" si="11"/>
        <v>LCBRB000.27_35569</v>
      </c>
      <c r="D734" t="s">
        <v>2174</v>
      </c>
      <c r="E734">
        <f>COUNTIF(data.SampSummary!$C$2:$C$958,C734)</f>
        <v>0</v>
      </c>
    </row>
    <row r="735" spans="1:5" x14ac:dyDescent="0.25">
      <c r="A735" t="s">
        <v>69</v>
      </c>
      <c r="B735" s="5">
        <v>39770</v>
      </c>
      <c r="C735" s="5" t="str">
        <f t="shared" si="11"/>
        <v>SRWRK007.97_39770</v>
      </c>
      <c r="D735" t="s">
        <v>2175</v>
      </c>
      <c r="E735">
        <f>COUNTIF(data.SampSummary!$C$2:$C$958,C735)</f>
        <v>0</v>
      </c>
    </row>
    <row r="736" spans="1:5" x14ac:dyDescent="0.25">
      <c r="A736" t="s">
        <v>338</v>
      </c>
      <c r="B736" s="5">
        <v>39608</v>
      </c>
      <c r="C736" s="5" t="str">
        <f t="shared" si="11"/>
        <v>VRSPN000.78_39608</v>
      </c>
      <c r="D736" t="s">
        <v>2176</v>
      </c>
      <c r="E736">
        <f>COUNTIF(data.SampSummary!$C$2:$C$958,C736)</f>
        <v>0</v>
      </c>
    </row>
    <row r="737" spans="1:5" x14ac:dyDescent="0.25">
      <c r="A737" t="s">
        <v>160</v>
      </c>
      <c r="B737" s="5">
        <v>38479</v>
      </c>
      <c r="C737" s="5" t="str">
        <f t="shared" si="11"/>
        <v>CGTAP000.08_38479</v>
      </c>
      <c r="D737" t="s">
        <v>2177</v>
      </c>
      <c r="E737">
        <f>COUNTIF(data.SampSummary!$C$2:$C$958,C737)</f>
        <v>0</v>
      </c>
    </row>
    <row r="738" spans="1:5" x14ac:dyDescent="0.25">
      <c r="A738" t="s">
        <v>228</v>
      </c>
      <c r="B738" s="5">
        <v>39743</v>
      </c>
      <c r="C738" s="5" t="str">
        <f t="shared" si="11"/>
        <v>MGHSR048.20_39743</v>
      </c>
      <c r="D738" t="s">
        <v>2178</v>
      </c>
      <c r="E738">
        <f>COUNTIF(data.SampSummary!$C$2:$C$958,C738)</f>
        <v>0</v>
      </c>
    </row>
    <row r="739" spans="1:5" x14ac:dyDescent="0.25">
      <c r="A739" t="s">
        <v>1698</v>
      </c>
      <c r="B739" s="5">
        <v>40283</v>
      </c>
      <c r="C739" s="5" t="str">
        <f t="shared" si="11"/>
        <v>VRGRA029.97_40283</v>
      </c>
      <c r="D739" t="s">
        <v>2179</v>
      </c>
      <c r="E739">
        <f>COUNTIF(data.SampSummary!$C$2:$C$958,C739)</f>
        <v>0</v>
      </c>
    </row>
    <row r="740" spans="1:5" x14ac:dyDescent="0.25">
      <c r="A740" t="s">
        <v>68</v>
      </c>
      <c r="B740" s="5">
        <v>41435</v>
      </c>
      <c r="C740" s="5" t="str">
        <f t="shared" si="11"/>
        <v>LCSLR001.42_41435</v>
      </c>
      <c r="D740" t="s">
        <v>2180</v>
      </c>
      <c r="E740">
        <f>COUNTIF(data.SampSummary!$C$2:$C$958,C740)</f>
        <v>1</v>
      </c>
    </row>
    <row r="741" spans="1:5" x14ac:dyDescent="0.25">
      <c r="A741" t="s">
        <v>78</v>
      </c>
      <c r="B741" s="5">
        <v>39616</v>
      </c>
      <c r="C741" s="5" t="str">
        <f t="shared" si="11"/>
        <v>SRHAY000.04_39616</v>
      </c>
      <c r="D741" t="s">
        <v>2181</v>
      </c>
      <c r="E741">
        <f>COUNTIF(data.SampSummary!$C$2:$C$958,C741)</f>
        <v>1</v>
      </c>
    </row>
    <row r="742" spans="1:5" x14ac:dyDescent="0.25">
      <c r="A742" t="s">
        <v>79</v>
      </c>
      <c r="B742" s="5">
        <v>39763</v>
      </c>
      <c r="C742" s="5" t="str">
        <f t="shared" si="11"/>
        <v>UGETK011.80_39763</v>
      </c>
      <c r="D742" t="s">
        <v>2182</v>
      </c>
      <c r="E742">
        <f>COUNTIF(data.SampSummary!$C$2:$C$958,C742)</f>
        <v>0</v>
      </c>
    </row>
    <row r="743" spans="1:5" x14ac:dyDescent="0.25">
      <c r="A743" t="s">
        <v>338</v>
      </c>
      <c r="B743" s="5">
        <v>39470</v>
      </c>
      <c r="C743" s="5" t="str">
        <f t="shared" si="11"/>
        <v>VRSPN000.78_39470</v>
      </c>
      <c r="D743" t="s">
        <v>2183</v>
      </c>
      <c r="E743">
        <f>COUNTIF(data.SampSummary!$C$2:$C$958,C743)</f>
        <v>0</v>
      </c>
    </row>
    <row r="744" spans="1:5" x14ac:dyDescent="0.25">
      <c r="A744" t="s">
        <v>187</v>
      </c>
      <c r="B744" s="5">
        <v>39471</v>
      </c>
      <c r="C744" s="5" t="str">
        <f t="shared" si="11"/>
        <v>VRWBV002.97_39471</v>
      </c>
      <c r="D744" t="s">
        <v>2184</v>
      </c>
      <c r="E744">
        <f>COUNTIF(data.SampSummary!$C$2:$C$958,C744)</f>
        <v>0</v>
      </c>
    </row>
    <row r="745" spans="1:5" x14ac:dyDescent="0.25">
      <c r="A745" t="s">
        <v>65</v>
      </c>
      <c r="B745" s="5">
        <v>37418</v>
      </c>
      <c r="C745" s="5" t="str">
        <f t="shared" si="11"/>
        <v>SRNBE000.10_37418</v>
      </c>
      <c r="D745" t="s">
        <v>2185</v>
      </c>
      <c r="E745">
        <f>COUNTIF(data.SampSummary!$C$2:$C$958,C745)</f>
        <v>1</v>
      </c>
    </row>
    <row r="746" spans="1:5" x14ac:dyDescent="0.25">
      <c r="A746" t="s">
        <v>2186</v>
      </c>
      <c r="B746" s="5">
        <v>39469</v>
      </c>
      <c r="C746" s="5" t="str">
        <f t="shared" si="11"/>
        <v>VROAK002.96_39469</v>
      </c>
      <c r="D746" t="s">
        <v>2187</v>
      </c>
      <c r="E746">
        <f>COUNTIF(data.SampSummary!$C$2:$C$958,C746)</f>
        <v>0</v>
      </c>
    </row>
    <row r="747" spans="1:5" x14ac:dyDescent="0.25">
      <c r="A747" t="s">
        <v>112</v>
      </c>
      <c r="B747" s="5">
        <v>39381</v>
      </c>
      <c r="C747" s="5" t="str">
        <f t="shared" si="11"/>
        <v>LCSHL031.05_39381</v>
      </c>
      <c r="D747" t="s">
        <v>2188</v>
      </c>
      <c r="E747">
        <f>COUNTIF(data.SampSummary!$C$2:$C$958,C747)</f>
        <v>0</v>
      </c>
    </row>
    <row r="748" spans="1:5" x14ac:dyDescent="0.25">
      <c r="A748" t="s">
        <v>123</v>
      </c>
      <c r="B748" s="5">
        <v>39372</v>
      </c>
      <c r="C748" s="5" t="str">
        <f t="shared" si="11"/>
        <v>LCSIL041.04_39372</v>
      </c>
      <c r="D748" t="s">
        <v>2189</v>
      </c>
      <c r="E748">
        <f>COUNTIF(data.SampSummary!$C$2:$C$958,C748)</f>
        <v>0</v>
      </c>
    </row>
    <row r="749" spans="1:5" x14ac:dyDescent="0.25">
      <c r="A749" t="s">
        <v>96</v>
      </c>
      <c r="B749" s="5">
        <v>39401</v>
      </c>
      <c r="C749" s="5" t="str">
        <f t="shared" si="11"/>
        <v>LCBEN002.57_39401</v>
      </c>
      <c r="D749" t="s">
        <v>2190</v>
      </c>
      <c r="E749">
        <f>COUNTIF(data.SampSummary!$C$2:$C$958,C749)</f>
        <v>0</v>
      </c>
    </row>
    <row r="750" spans="1:5" x14ac:dyDescent="0.25">
      <c r="A750" t="s">
        <v>136</v>
      </c>
      <c r="B750" s="5">
        <v>39370</v>
      </c>
      <c r="C750" s="5" t="str">
        <f t="shared" si="11"/>
        <v>LCLCR342.03_39370</v>
      </c>
      <c r="D750" t="s">
        <v>2191</v>
      </c>
      <c r="E750">
        <f>COUNTIF(data.SampSummary!$C$2:$C$958,C750)</f>
        <v>0</v>
      </c>
    </row>
    <row r="751" spans="1:5" x14ac:dyDescent="0.25">
      <c r="A751" t="s">
        <v>68</v>
      </c>
      <c r="B751" s="5">
        <v>39379</v>
      </c>
      <c r="C751" s="5" t="str">
        <f t="shared" si="11"/>
        <v>LCSLR001.42_39379</v>
      </c>
      <c r="D751" t="s">
        <v>2192</v>
      </c>
      <c r="E751">
        <f>COUNTIF(data.SampSummary!$C$2:$C$958,C751)</f>
        <v>0</v>
      </c>
    </row>
    <row r="752" spans="1:5" x14ac:dyDescent="0.25">
      <c r="A752" t="s">
        <v>101</v>
      </c>
      <c r="B752" s="5">
        <v>39380</v>
      </c>
      <c r="C752" s="5" t="str">
        <f t="shared" si="11"/>
        <v>LCLCR360.06_39380</v>
      </c>
      <c r="D752" t="s">
        <v>2193</v>
      </c>
      <c r="E752">
        <f>COUNTIF(data.SampSummary!$C$2:$C$958,C752)</f>
        <v>0</v>
      </c>
    </row>
    <row r="753" spans="1:5" x14ac:dyDescent="0.25">
      <c r="A753" t="s">
        <v>119</v>
      </c>
      <c r="B753" s="5">
        <v>39378</v>
      </c>
      <c r="C753" s="5" t="str">
        <f t="shared" si="11"/>
        <v>LCRUD003.45_39378</v>
      </c>
      <c r="D753" t="s">
        <v>2194</v>
      </c>
      <c r="E753">
        <f>COUNTIF(data.SampSummary!$C$2:$C$958,C753)</f>
        <v>0</v>
      </c>
    </row>
    <row r="754" spans="1:5" x14ac:dyDescent="0.25">
      <c r="A754" t="s">
        <v>137</v>
      </c>
      <c r="B754" s="5">
        <v>39371</v>
      </c>
      <c r="C754" s="5" t="str">
        <f t="shared" si="11"/>
        <v>LCCOY000.71_39371</v>
      </c>
      <c r="D754" t="s">
        <v>2195</v>
      </c>
      <c r="E754">
        <f>COUNTIF(data.SampSummary!$C$2:$C$958,C754)</f>
        <v>0</v>
      </c>
    </row>
    <row r="755" spans="1:5" x14ac:dyDescent="0.25">
      <c r="A755" t="s">
        <v>251</v>
      </c>
      <c r="B755" s="5">
        <v>34806</v>
      </c>
      <c r="C755" s="5" t="str">
        <f t="shared" si="11"/>
        <v>VREVR000.86_34806</v>
      </c>
      <c r="D755" t="s">
        <v>2196</v>
      </c>
      <c r="E755">
        <f>COUNTIF(data.SampSummary!$C$2:$C$958,C755)</f>
        <v>1</v>
      </c>
    </row>
    <row r="756" spans="1:5" x14ac:dyDescent="0.25">
      <c r="A756" t="s">
        <v>204</v>
      </c>
      <c r="B756" s="5">
        <v>33701</v>
      </c>
      <c r="C756" s="5" t="str">
        <f t="shared" si="11"/>
        <v>SPBAS001.64_33701</v>
      </c>
      <c r="D756" t="s">
        <v>2197</v>
      </c>
      <c r="E756">
        <f>COUNTIF(data.SampSummary!$C$2:$C$958,C756)</f>
        <v>1</v>
      </c>
    </row>
    <row r="757" spans="1:5" x14ac:dyDescent="0.25">
      <c r="A757" t="s">
        <v>89</v>
      </c>
      <c r="B757" s="5">
        <v>34799</v>
      </c>
      <c r="C757" s="5" t="str">
        <f t="shared" si="11"/>
        <v>SPRUC008.21_34799</v>
      </c>
      <c r="D757" t="s">
        <v>2198</v>
      </c>
      <c r="E757">
        <f>COUNTIF(data.SampSummary!$C$2:$C$958,C757)</f>
        <v>1</v>
      </c>
    </row>
    <row r="758" spans="1:5" x14ac:dyDescent="0.25">
      <c r="A758" t="s">
        <v>33</v>
      </c>
      <c r="B758" s="5">
        <v>35204</v>
      </c>
      <c r="C758" s="5" t="str">
        <f t="shared" si="11"/>
        <v>LCMIN018.05_35204</v>
      </c>
      <c r="D758" t="s">
        <v>2199</v>
      </c>
      <c r="E758">
        <f>COUNTIF(data.SampSummary!$C$2:$C$958,C758)</f>
        <v>1</v>
      </c>
    </row>
    <row r="759" spans="1:5" x14ac:dyDescent="0.25">
      <c r="A759" t="s">
        <v>226</v>
      </c>
      <c r="B759" s="5">
        <v>34458</v>
      </c>
      <c r="C759" s="5" t="str">
        <f t="shared" si="11"/>
        <v>MGSYD009.13_34458</v>
      </c>
      <c r="D759" t="s">
        <v>2200</v>
      </c>
      <c r="E759">
        <f>COUNTIF(data.SampSummary!$C$2:$C$958,C759)</f>
        <v>1</v>
      </c>
    </row>
    <row r="760" spans="1:5" x14ac:dyDescent="0.25">
      <c r="A760" t="s">
        <v>190</v>
      </c>
      <c r="B760" s="5">
        <v>34458</v>
      </c>
      <c r="C760" s="5" t="str">
        <f t="shared" si="11"/>
        <v>MGAFR087.06_34458</v>
      </c>
      <c r="D760" t="s">
        <v>2201</v>
      </c>
      <c r="E760">
        <f>COUNTIF(data.SampSummary!$C$2:$C$958,C760)</f>
        <v>1</v>
      </c>
    </row>
    <row r="761" spans="1:5" x14ac:dyDescent="0.25">
      <c r="A761" t="s">
        <v>285</v>
      </c>
      <c r="B761" s="5">
        <v>34843</v>
      </c>
      <c r="C761" s="5" t="str">
        <f t="shared" si="11"/>
        <v>VRPIE000.29_34843</v>
      </c>
      <c r="D761" t="s">
        <v>2202</v>
      </c>
      <c r="E761">
        <f>COUNTIF(data.SampSummary!$C$2:$C$958,C761)</f>
        <v>1</v>
      </c>
    </row>
    <row r="762" spans="1:5" x14ac:dyDescent="0.25">
      <c r="A762" t="s">
        <v>2203</v>
      </c>
      <c r="B762" s="5">
        <v>34608</v>
      </c>
      <c r="C762" s="5" t="str">
        <f t="shared" si="11"/>
        <v>SRTON062.89_34608</v>
      </c>
      <c r="D762" t="s">
        <v>2204</v>
      </c>
      <c r="E762">
        <f>COUNTIF(data.SampSummary!$C$2:$C$958,C762)</f>
        <v>0</v>
      </c>
    </row>
    <row r="763" spans="1:5" x14ac:dyDescent="0.25">
      <c r="A763" t="s">
        <v>298</v>
      </c>
      <c r="B763" s="5">
        <v>34450</v>
      </c>
      <c r="C763" s="5" t="str">
        <f t="shared" si="11"/>
        <v>BWBRO042.16_34450</v>
      </c>
      <c r="D763" t="s">
        <v>2205</v>
      </c>
      <c r="E763">
        <f>COUNTIF(data.SampSummary!$C$2:$C$958,C763)</f>
        <v>1</v>
      </c>
    </row>
    <row r="764" spans="1:5" x14ac:dyDescent="0.25">
      <c r="A764" t="s">
        <v>37</v>
      </c>
      <c r="B764" s="5">
        <v>34608</v>
      </c>
      <c r="C764" s="5" t="str">
        <f t="shared" si="11"/>
        <v>VRWOK000.82_34608</v>
      </c>
      <c r="D764" t="s">
        <v>2206</v>
      </c>
      <c r="E764">
        <f>COUNTIF(data.SampSummary!$C$2:$C$958,C764)</f>
        <v>0</v>
      </c>
    </row>
    <row r="765" spans="1:5" x14ac:dyDescent="0.25">
      <c r="A765" t="s">
        <v>18</v>
      </c>
      <c r="B765" s="5">
        <v>34060</v>
      </c>
      <c r="C765" s="5" t="str">
        <f t="shared" si="11"/>
        <v>SPGRA007.71_34060</v>
      </c>
      <c r="D765" t="s">
        <v>2207</v>
      </c>
      <c r="E765">
        <f>COUNTIF(data.SampSummary!$C$2:$C$958,C765)</f>
        <v>1</v>
      </c>
    </row>
    <row r="766" spans="1:5" x14ac:dyDescent="0.25">
      <c r="A766" t="s">
        <v>265</v>
      </c>
      <c r="B766" s="5">
        <v>34984</v>
      </c>
      <c r="C766" s="5" t="str">
        <f t="shared" si="11"/>
        <v>VRVER127.02_34984</v>
      </c>
      <c r="D766" t="s">
        <v>2208</v>
      </c>
      <c r="E766">
        <f>COUNTIF(data.SampSummary!$C$2:$C$958,C766)</f>
        <v>0</v>
      </c>
    </row>
    <row r="767" spans="1:5" x14ac:dyDescent="0.25">
      <c r="A767" t="s">
        <v>48</v>
      </c>
      <c r="B767" s="5">
        <v>34493</v>
      </c>
      <c r="C767" s="5" t="str">
        <f t="shared" si="11"/>
        <v>CGNCA028.70_34493</v>
      </c>
      <c r="D767" t="s">
        <v>2209</v>
      </c>
      <c r="E767">
        <f>COUNTIF(data.SampSummary!$C$2:$C$958,C767)</f>
        <v>1</v>
      </c>
    </row>
    <row r="768" spans="1:5" x14ac:dyDescent="0.25">
      <c r="A768" t="s">
        <v>82</v>
      </c>
      <c r="B768" s="5">
        <v>34134</v>
      </c>
      <c r="C768" s="5" t="str">
        <f t="shared" si="11"/>
        <v>LCLCR352.57_34134</v>
      </c>
      <c r="D768" t="s">
        <v>2210</v>
      </c>
      <c r="E768">
        <f>COUNTIF(data.SampSummary!$C$2:$C$958,C768)</f>
        <v>1</v>
      </c>
    </row>
    <row r="769" spans="1:5" x14ac:dyDescent="0.25">
      <c r="A769" t="s">
        <v>189</v>
      </c>
      <c r="B769" s="5">
        <v>34457</v>
      </c>
      <c r="C769" s="5" t="str">
        <f t="shared" si="11"/>
        <v>MGANT013.35_34457</v>
      </c>
      <c r="D769" t="s">
        <v>2211</v>
      </c>
      <c r="E769">
        <f>COUNTIF(data.SampSummary!$C$2:$C$958,C769)</f>
        <v>1</v>
      </c>
    </row>
    <row r="770" spans="1:5" x14ac:dyDescent="0.25">
      <c r="A770" t="s">
        <v>239</v>
      </c>
      <c r="B770" s="5">
        <v>34079</v>
      </c>
      <c r="C770" s="5" t="str">
        <f t="shared" si="11"/>
        <v>BWFRA002.33_34079</v>
      </c>
      <c r="D770" t="s">
        <v>2212</v>
      </c>
      <c r="E770">
        <f>COUNTIF(data.SampSummary!$C$2:$C$958,C770)</f>
        <v>1</v>
      </c>
    </row>
    <row r="771" spans="1:5" x14ac:dyDescent="0.25">
      <c r="A771" t="s">
        <v>275</v>
      </c>
      <c r="B771" s="5">
        <v>34458</v>
      </c>
      <c r="C771" s="5" t="str">
        <f t="shared" ref="C771:C834" si="12">A771&amp;"_"&amp;B771</f>
        <v>MGLAS004.52_34458</v>
      </c>
      <c r="D771" t="s">
        <v>2213</v>
      </c>
      <c r="E771">
        <f>COUNTIF(data.SampSummary!$C$2:$C$958,C771)</f>
        <v>1</v>
      </c>
    </row>
    <row r="772" spans="1:5" x14ac:dyDescent="0.25">
      <c r="A772" t="s">
        <v>358</v>
      </c>
      <c r="B772" s="5">
        <v>33770</v>
      </c>
      <c r="C772" s="5" t="str">
        <f t="shared" si="12"/>
        <v>SRSPI011.63_33770</v>
      </c>
      <c r="D772" t="s">
        <v>2214</v>
      </c>
      <c r="E772">
        <f>COUNTIF(data.SampSummary!$C$2:$C$958,C772)</f>
        <v>1</v>
      </c>
    </row>
    <row r="773" spans="1:5" x14ac:dyDescent="0.25">
      <c r="A773" t="s">
        <v>281</v>
      </c>
      <c r="B773" s="5">
        <v>34151</v>
      </c>
      <c r="C773" s="5" t="str">
        <f t="shared" si="12"/>
        <v>CGCRY000.05_34151</v>
      </c>
      <c r="D773" t="s">
        <v>2215</v>
      </c>
      <c r="E773">
        <f>COUNTIF(data.SampSummary!$C$2:$C$958,C773)</f>
        <v>1</v>
      </c>
    </row>
    <row r="774" spans="1:5" x14ac:dyDescent="0.25">
      <c r="A774" t="s">
        <v>72</v>
      </c>
      <c r="B774" s="5">
        <v>33766</v>
      </c>
      <c r="C774" s="5" t="str">
        <f t="shared" si="12"/>
        <v>SRNBE000.86_33766</v>
      </c>
      <c r="D774" t="s">
        <v>2216</v>
      </c>
      <c r="E774">
        <f>COUNTIF(data.SampSummary!$C$2:$C$958,C774)</f>
        <v>1</v>
      </c>
    </row>
    <row r="775" spans="1:5" x14ac:dyDescent="0.25">
      <c r="A775" t="s">
        <v>2217</v>
      </c>
      <c r="B775" s="5">
        <v>34087</v>
      </c>
      <c r="C775" s="5" t="str">
        <f t="shared" si="12"/>
        <v>MGHSR102.66_34087</v>
      </c>
      <c r="D775" t="s">
        <v>2218</v>
      </c>
      <c r="E775">
        <f>COUNTIF(data.SampSummary!$C$2:$C$958,C775)</f>
        <v>0</v>
      </c>
    </row>
    <row r="776" spans="1:5" x14ac:dyDescent="0.25">
      <c r="A776" t="s">
        <v>289</v>
      </c>
      <c r="B776" s="5">
        <v>34437</v>
      </c>
      <c r="C776" s="5" t="str">
        <f t="shared" si="12"/>
        <v>SPARA013.78_34437</v>
      </c>
      <c r="D776" t="s">
        <v>2219</v>
      </c>
      <c r="E776">
        <f>COUNTIF(data.SampSummary!$C$2:$C$958,C776)</f>
        <v>1</v>
      </c>
    </row>
    <row r="777" spans="1:5" x14ac:dyDescent="0.25">
      <c r="A777" t="s">
        <v>252</v>
      </c>
      <c r="B777" s="5">
        <v>34115</v>
      </c>
      <c r="C777" s="5" t="str">
        <f t="shared" si="12"/>
        <v>SRCHE033.95_34115</v>
      </c>
      <c r="D777" t="s">
        <v>2220</v>
      </c>
      <c r="E777">
        <f>COUNTIF(data.SampSummary!$C$2:$C$958,C777)</f>
        <v>1</v>
      </c>
    </row>
    <row r="778" spans="1:5" x14ac:dyDescent="0.25">
      <c r="A778" t="s">
        <v>291</v>
      </c>
      <c r="B778" s="5">
        <v>34843</v>
      </c>
      <c r="C778" s="5" t="str">
        <f t="shared" si="12"/>
        <v>VREVR015.34_34843</v>
      </c>
      <c r="D778" t="s">
        <v>2221</v>
      </c>
      <c r="E778">
        <f>COUNTIF(data.SampSummary!$C$2:$C$958,C778)</f>
        <v>1</v>
      </c>
    </row>
    <row r="779" spans="1:5" x14ac:dyDescent="0.25">
      <c r="A779" t="s">
        <v>44</v>
      </c>
      <c r="B779" s="5">
        <v>34480</v>
      </c>
      <c r="C779" s="5" t="str">
        <f t="shared" si="12"/>
        <v>UGMRW011.38_34480</v>
      </c>
      <c r="D779" t="s">
        <v>2222</v>
      </c>
      <c r="E779">
        <f>COUNTIF(data.SampSummary!$C$2:$C$958,C779)</f>
        <v>1</v>
      </c>
    </row>
    <row r="780" spans="1:5" x14ac:dyDescent="0.25">
      <c r="A780" t="s">
        <v>337</v>
      </c>
      <c r="B780" s="5">
        <v>34450</v>
      </c>
      <c r="C780" s="5" t="str">
        <f t="shared" si="12"/>
        <v>BWFRA000.46_34450</v>
      </c>
      <c r="D780" t="s">
        <v>2223</v>
      </c>
      <c r="E780">
        <f>COUNTIF(data.SampSummary!$C$2:$C$958,C780)</f>
        <v>0</v>
      </c>
    </row>
    <row r="781" spans="1:5" x14ac:dyDescent="0.25">
      <c r="A781" t="s">
        <v>62</v>
      </c>
      <c r="B781" s="5">
        <v>34131</v>
      </c>
      <c r="C781" s="5" t="str">
        <f t="shared" si="12"/>
        <v>LCBRB006.74_34131</v>
      </c>
      <c r="D781" t="s">
        <v>2224</v>
      </c>
      <c r="E781">
        <f>COUNTIF(data.SampSummary!$C$2:$C$958,C781)</f>
        <v>1</v>
      </c>
    </row>
    <row r="782" spans="1:5" x14ac:dyDescent="0.25">
      <c r="A782" t="s">
        <v>256</v>
      </c>
      <c r="B782" s="5">
        <v>34058</v>
      </c>
      <c r="C782" s="5" t="str">
        <f t="shared" si="12"/>
        <v>SPRDC012.76_34058</v>
      </c>
      <c r="D782" t="s">
        <v>2225</v>
      </c>
      <c r="E782">
        <f>COUNTIF(data.SampSummary!$C$2:$C$958,C782)</f>
        <v>1</v>
      </c>
    </row>
    <row r="783" spans="1:5" x14ac:dyDescent="0.25">
      <c r="A783" t="s">
        <v>86</v>
      </c>
      <c r="B783" s="5">
        <v>34135</v>
      </c>
      <c r="C783" s="5" t="str">
        <f t="shared" si="12"/>
        <v>SRWFB005.34_34135</v>
      </c>
      <c r="D783" t="s">
        <v>2226</v>
      </c>
      <c r="E783">
        <f>COUNTIF(data.SampSummary!$C$2:$C$958,C783)</f>
        <v>1</v>
      </c>
    </row>
    <row r="784" spans="1:5" x14ac:dyDescent="0.25">
      <c r="A784" t="s">
        <v>2227</v>
      </c>
      <c r="B784" s="5">
        <v>34823</v>
      </c>
      <c r="C784" s="5" t="str">
        <f t="shared" si="12"/>
        <v>MGTRK001.53_34823</v>
      </c>
      <c r="D784" t="s">
        <v>2228</v>
      </c>
      <c r="E784">
        <f>COUNTIF(data.SampSummary!$C$2:$C$958,C784)</f>
        <v>0</v>
      </c>
    </row>
    <row r="785" spans="1:5" x14ac:dyDescent="0.25">
      <c r="A785" t="s">
        <v>24</v>
      </c>
      <c r="B785" s="5">
        <v>34820</v>
      </c>
      <c r="C785" s="5" t="str">
        <f t="shared" si="12"/>
        <v>VRWCL023.36_34820</v>
      </c>
      <c r="D785" t="s">
        <v>2229</v>
      </c>
      <c r="E785">
        <f>COUNTIF(data.SampSummary!$C$2:$C$958,C785)</f>
        <v>0</v>
      </c>
    </row>
    <row r="786" spans="1:5" x14ac:dyDescent="0.25">
      <c r="A786" t="s">
        <v>57</v>
      </c>
      <c r="B786" s="5">
        <v>34137</v>
      </c>
      <c r="C786" s="5" t="str">
        <f t="shared" si="12"/>
        <v>SREFB008.27_34137</v>
      </c>
      <c r="D786" t="s">
        <v>2230</v>
      </c>
      <c r="E786">
        <f>COUNTIF(data.SampSummary!$C$2:$C$958,C786)</f>
        <v>1</v>
      </c>
    </row>
    <row r="787" spans="1:5" x14ac:dyDescent="0.25">
      <c r="A787" t="s">
        <v>2231</v>
      </c>
      <c r="B787" s="5">
        <v>35004</v>
      </c>
      <c r="C787" s="5" t="str">
        <f t="shared" si="12"/>
        <v>VRTGL001.67_35004</v>
      </c>
      <c r="D787" t="s">
        <v>2232</v>
      </c>
      <c r="E787">
        <f>COUNTIF(data.SampSummary!$C$2:$C$958,C787)</f>
        <v>0</v>
      </c>
    </row>
    <row r="788" spans="1:5" x14ac:dyDescent="0.25">
      <c r="A788" t="s">
        <v>38</v>
      </c>
      <c r="B788" s="5">
        <v>33742</v>
      </c>
      <c r="C788" s="5" t="str">
        <f t="shared" si="12"/>
        <v>UGBLR046.35_33742</v>
      </c>
      <c r="D788" t="s">
        <v>2233</v>
      </c>
      <c r="E788">
        <f>COUNTIF(data.SampSummary!$C$2:$C$958,C788)</f>
        <v>1</v>
      </c>
    </row>
    <row r="789" spans="1:5" x14ac:dyDescent="0.25">
      <c r="A789" t="s">
        <v>69</v>
      </c>
      <c r="B789" s="5">
        <v>33736</v>
      </c>
      <c r="C789" s="5" t="str">
        <f t="shared" si="12"/>
        <v>SRWRK007.97_33736</v>
      </c>
      <c r="D789" t="s">
        <v>2234</v>
      </c>
      <c r="E789">
        <f>COUNTIF(data.SampSummary!$C$2:$C$958,C789)</f>
        <v>1</v>
      </c>
    </row>
    <row r="790" spans="1:5" x14ac:dyDescent="0.25">
      <c r="A790" t="s">
        <v>1573</v>
      </c>
      <c r="B790" s="5">
        <v>34156</v>
      </c>
      <c r="C790" s="5" t="str">
        <f t="shared" si="12"/>
        <v>CGSPG000.17_34156</v>
      </c>
      <c r="D790" t="s">
        <v>2235</v>
      </c>
      <c r="E790">
        <f>COUNTIF(data.SampSummary!$C$2:$C$958,C790)</f>
        <v>0</v>
      </c>
    </row>
    <row r="791" spans="1:5" x14ac:dyDescent="0.25">
      <c r="A791" t="s">
        <v>225</v>
      </c>
      <c r="B791" s="5">
        <v>34149</v>
      </c>
      <c r="C791" s="5" t="str">
        <f t="shared" si="12"/>
        <v>CGNAN000.20_34149</v>
      </c>
      <c r="D791" t="s">
        <v>2236</v>
      </c>
      <c r="E791">
        <f>COUNTIF(data.SampSummary!$C$2:$C$958,C791)</f>
        <v>1</v>
      </c>
    </row>
    <row r="792" spans="1:5" x14ac:dyDescent="0.25">
      <c r="A792" t="s">
        <v>69</v>
      </c>
      <c r="B792" s="5">
        <v>34095</v>
      </c>
      <c r="C792" s="5" t="str">
        <f t="shared" si="12"/>
        <v>SRWRK007.97_34095</v>
      </c>
      <c r="D792" t="s">
        <v>2237</v>
      </c>
      <c r="E792">
        <f>COUNTIF(data.SampSummary!$C$2:$C$958,C792)</f>
        <v>1</v>
      </c>
    </row>
    <row r="793" spans="1:5" x14ac:dyDescent="0.25">
      <c r="A793" t="s">
        <v>27</v>
      </c>
      <c r="B793" s="5">
        <v>34472</v>
      </c>
      <c r="C793" s="5" t="str">
        <f t="shared" si="12"/>
        <v>VROAK047.96_34472</v>
      </c>
      <c r="D793" t="s">
        <v>2238</v>
      </c>
      <c r="E793">
        <f>COUNTIF(data.SampSummary!$C$2:$C$958,C793)</f>
        <v>1</v>
      </c>
    </row>
    <row r="794" spans="1:5" x14ac:dyDescent="0.25">
      <c r="A794" t="s">
        <v>210</v>
      </c>
      <c r="B794" s="5">
        <v>34985</v>
      </c>
      <c r="C794" s="5" t="str">
        <f t="shared" si="12"/>
        <v>VRVER107.68_34985</v>
      </c>
      <c r="D794" t="s">
        <v>2239</v>
      </c>
      <c r="E794">
        <f>COUNTIF(data.SampSummary!$C$2:$C$958,C794)</f>
        <v>0</v>
      </c>
    </row>
    <row r="795" spans="1:5" x14ac:dyDescent="0.25">
      <c r="A795" t="s">
        <v>209</v>
      </c>
      <c r="B795" s="5">
        <v>34096</v>
      </c>
      <c r="C795" s="5" t="str">
        <f t="shared" si="12"/>
        <v>VRSYM016.44_34096</v>
      </c>
      <c r="D795" t="s">
        <v>2240</v>
      </c>
      <c r="E795">
        <f>COUNTIF(data.SampSummary!$C$2:$C$958,C795)</f>
        <v>0</v>
      </c>
    </row>
    <row r="796" spans="1:5" x14ac:dyDescent="0.25">
      <c r="A796" t="s">
        <v>2241</v>
      </c>
      <c r="B796" s="5">
        <v>34093</v>
      </c>
      <c r="C796" s="5" t="str">
        <f t="shared" si="12"/>
        <v>SRD4E005.86_34093</v>
      </c>
      <c r="D796" t="s">
        <v>2242</v>
      </c>
      <c r="E796">
        <f>COUNTIF(data.SampSummary!$C$2:$C$958,C796)</f>
        <v>0</v>
      </c>
    </row>
    <row r="797" spans="1:5" x14ac:dyDescent="0.25">
      <c r="A797" t="s">
        <v>39</v>
      </c>
      <c r="B797" s="5">
        <v>34479</v>
      </c>
      <c r="C797" s="5" t="str">
        <f t="shared" si="12"/>
        <v>UGFRY009.52_34479</v>
      </c>
      <c r="D797" t="s">
        <v>2243</v>
      </c>
      <c r="E797">
        <f>COUNTIF(data.SampSummary!$C$2:$C$958,C797)</f>
        <v>1</v>
      </c>
    </row>
    <row r="798" spans="1:5" x14ac:dyDescent="0.25">
      <c r="A798" t="s">
        <v>49</v>
      </c>
      <c r="B798" s="5">
        <v>34820</v>
      </c>
      <c r="C798" s="5" t="str">
        <f t="shared" si="12"/>
        <v>VRWCL036.37_34820</v>
      </c>
      <c r="D798" t="s">
        <v>2244</v>
      </c>
      <c r="E798">
        <f>COUNTIF(data.SampSummary!$C$2:$C$958,C798)</f>
        <v>0</v>
      </c>
    </row>
    <row r="799" spans="1:5" x14ac:dyDescent="0.25">
      <c r="A799" t="s">
        <v>94</v>
      </c>
      <c r="B799" s="5">
        <v>33744</v>
      </c>
      <c r="C799" s="5" t="str">
        <f t="shared" si="12"/>
        <v>LCMAM002.05_33744</v>
      </c>
      <c r="D799" t="s">
        <v>2245</v>
      </c>
      <c r="E799">
        <f>COUNTIF(data.SampSummary!$C$2:$C$958,C799)</f>
        <v>1</v>
      </c>
    </row>
    <row r="800" spans="1:5" x14ac:dyDescent="0.25">
      <c r="A800" t="s">
        <v>254</v>
      </c>
      <c r="B800" s="5">
        <v>33710</v>
      </c>
      <c r="C800" s="5" t="str">
        <f t="shared" si="12"/>
        <v>SCSCR168.93_33710</v>
      </c>
      <c r="D800" t="s">
        <v>2246</v>
      </c>
      <c r="E800">
        <f>COUNTIF(data.SampSummary!$C$2:$C$958,C800)</f>
        <v>1</v>
      </c>
    </row>
    <row r="801" spans="1:5" x14ac:dyDescent="0.25">
      <c r="A801" t="s">
        <v>37</v>
      </c>
      <c r="B801" s="5">
        <v>34973</v>
      </c>
      <c r="C801" s="5" t="str">
        <f t="shared" si="12"/>
        <v>VRWOK000.82_34973</v>
      </c>
      <c r="D801" t="s">
        <v>2247</v>
      </c>
      <c r="E801">
        <f>COUNTIF(data.SampSummary!$C$2:$C$958,C801)</f>
        <v>0</v>
      </c>
    </row>
    <row r="802" spans="1:5" x14ac:dyDescent="0.25">
      <c r="A802" t="s">
        <v>1543</v>
      </c>
      <c r="B802" s="5">
        <v>33703</v>
      </c>
      <c r="C802" s="5" t="str">
        <f t="shared" si="12"/>
        <v>UGSCV002.80_33703</v>
      </c>
      <c r="D802" t="s">
        <v>2248</v>
      </c>
      <c r="E802">
        <f>COUNTIF(data.SampSummary!$C$2:$C$958,C802)</f>
        <v>0</v>
      </c>
    </row>
    <row r="803" spans="1:5" x14ac:dyDescent="0.25">
      <c r="A803" t="s">
        <v>90</v>
      </c>
      <c r="B803" s="5">
        <v>34123</v>
      </c>
      <c r="C803" s="5" t="str">
        <f t="shared" si="12"/>
        <v>LCPAD001.30_34123</v>
      </c>
      <c r="D803" t="s">
        <v>2249</v>
      </c>
      <c r="E803">
        <f>COUNTIF(data.SampSummary!$C$2:$C$958,C803)</f>
        <v>1</v>
      </c>
    </row>
    <row r="804" spans="1:5" x14ac:dyDescent="0.25">
      <c r="A804" t="s">
        <v>2250</v>
      </c>
      <c r="B804" s="5">
        <v>34611</v>
      </c>
      <c r="C804" s="5" t="str">
        <f t="shared" si="12"/>
        <v>VRSYM017.71_34611</v>
      </c>
      <c r="D804" t="s">
        <v>2251</v>
      </c>
      <c r="E804">
        <f>COUNTIF(data.SampSummary!$C$2:$C$958,C804)</f>
        <v>0</v>
      </c>
    </row>
    <row r="805" spans="1:5" x14ac:dyDescent="0.25">
      <c r="A805" t="s">
        <v>1375</v>
      </c>
      <c r="B805" s="5">
        <v>34444</v>
      </c>
      <c r="C805" s="5" t="str">
        <f t="shared" si="12"/>
        <v>SCMAD012.71_34444</v>
      </c>
      <c r="D805" t="s">
        <v>2252</v>
      </c>
      <c r="E805">
        <f>COUNTIF(data.SampSummary!$C$2:$C$958,C805)</f>
        <v>0</v>
      </c>
    </row>
    <row r="806" spans="1:5" x14ac:dyDescent="0.25">
      <c r="A806" t="s">
        <v>337</v>
      </c>
      <c r="B806" s="5">
        <v>33752</v>
      </c>
      <c r="C806" s="5" t="str">
        <f t="shared" si="12"/>
        <v>BWFRA000.46_33752</v>
      </c>
      <c r="D806" t="s">
        <v>2253</v>
      </c>
      <c r="E806">
        <f>COUNTIF(data.SampSummary!$C$2:$C$958,C806)</f>
        <v>1</v>
      </c>
    </row>
    <row r="807" spans="1:5" x14ac:dyDescent="0.25">
      <c r="A807" t="s">
        <v>105</v>
      </c>
      <c r="B807" s="5">
        <v>33743</v>
      </c>
      <c r="C807" s="5" t="str">
        <f t="shared" si="12"/>
        <v>UGGRA000.82_33743</v>
      </c>
      <c r="D807" t="s">
        <v>2254</v>
      </c>
      <c r="E807">
        <f>COUNTIF(data.SampSummary!$C$2:$C$958,C807)</f>
        <v>1</v>
      </c>
    </row>
    <row r="808" spans="1:5" x14ac:dyDescent="0.25">
      <c r="A808" t="s">
        <v>140</v>
      </c>
      <c r="B808" s="5">
        <v>34477</v>
      </c>
      <c r="C808" s="5" t="str">
        <f t="shared" si="12"/>
        <v>UGEAG056.85_34477</v>
      </c>
      <c r="D808" t="s">
        <v>2255</v>
      </c>
      <c r="E808">
        <f>COUNTIF(data.SampSummary!$C$2:$C$958,C808)</f>
        <v>1</v>
      </c>
    </row>
    <row r="809" spans="1:5" x14ac:dyDescent="0.25">
      <c r="A809" t="s">
        <v>57</v>
      </c>
      <c r="B809" s="5">
        <v>33763</v>
      </c>
      <c r="C809" s="5" t="str">
        <f t="shared" si="12"/>
        <v>SREFB008.27_33763</v>
      </c>
      <c r="D809" t="s">
        <v>2256</v>
      </c>
      <c r="E809">
        <f>COUNTIF(data.SampSummary!$C$2:$C$958,C809)</f>
        <v>1</v>
      </c>
    </row>
    <row r="810" spans="1:5" x14ac:dyDescent="0.25">
      <c r="A810" t="s">
        <v>370</v>
      </c>
      <c r="B810" s="5">
        <v>33765</v>
      </c>
      <c r="C810" s="5" t="str">
        <f t="shared" si="12"/>
        <v>LCLCR000.13_33765</v>
      </c>
      <c r="D810" t="s">
        <v>2257</v>
      </c>
      <c r="E810">
        <f>COUNTIF(data.SampSummary!$C$2:$C$958,C810)</f>
        <v>1</v>
      </c>
    </row>
    <row r="811" spans="1:5" x14ac:dyDescent="0.25">
      <c r="A811" t="s">
        <v>40</v>
      </c>
      <c r="B811" s="5">
        <v>34608</v>
      </c>
      <c r="C811" s="5" t="str">
        <f t="shared" si="12"/>
        <v>VRWEB009.13_34608</v>
      </c>
      <c r="D811" t="s">
        <v>2258</v>
      </c>
      <c r="E811">
        <f>COUNTIF(data.SampSummary!$C$2:$C$958,C811)</f>
        <v>0</v>
      </c>
    </row>
    <row r="812" spans="1:5" x14ac:dyDescent="0.25">
      <c r="A812" t="s">
        <v>79</v>
      </c>
      <c r="B812" s="5">
        <v>34800</v>
      </c>
      <c r="C812" s="5" t="str">
        <f t="shared" si="12"/>
        <v>UGETK011.80_34800</v>
      </c>
      <c r="D812" t="s">
        <v>2259</v>
      </c>
      <c r="E812">
        <f>COUNTIF(data.SampSummary!$C$2:$C$958,C812)</f>
        <v>1</v>
      </c>
    </row>
    <row r="813" spans="1:5" x14ac:dyDescent="0.25">
      <c r="A813" t="s">
        <v>156</v>
      </c>
      <c r="B813" s="5">
        <v>34841</v>
      </c>
      <c r="C813" s="5" t="str">
        <f t="shared" si="12"/>
        <v>LCBCK005.75_34841</v>
      </c>
      <c r="D813" t="s">
        <v>2260</v>
      </c>
      <c r="E813">
        <f>COUNTIF(data.SampSummary!$C$2:$C$958,C813)</f>
        <v>1</v>
      </c>
    </row>
    <row r="814" spans="1:5" x14ac:dyDescent="0.25">
      <c r="A814" t="s">
        <v>222</v>
      </c>
      <c r="B814" s="5">
        <v>34464</v>
      </c>
      <c r="C814" s="5" t="str">
        <f t="shared" si="12"/>
        <v>SRCHE013.65_34464</v>
      </c>
      <c r="D814" t="s">
        <v>2261</v>
      </c>
      <c r="E814">
        <f>COUNTIF(data.SampSummary!$C$2:$C$958,C814)</f>
        <v>1</v>
      </c>
    </row>
    <row r="815" spans="1:5" x14ac:dyDescent="0.25">
      <c r="A815" t="s">
        <v>190</v>
      </c>
      <c r="B815" s="5">
        <v>34087</v>
      </c>
      <c r="C815" s="5" t="str">
        <f t="shared" si="12"/>
        <v>MGAFR087.06_34087</v>
      </c>
      <c r="D815" t="s">
        <v>2262</v>
      </c>
      <c r="E815">
        <f>COUNTIF(data.SampSummary!$C$2:$C$958,C815)</f>
        <v>1</v>
      </c>
    </row>
    <row r="816" spans="1:5" x14ac:dyDescent="0.25">
      <c r="A816" t="s">
        <v>261</v>
      </c>
      <c r="B816" s="5">
        <v>34101</v>
      </c>
      <c r="C816" s="5" t="str">
        <f t="shared" si="12"/>
        <v>VRWBV012.56_34101</v>
      </c>
      <c r="D816" t="s">
        <v>2263</v>
      </c>
      <c r="E816">
        <f>COUNTIF(data.SampSummary!$C$2:$C$958,C816)</f>
        <v>1</v>
      </c>
    </row>
    <row r="817" spans="1:5" x14ac:dyDescent="0.25">
      <c r="A817" t="s">
        <v>2068</v>
      </c>
      <c r="B817" s="5">
        <v>34442</v>
      </c>
      <c r="C817" s="5" t="str">
        <f t="shared" si="12"/>
        <v>SCSAB009.77_34442</v>
      </c>
      <c r="D817" t="s">
        <v>2264</v>
      </c>
      <c r="E817">
        <f>COUNTIF(data.SampSummary!$C$2:$C$958,C817)</f>
        <v>0</v>
      </c>
    </row>
    <row r="818" spans="1:5" x14ac:dyDescent="0.25">
      <c r="A818" t="s">
        <v>295</v>
      </c>
      <c r="B818" s="5">
        <v>34102</v>
      </c>
      <c r="C818" s="5" t="str">
        <f t="shared" si="12"/>
        <v>VRROU002.93_34102</v>
      </c>
      <c r="D818" t="s">
        <v>2265</v>
      </c>
      <c r="E818">
        <f>COUNTIF(data.SampSummary!$C$2:$C$958,C818)</f>
        <v>1</v>
      </c>
    </row>
    <row r="819" spans="1:5" x14ac:dyDescent="0.25">
      <c r="A819" t="s">
        <v>236</v>
      </c>
      <c r="B819" s="5">
        <v>33769</v>
      </c>
      <c r="C819" s="5" t="str">
        <f t="shared" si="12"/>
        <v>CGBRA000.44_33769</v>
      </c>
      <c r="D819" t="s">
        <v>2266</v>
      </c>
      <c r="E819">
        <f>COUNTIF(data.SampSummary!$C$2:$C$958,C819)</f>
        <v>1</v>
      </c>
    </row>
    <row r="820" spans="1:5" x14ac:dyDescent="0.25">
      <c r="A820" t="s">
        <v>45</v>
      </c>
      <c r="B820" s="5">
        <v>34094</v>
      </c>
      <c r="C820" s="5" t="str">
        <f t="shared" si="12"/>
        <v>SRREY001.14_34094</v>
      </c>
      <c r="D820" t="s">
        <v>2267</v>
      </c>
      <c r="E820">
        <f>COUNTIF(data.SampSummary!$C$2:$C$958,C820)</f>
        <v>1</v>
      </c>
    </row>
    <row r="821" spans="1:5" x14ac:dyDescent="0.25">
      <c r="A821" t="s">
        <v>287</v>
      </c>
      <c r="B821" s="5">
        <v>34815</v>
      </c>
      <c r="C821" s="5" t="str">
        <f t="shared" si="12"/>
        <v>VRGAP000.92_34815</v>
      </c>
      <c r="D821" t="s">
        <v>2268</v>
      </c>
      <c r="E821">
        <f>COUNTIF(data.SampSummary!$C$2:$C$958,C821)</f>
        <v>1</v>
      </c>
    </row>
    <row r="822" spans="1:5" x14ac:dyDescent="0.25">
      <c r="A822" t="s">
        <v>2269</v>
      </c>
      <c r="B822" s="5">
        <v>34246</v>
      </c>
      <c r="C822" s="5" t="str">
        <f t="shared" si="12"/>
        <v>VRBLA010.11_34246</v>
      </c>
      <c r="D822" t="s">
        <v>2270</v>
      </c>
      <c r="E822">
        <f>COUNTIF(data.SampSummary!$C$2:$C$958,C822)</f>
        <v>0</v>
      </c>
    </row>
    <row r="823" spans="1:5" x14ac:dyDescent="0.25">
      <c r="A823" t="s">
        <v>37</v>
      </c>
      <c r="B823" s="5">
        <v>34834</v>
      </c>
      <c r="C823" s="5" t="str">
        <f t="shared" si="12"/>
        <v>VRWOK000.82_34834</v>
      </c>
      <c r="D823" t="s">
        <v>2271</v>
      </c>
      <c r="E823">
        <f>COUNTIF(data.SampSummary!$C$2:$C$958,C823)</f>
        <v>1</v>
      </c>
    </row>
    <row r="824" spans="1:5" x14ac:dyDescent="0.25">
      <c r="A824" t="s">
        <v>2269</v>
      </c>
      <c r="B824" s="5">
        <v>34822</v>
      </c>
      <c r="C824" s="5" t="str">
        <f t="shared" si="12"/>
        <v>VRBLA010.11_34822</v>
      </c>
      <c r="D824" t="s">
        <v>2272</v>
      </c>
      <c r="E824">
        <f>COUNTIF(data.SampSummary!$C$2:$C$958,C824)</f>
        <v>0</v>
      </c>
    </row>
    <row r="825" spans="1:5" x14ac:dyDescent="0.25">
      <c r="A825" t="s">
        <v>148</v>
      </c>
      <c r="B825" s="5">
        <v>33794</v>
      </c>
      <c r="C825" s="5" t="str">
        <f t="shared" si="12"/>
        <v>LCLCR337.67_33794</v>
      </c>
      <c r="D825" t="s">
        <v>2273</v>
      </c>
      <c r="E825">
        <f>COUNTIF(data.SampSummary!$C$2:$C$958,C825)</f>
        <v>1</v>
      </c>
    </row>
    <row r="826" spans="1:5" x14ac:dyDescent="0.25">
      <c r="A826" t="s">
        <v>160</v>
      </c>
      <c r="B826" s="5">
        <v>34521</v>
      </c>
      <c r="C826" s="5" t="str">
        <f t="shared" si="12"/>
        <v>CGTAP000.08_34521</v>
      </c>
      <c r="D826" t="s">
        <v>2274</v>
      </c>
      <c r="E826">
        <f>COUNTIF(data.SampSummary!$C$2:$C$958,C826)</f>
        <v>1</v>
      </c>
    </row>
    <row r="827" spans="1:5" x14ac:dyDescent="0.25">
      <c r="A827" t="s">
        <v>18</v>
      </c>
      <c r="B827" s="5">
        <v>34436</v>
      </c>
      <c r="C827" s="5" t="str">
        <f t="shared" si="12"/>
        <v>SPGRA007.71_34436</v>
      </c>
      <c r="D827" t="s">
        <v>2275</v>
      </c>
      <c r="E827">
        <f>COUNTIF(data.SampSummary!$C$2:$C$958,C827)</f>
        <v>1</v>
      </c>
    </row>
    <row r="828" spans="1:5" x14ac:dyDescent="0.25">
      <c r="A828" t="s">
        <v>27</v>
      </c>
      <c r="B828" s="5">
        <v>34974</v>
      </c>
      <c r="C828" s="5" t="str">
        <f t="shared" si="12"/>
        <v>VROAK047.96_34974</v>
      </c>
      <c r="D828" t="s">
        <v>2276</v>
      </c>
      <c r="E828">
        <f>COUNTIF(data.SampSummary!$C$2:$C$958,C828)</f>
        <v>0</v>
      </c>
    </row>
    <row r="829" spans="1:5" x14ac:dyDescent="0.25">
      <c r="A829" t="s">
        <v>274</v>
      </c>
      <c r="B829" s="5">
        <v>33722</v>
      </c>
      <c r="C829" s="5" t="str">
        <f t="shared" si="12"/>
        <v>VRVER165.07_33722</v>
      </c>
      <c r="D829" t="s">
        <v>2277</v>
      </c>
      <c r="E829">
        <f>COUNTIF(data.SampSummary!$C$2:$C$958,C829)</f>
        <v>1</v>
      </c>
    </row>
    <row r="830" spans="1:5" x14ac:dyDescent="0.25">
      <c r="A830" t="s">
        <v>49</v>
      </c>
      <c r="B830" s="5">
        <v>34129</v>
      </c>
      <c r="C830" s="5" t="str">
        <f t="shared" si="12"/>
        <v>VRWCL036.37_34129</v>
      </c>
      <c r="D830" t="s">
        <v>2278</v>
      </c>
      <c r="E830">
        <f>COUNTIF(data.SampSummary!$C$2:$C$958,C830)</f>
        <v>1</v>
      </c>
    </row>
    <row r="831" spans="1:5" x14ac:dyDescent="0.25">
      <c r="A831" t="s">
        <v>1817</v>
      </c>
      <c r="B831" s="5">
        <v>35017</v>
      </c>
      <c r="C831" s="5" t="str">
        <f t="shared" si="12"/>
        <v>MGCVE037.68_35017</v>
      </c>
      <c r="D831" t="s">
        <v>2279</v>
      </c>
      <c r="E831">
        <f>COUNTIF(data.SampSummary!$C$2:$C$958,C831)</f>
        <v>0</v>
      </c>
    </row>
    <row r="832" spans="1:5" x14ac:dyDescent="0.25">
      <c r="A832" t="s">
        <v>43</v>
      </c>
      <c r="B832" s="5">
        <v>34485</v>
      </c>
      <c r="C832" s="5" t="str">
        <f t="shared" si="12"/>
        <v>SRCYN045.73_34485</v>
      </c>
      <c r="D832" t="s">
        <v>2280</v>
      </c>
      <c r="E832">
        <f>COUNTIF(data.SampSummary!$C$2:$C$958,C832)</f>
        <v>1</v>
      </c>
    </row>
    <row r="833" spans="1:5" x14ac:dyDescent="0.25">
      <c r="A833" t="s">
        <v>40</v>
      </c>
      <c r="B833" s="5">
        <v>34128</v>
      </c>
      <c r="C833" s="5" t="str">
        <f t="shared" si="12"/>
        <v>VRWEB009.13_34128</v>
      </c>
      <c r="D833" t="s">
        <v>2281</v>
      </c>
      <c r="E833">
        <f>COUNTIF(data.SampSummary!$C$2:$C$958,C833)</f>
        <v>1</v>
      </c>
    </row>
    <row r="834" spans="1:5" x14ac:dyDescent="0.25">
      <c r="A834" t="s">
        <v>310</v>
      </c>
      <c r="B834" s="5">
        <v>34492</v>
      </c>
      <c r="C834" s="5" t="str">
        <f t="shared" si="12"/>
        <v>CGBDW000.10_34492</v>
      </c>
      <c r="D834" t="s">
        <v>2282</v>
      </c>
      <c r="E834">
        <f>COUNTIF(data.SampSummary!$C$2:$C$958,C834)</f>
        <v>1</v>
      </c>
    </row>
    <row r="835" spans="1:5" x14ac:dyDescent="0.25">
      <c r="A835" t="s">
        <v>349</v>
      </c>
      <c r="B835" s="5">
        <v>34806</v>
      </c>
      <c r="C835" s="5" t="str">
        <f t="shared" ref="C835:C898" si="13">A835&amp;"_"&amp;B835</f>
        <v>VRHOU003.48_34806</v>
      </c>
      <c r="D835" t="s">
        <v>2283</v>
      </c>
      <c r="E835">
        <f>COUNTIF(data.SampSummary!$C$2:$C$958,C835)</f>
        <v>1</v>
      </c>
    </row>
    <row r="836" spans="1:5" x14ac:dyDescent="0.25">
      <c r="A836" t="s">
        <v>38</v>
      </c>
      <c r="B836" s="5">
        <v>34122</v>
      </c>
      <c r="C836" s="5" t="str">
        <f t="shared" si="13"/>
        <v>UGBLR046.35_34122</v>
      </c>
      <c r="D836" t="s">
        <v>2284</v>
      </c>
      <c r="E836">
        <f>COUNTIF(data.SampSummary!$C$2:$C$958,C836)</f>
        <v>1</v>
      </c>
    </row>
    <row r="837" spans="1:5" x14ac:dyDescent="0.25">
      <c r="A837" t="s">
        <v>126</v>
      </c>
      <c r="B837" s="5">
        <v>34997</v>
      </c>
      <c r="C837" s="5" t="str">
        <f t="shared" si="13"/>
        <v>VRELL000.18_34997</v>
      </c>
      <c r="D837" t="s">
        <v>2285</v>
      </c>
      <c r="E837">
        <f>COUNTIF(data.SampSummary!$C$2:$C$958,C837)</f>
        <v>0</v>
      </c>
    </row>
    <row r="838" spans="1:5" x14ac:dyDescent="0.25">
      <c r="A838" t="s">
        <v>227</v>
      </c>
      <c r="B838" s="5">
        <v>34094</v>
      </c>
      <c r="C838" s="5" t="str">
        <f t="shared" si="13"/>
        <v>SRSAL019.52_34094</v>
      </c>
      <c r="D838" t="s">
        <v>2286</v>
      </c>
      <c r="E838">
        <f>COUNTIF(data.SampSummary!$C$2:$C$958,C838)</f>
        <v>1</v>
      </c>
    </row>
    <row r="839" spans="1:5" x14ac:dyDescent="0.25">
      <c r="A839" t="s">
        <v>82</v>
      </c>
      <c r="B839" s="5">
        <v>33793</v>
      </c>
      <c r="C839" s="5" t="str">
        <f t="shared" si="13"/>
        <v>LCLCR352.57_33793</v>
      </c>
      <c r="D839" t="s">
        <v>2287</v>
      </c>
      <c r="E839">
        <f>COUNTIF(data.SampSummary!$C$2:$C$958,C839)</f>
        <v>1</v>
      </c>
    </row>
    <row r="840" spans="1:5" x14ac:dyDescent="0.25">
      <c r="A840" t="s">
        <v>277</v>
      </c>
      <c r="B840" s="5">
        <v>34525</v>
      </c>
      <c r="C840" s="5" t="str">
        <f t="shared" si="13"/>
        <v>CGTHS000.04_34525</v>
      </c>
      <c r="D840" t="s">
        <v>2288</v>
      </c>
      <c r="E840">
        <f>COUNTIF(data.SampSummary!$C$2:$C$958,C840)</f>
        <v>1</v>
      </c>
    </row>
    <row r="841" spans="1:5" x14ac:dyDescent="0.25">
      <c r="A841" t="s">
        <v>236</v>
      </c>
      <c r="B841" s="5">
        <v>34519</v>
      </c>
      <c r="C841" s="5" t="str">
        <f t="shared" si="13"/>
        <v>CGBRA000.44_34519</v>
      </c>
      <c r="D841" t="s">
        <v>2289</v>
      </c>
      <c r="E841">
        <f>COUNTIF(data.SampSummary!$C$2:$C$958,C841)</f>
        <v>1</v>
      </c>
    </row>
    <row r="842" spans="1:5" x14ac:dyDescent="0.25">
      <c r="A842" t="s">
        <v>2290</v>
      </c>
      <c r="B842" s="5">
        <v>34060</v>
      </c>
      <c r="C842" s="5" t="str">
        <f t="shared" si="13"/>
        <v>SPGCW005.27_34060</v>
      </c>
      <c r="D842" t="s">
        <v>2291</v>
      </c>
      <c r="E842">
        <f>COUNTIF(data.SampSummary!$C$2:$C$958,C842)</f>
        <v>0</v>
      </c>
    </row>
    <row r="843" spans="1:5" x14ac:dyDescent="0.25">
      <c r="A843" t="s">
        <v>86</v>
      </c>
      <c r="B843" s="5">
        <v>34499</v>
      </c>
      <c r="C843" s="5" t="str">
        <f t="shared" si="13"/>
        <v>SRWFB005.34_34499</v>
      </c>
      <c r="D843" t="s">
        <v>2292</v>
      </c>
      <c r="E843">
        <f>COUNTIF(data.SampSummary!$C$2:$C$958,C843)</f>
        <v>1</v>
      </c>
    </row>
    <row r="844" spans="1:5" x14ac:dyDescent="0.25">
      <c r="A844" t="s">
        <v>226</v>
      </c>
      <c r="B844" s="5">
        <v>33745</v>
      </c>
      <c r="C844" s="5" t="str">
        <f t="shared" si="13"/>
        <v>MGSYD009.13_33745</v>
      </c>
      <c r="D844" t="s">
        <v>2293</v>
      </c>
      <c r="E844">
        <f>COUNTIF(data.SampSummary!$C$2:$C$958,C844)</f>
        <v>1</v>
      </c>
    </row>
    <row r="845" spans="1:5" x14ac:dyDescent="0.25">
      <c r="A845" t="s">
        <v>276</v>
      </c>
      <c r="B845" s="5">
        <v>34836</v>
      </c>
      <c r="C845" s="5" t="str">
        <f t="shared" si="13"/>
        <v>VROAK038.61_34836</v>
      </c>
      <c r="D845" t="s">
        <v>2294</v>
      </c>
      <c r="E845">
        <f>COUNTIF(data.SampSummary!$C$2:$C$958,C845)</f>
        <v>1</v>
      </c>
    </row>
    <row r="846" spans="1:5" x14ac:dyDescent="0.25">
      <c r="A846" t="s">
        <v>361</v>
      </c>
      <c r="B846" s="5">
        <v>34990</v>
      </c>
      <c r="C846" s="5" t="str">
        <f t="shared" si="13"/>
        <v>VRBIT003.93_34990</v>
      </c>
      <c r="D846" t="s">
        <v>2295</v>
      </c>
      <c r="E846">
        <f>COUNTIF(data.SampSummary!$C$2:$C$958,C846)</f>
        <v>0</v>
      </c>
    </row>
    <row r="847" spans="1:5" x14ac:dyDescent="0.25">
      <c r="A847" t="s">
        <v>132</v>
      </c>
      <c r="B847" s="5">
        <v>34982</v>
      </c>
      <c r="C847" s="5" t="str">
        <f t="shared" si="13"/>
        <v>VRWAL018.97_34982</v>
      </c>
      <c r="D847" t="s">
        <v>2296</v>
      </c>
      <c r="E847">
        <f>COUNTIF(data.SampSummary!$C$2:$C$958,C847)</f>
        <v>0</v>
      </c>
    </row>
    <row r="848" spans="1:5" x14ac:dyDescent="0.25">
      <c r="A848" t="s">
        <v>63</v>
      </c>
      <c r="B848" s="5">
        <v>34121</v>
      </c>
      <c r="C848" s="5" t="str">
        <f t="shared" si="13"/>
        <v>LCRUD007.23_34121</v>
      </c>
      <c r="D848" t="s">
        <v>2297</v>
      </c>
      <c r="E848">
        <f>COUNTIF(data.SampSummary!$C$2:$C$958,C848)</f>
        <v>1</v>
      </c>
    </row>
    <row r="849" spans="1:5" x14ac:dyDescent="0.25">
      <c r="A849" t="s">
        <v>193</v>
      </c>
      <c r="B849" s="5">
        <v>34100</v>
      </c>
      <c r="C849" s="5" t="str">
        <f t="shared" si="13"/>
        <v>VRSYW001.72_34100</v>
      </c>
      <c r="D849" t="s">
        <v>2298</v>
      </c>
      <c r="E849">
        <f>COUNTIF(data.SampSummary!$C$2:$C$958,C849)</f>
        <v>1</v>
      </c>
    </row>
    <row r="850" spans="1:5" x14ac:dyDescent="0.25">
      <c r="A850" t="s">
        <v>105</v>
      </c>
      <c r="B850" s="5">
        <v>34506</v>
      </c>
      <c r="C850" s="5" t="str">
        <f t="shared" si="13"/>
        <v>UGGRA000.82_34506</v>
      </c>
      <c r="D850" t="s">
        <v>2299</v>
      </c>
      <c r="E850">
        <f>COUNTIF(data.SampSummary!$C$2:$C$958,C850)</f>
        <v>1</v>
      </c>
    </row>
    <row r="851" spans="1:5" x14ac:dyDescent="0.25">
      <c r="A851" t="s">
        <v>331</v>
      </c>
      <c r="B851" s="5">
        <v>33707</v>
      </c>
      <c r="C851" s="5" t="str">
        <f t="shared" si="13"/>
        <v>SRTON032.62_33707</v>
      </c>
      <c r="D851" t="s">
        <v>2300</v>
      </c>
      <c r="E851">
        <f>COUNTIF(data.SampSummary!$C$2:$C$958,C851)</f>
        <v>1</v>
      </c>
    </row>
    <row r="852" spans="1:5" x14ac:dyDescent="0.25">
      <c r="A852" t="s">
        <v>290</v>
      </c>
      <c r="B852" s="5">
        <v>34059</v>
      </c>
      <c r="C852" s="5" t="str">
        <f t="shared" si="13"/>
        <v>SPHSC010.67_34059</v>
      </c>
      <c r="D852" t="s">
        <v>2301</v>
      </c>
      <c r="E852">
        <f>COUNTIF(data.SampSummary!$C$2:$C$958,C852)</f>
        <v>1</v>
      </c>
    </row>
    <row r="853" spans="1:5" x14ac:dyDescent="0.25">
      <c r="A853" t="s">
        <v>58</v>
      </c>
      <c r="B853" s="5">
        <v>33793</v>
      </c>
      <c r="C853" s="5" t="str">
        <f t="shared" si="13"/>
        <v>LCLCR350.32_33793</v>
      </c>
      <c r="D853" t="s">
        <v>2302</v>
      </c>
      <c r="E853">
        <f>COUNTIF(data.SampSummary!$C$2:$C$958,C853)</f>
        <v>1</v>
      </c>
    </row>
    <row r="854" spans="1:5" x14ac:dyDescent="0.25">
      <c r="A854" t="s">
        <v>226</v>
      </c>
      <c r="B854" s="5">
        <v>34088</v>
      </c>
      <c r="C854" s="5" t="str">
        <f t="shared" si="13"/>
        <v>MGSYD009.13_34088</v>
      </c>
      <c r="D854" t="s">
        <v>2303</v>
      </c>
      <c r="E854">
        <f>COUNTIF(data.SampSummary!$C$2:$C$958,C854)</f>
        <v>1</v>
      </c>
    </row>
    <row r="855" spans="1:5" x14ac:dyDescent="0.25">
      <c r="A855" t="s">
        <v>189</v>
      </c>
      <c r="B855" s="5">
        <v>34086</v>
      </c>
      <c r="C855" s="5" t="str">
        <f t="shared" si="13"/>
        <v>MGANT013.35_34086</v>
      </c>
      <c r="D855" t="s">
        <v>2304</v>
      </c>
      <c r="E855">
        <f>COUNTIF(data.SampSummary!$C$2:$C$958,C855)</f>
        <v>1</v>
      </c>
    </row>
    <row r="856" spans="1:5" x14ac:dyDescent="0.25">
      <c r="A856" t="s">
        <v>195</v>
      </c>
      <c r="B856" s="5">
        <v>34990</v>
      </c>
      <c r="C856" s="5" t="str">
        <f t="shared" si="13"/>
        <v>VRWCL005.10_34990</v>
      </c>
      <c r="D856" t="s">
        <v>2305</v>
      </c>
      <c r="E856">
        <f>COUNTIF(data.SampSummary!$C$2:$C$958,C856)</f>
        <v>0</v>
      </c>
    </row>
    <row r="857" spans="1:5" x14ac:dyDescent="0.25">
      <c r="A857" t="s">
        <v>205</v>
      </c>
      <c r="B857" s="5">
        <v>33770</v>
      </c>
      <c r="C857" s="5" t="str">
        <f t="shared" si="13"/>
        <v>CGRYA000.05_33770</v>
      </c>
      <c r="D857" t="s">
        <v>2306</v>
      </c>
      <c r="E857">
        <f>COUNTIF(data.SampSummary!$C$2:$C$958,C857)</f>
        <v>1</v>
      </c>
    </row>
    <row r="858" spans="1:5" x14ac:dyDescent="0.25">
      <c r="A858" t="s">
        <v>252</v>
      </c>
      <c r="B858" s="5">
        <v>34487</v>
      </c>
      <c r="C858" s="5" t="str">
        <f t="shared" si="13"/>
        <v>SRCHE033.95_34487</v>
      </c>
      <c r="D858" t="s">
        <v>2307</v>
      </c>
      <c r="E858">
        <f>COUNTIF(data.SampSummary!$C$2:$C$958,C858)</f>
        <v>1</v>
      </c>
    </row>
    <row r="859" spans="1:5" x14ac:dyDescent="0.25">
      <c r="A859" t="s">
        <v>271</v>
      </c>
      <c r="B859" s="5">
        <v>34470</v>
      </c>
      <c r="C859" s="5" t="str">
        <f t="shared" si="13"/>
        <v>VRWCL011.16_34470</v>
      </c>
      <c r="D859" t="s">
        <v>2308</v>
      </c>
      <c r="E859">
        <f>COUNTIF(data.SampSummary!$C$2:$C$958,C859)</f>
        <v>1</v>
      </c>
    </row>
    <row r="860" spans="1:5" x14ac:dyDescent="0.25">
      <c r="A860" t="s">
        <v>90</v>
      </c>
      <c r="B860" s="5">
        <v>33759</v>
      </c>
      <c r="C860" s="5" t="str">
        <f t="shared" si="13"/>
        <v>LCPAD001.30_33759</v>
      </c>
      <c r="D860" t="s">
        <v>2309</v>
      </c>
      <c r="E860">
        <f>COUNTIF(data.SampSummary!$C$2:$C$958,C860)</f>
        <v>1</v>
      </c>
    </row>
    <row r="861" spans="1:5" x14ac:dyDescent="0.25">
      <c r="A861" t="s">
        <v>191</v>
      </c>
      <c r="B861" s="5">
        <v>35005</v>
      </c>
      <c r="C861" s="5" t="str">
        <f t="shared" si="13"/>
        <v>VRLIM001.14_35005</v>
      </c>
      <c r="D861" t="s">
        <v>2310</v>
      </c>
      <c r="E861">
        <f>COUNTIF(data.SampSummary!$C$2:$C$958,C861)</f>
        <v>0</v>
      </c>
    </row>
    <row r="862" spans="1:5" x14ac:dyDescent="0.25">
      <c r="A862" t="s">
        <v>386</v>
      </c>
      <c r="B862" s="5">
        <v>35185</v>
      </c>
      <c r="C862" s="5" t="str">
        <f t="shared" si="13"/>
        <v>SPPAI008.89_35185</v>
      </c>
      <c r="D862" t="s">
        <v>2311</v>
      </c>
      <c r="E862">
        <f>COUNTIF(data.SampSummary!$C$2:$C$958,C862)</f>
        <v>1</v>
      </c>
    </row>
    <row r="863" spans="1:5" x14ac:dyDescent="0.25">
      <c r="A863" t="s">
        <v>27</v>
      </c>
      <c r="B863" s="5">
        <v>34834</v>
      </c>
      <c r="C863" s="5" t="str">
        <f t="shared" si="13"/>
        <v>VROAK047.96_34834</v>
      </c>
      <c r="D863" t="s">
        <v>2312</v>
      </c>
      <c r="E863">
        <f>COUNTIF(data.SampSummary!$C$2:$C$958,C863)</f>
        <v>1</v>
      </c>
    </row>
    <row r="864" spans="1:5" x14ac:dyDescent="0.25">
      <c r="A864" t="s">
        <v>159</v>
      </c>
      <c r="B864" s="5">
        <v>34492</v>
      </c>
      <c r="C864" s="5" t="str">
        <f t="shared" si="13"/>
        <v>LCECL017.75_34492</v>
      </c>
      <c r="D864" t="s">
        <v>2313</v>
      </c>
      <c r="E864">
        <f>COUNTIF(data.SampSummary!$C$2:$C$958,C864)</f>
        <v>1</v>
      </c>
    </row>
    <row r="865" spans="1:5" x14ac:dyDescent="0.25">
      <c r="A865" t="s">
        <v>336</v>
      </c>
      <c r="B865" s="5">
        <v>34114</v>
      </c>
      <c r="C865" s="5" t="str">
        <f t="shared" si="13"/>
        <v>SRTON046.90_34114</v>
      </c>
      <c r="D865" t="s">
        <v>2314</v>
      </c>
      <c r="E865">
        <f>COUNTIF(data.SampSummary!$C$2:$C$958,C865)</f>
        <v>1</v>
      </c>
    </row>
    <row r="866" spans="1:5" x14ac:dyDescent="0.25">
      <c r="A866" t="s">
        <v>222</v>
      </c>
      <c r="B866" s="5">
        <v>34095</v>
      </c>
      <c r="C866" s="5" t="str">
        <f t="shared" si="13"/>
        <v>SRCHE013.65_34095</v>
      </c>
      <c r="D866" t="s">
        <v>2315</v>
      </c>
      <c r="E866">
        <f>COUNTIF(data.SampSummary!$C$2:$C$958,C866)</f>
        <v>1</v>
      </c>
    </row>
    <row r="867" spans="1:5" x14ac:dyDescent="0.25">
      <c r="A867" t="s">
        <v>42</v>
      </c>
      <c r="B867" s="5">
        <v>34122</v>
      </c>
      <c r="C867" s="5" t="str">
        <f t="shared" si="13"/>
        <v>UGLAN000.60_34122</v>
      </c>
      <c r="D867" t="s">
        <v>2316</v>
      </c>
      <c r="E867">
        <f>COUNTIF(data.SampSummary!$C$2:$C$958,C867)</f>
        <v>1</v>
      </c>
    </row>
    <row r="868" spans="1:5" x14ac:dyDescent="0.25">
      <c r="A868" t="s">
        <v>267</v>
      </c>
      <c r="B868" s="5">
        <v>34243</v>
      </c>
      <c r="C868" s="5" t="str">
        <f t="shared" si="13"/>
        <v>VRSYH000.25_34243</v>
      </c>
      <c r="D868" t="s">
        <v>2317</v>
      </c>
      <c r="E868">
        <f>COUNTIF(data.SampSummary!$C$2:$C$958,C868)</f>
        <v>0</v>
      </c>
    </row>
    <row r="869" spans="1:5" x14ac:dyDescent="0.25">
      <c r="A869" t="s">
        <v>2318</v>
      </c>
      <c r="B869" s="5">
        <v>33709</v>
      </c>
      <c r="C869" s="5" t="str">
        <f t="shared" si="13"/>
        <v>SCCAV005.54_33709</v>
      </c>
      <c r="D869" t="s">
        <v>2319</v>
      </c>
      <c r="E869">
        <f>COUNTIF(data.SampSummary!$C$2:$C$958,C869)</f>
        <v>0</v>
      </c>
    </row>
    <row r="870" spans="1:5" x14ac:dyDescent="0.25">
      <c r="A870" t="s">
        <v>227</v>
      </c>
      <c r="B870" s="5">
        <v>34465</v>
      </c>
      <c r="C870" s="5" t="str">
        <f t="shared" si="13"/>
        <v>SRSAL019.52_34465</v>
      </c>
      <c r="D870" t="s">
        <v>2320</v>
      </c>
      <c r="E870">
        <f>COUNTIF(data.SampSummary!$C$2:$C$958,C870)</f>
        <v>1</v>
      </c>
    </row>
    <row r="871" spans="1:5" x14ac:dyDescent="0.25">
      <c r="A871" t="s">
        <v>2068</v>
      </c>
      <c r="B871" s="5">
        <v>33718</v>
      </c>
      <c r="C871" s="5" t="str">
        <f t="shared" si="13"/>
        <v>SCSAB009.77_33718</v>
      </c>
      <c r="D871" t="s">
        <v>2321</v>
      </c>
      <c r="E871">
        <f>COUNTIF(data.SampSummary!$C$2:$C$958,C871)</f>
        <v>0</v>
      </c>
    </row>
    <row r="872" spans="1:5" x14ac:dyDescent="0.25">
      <c r="A872" t="s">
        <v>347</v>
      </c>
      <c r="B872" s="5">
        <v>35191</v>
      </c>
      <c r="C872" s="5" t="str">
        <f t="shared" si="13"/>
        <v>SRCGN009.78_35191</v>
      </c>
      <c r="D872" t="s">
        <v>2322</v>
      </c>
      <c r="E872">
        <f>COUNTIF(data.SampSummary!$C$2:$C$958,C872)</f>
        <v>1</v>
      </c>
    </row>
    <row r="873" spans="1:5" x14ac:dyDescent="0.25">
      <c r="A873" t="s">
        <v>209</v>
      </c>
      <c r="B873" s="5">
        <v>33886</v>
      </c>
      <c r="C873" s="5" t="str">
        <f t="shared" si="13"/>
        <v>VRSYM016.44_33886</v>
      </c>
      <c r="D873" t="s">
        <v>2323</v>
      </c>
      <c r="E873">
        <f>COUNTIF(data.SampSummary!$C$2:$C$958,C873)</f>
        <v>0</v>
      </c>
    </row>
    <row r="874" spans="1:5" x14ac:dyDescent="0.25">
      <c r="A874" t="s">
        <v>47</v>
      </c>
      <c r="B874" s="5">
        <v>33702</v>
      </c>
      <c r="C874" s="5" t="str">
        <f t="shared" si="13"/>
        <v>SPWRC000.48_33702</v>
      </c>
      <c r="D874" t="s">
        <v>2324</v>
      </c>
      <c r="E874">
        <f>COUNTIF(data.SampSummary!$C$2:$C$958,C874)</f>
        <v>1</v>
      </c>
    </row>
    <row r="875" spans="1:5" x14ac:dyDescent="0.25">
      <c r="A875" t="s">
        <v>1543</v>
      </c>
      <c r="B875" s="5">
        <v>34065</v>
      </c>
      <c r="C875" s="5" t="str">
        <f t="shared" si="13"/>
        <v>UGSCV002.80_34065</v>
      </c>
      <c r="D875" t="s">
        <v>2325</v>
      </c>
      <c r="E875">
        <f>COUNTIF(data.SampSummary!$C$2:$C$958,C875)</f>
        <v>0</v>
      </c>
    </row>
    <row r="876" spans="1:5" x14ac:dyDescent="0.25">
      <c r="A876" t="s">
        <v>175</v>
      </c>
      <c r="B876" s="5">
        <v>34130</v>
      </c>
      <c r="C876" s="5" t="str">
        <f t="shared" si="13"/>
        <v>LCCHC077.84_34130</v>
      </c>
      <c r="D876" t="s">
        <v>2326</v>
      </c>
      <c r="E876">
        <f>COUNTIF(data.SampSummary!$C$2:$C$958,C876)</f>
        <v>1</v>
      </c>
    </row>
    <row r="877" spans="1:5" x14ac:dyDescent="0.25">
      <c r="A877" t="s">
        <v>63</v>
      </c>
      <c r="B877" s="5">
        <v>35207</v>
      </c>
      <c r="C877" s="5" t="str">
        <f t="shared" si="13"/>
        <v>LCRUD007.23_35207</v>
      </c>
      <c r="D877" t="s">
        <v>2327</v>
      </c>
      <c r="E877">
        <f>COUNTIF(data.SampSummary!$C$2:$C$958,C877)</f>
        <v>1</v>
      </c>
    </row>
    <row r="878" spans="1:5" x14ac:dyDescent="0.25">
      <c r="A878" t="s">
        <v>293</v>
      </c>
      <c r="B878" s="5">
        <v>34234</v>
      </c>
      <c r="C878" s="5" t="str">
        <f t="shared" si="13"/>
        <v>VREVR031.25_34234</v>
      </c>
      <c r="D878" t="s">
        <v>2328</v>
      </c>
      <c r="E878">
        <f>COUNTIF(data.SampSummary!$C$2:$C$958,C878)</f>
        <v>0</v>
      </c>
    </row>
    <row r="879" spans="1:5" x14ac:dyDescent="0.25">
      <c r="A879" t="s">
        <v>2329</v>
      </c>
      <c r="B879" s="5">
        <v>34989</v>
      </c>
      <c r="C879" s="5" t="str">
        <f t="shared" si="13"/>
        <v>SRCRS006.19_34989</v>
      </c>
      <c r="D879" t="s">
        <v>2330</v>
      </c>
      <c r="E879">
        <f>COUNTIF(data.SampSummary!$C$2:$C$958,C879)</f>
        <v>0</v>
      </c>
    </row>
    <row r="880" spans="1:5" x14ac:dyDescent="0.25">
      <c r="A880" t="s">
        <v>72</v>
      </c>
      <c r="B880" s="5">
        <v>34138</v>
      </c>
      <c r="C880" s="5" t="str">
        <f t="shared" si="13"/>
        <v>SRNBE000.86_34138</v>
      </c>
      <c r="D880" t="s">
        <v>2331</v>
      </c>
      <c r="E880">
        <f>COUNTIF(data.SampSummary!$C$2:$C$958,C880)</f>
        <v>1</v>
      </c>
    </row>
    <row r="881" spans="1:5" x14ac:dyDescent="0.25">
      <c r="A881" t="s">
        <v>82</v>
      </c>
      <c r="B881" s="5">
        <v>34501</v>
      </c>
      <c r="C881" s="5" t="str">
        <f t="shared" si="13"/>
        <v>LCLCR352.57_34501</v>
      </c>
      <c r="D881" t="s">
        <v>2332</v>
      </c>
      <c r="E881">
        <f>COUNTIF(data.SampSummary!$C$2:$C$958,C881)</f>
        <v>1</v>
      </c>
    </row>
    <row r="882" spans="1:5" x14ac:dyDescent="0.25">
      <c r="A882" t="s">
        <v>2333</v>
      </c>
      <c r="B882" s="5">
        <v>34235</v>
      </c>
      <c r="C882" s="5" t="str">
        <f t="shared" si="13"/>
        <v>VRBEV005.74_34235</v>
      </c>
      <c r="D882" t="s">
        <v>2334</v>
      </c>
      <c r="E882">
        <f>COUNTIF(data.SampSummary!$C$2:$C$958,C882)</f>
        <v>0</v>
      </c>
    </row>
    <row r="883" spans="1:5" x14ac:dyDescent="0.25">
      <c r="A883" t="s">
        <v>160</v>
      </c>
      <c r="B883" s="5">
        <v>34153</v>
      </c>
      <c r="C883" s="5" t="str">
        <f t="shared" si="13"/>
        <v>CGTAP000.08_34153</v>
      </c>
      <c r="D883" t="s">
        <v>2335</v>
      </c>
      <c r="E883">
        <f>COUNTIF(data.SampSummary!$C$2:$C$958,C883)</f>
        <v>1</v>
      </c>
    </row>
    <row r="884" spans="1:5" x14ac:dyDescent="0.25">
      <c r="A884" t="s">
        <v>219</v>
      </c>
      <c r="B884" s="5">
        <v>34491</v>
      </c>
      <c r="C884" s="5" t="str">
        <f t="shared" si="13"/>
        <v>CGVGR052.23_34491</v>
      </c>
      <c r="D884" t="s">
        <v>2336</v>
      </c>
      <c r="E884">
        <f>COUNTIF(data.SampSummary!$C$2:$C$958,C884)</f>
        <v>1</v>
      </c>
    </row>
    <row r="885" spans="1:5" x14ac:dyDescent="0.25">
      <c r="A885" t="s">
        <v>26</v>
      </c>
      <c r="B885" s="5">
        <v>34842</v>
      </c>
      <c r="C885" s="5" t="str">
        <f t="shared" si="13"/>
        <v>VRPIE016.49_34842</v>
      </c>
      <c r="D885" t="s">
        <v>2337</v>
      </c>
      <c r="E885">
        <f>COUNTIF(data.SampSummary!$C$2:$C$958,C885)</f>
        <v>1</v>
      </c>
    </row>
    <row r="886" spans="1:5" x14ac:dyDescent="0.25">
      <c r="A886" t="s">
        <v>358</v>
      </c>
      <c r="B886" s="5">
        <v>34485</v>
      </c>
      <c r="C886" s="5" t="str">
        <f t="shared" si="13"/>
        <v>SRSPI011.63_34485</v>
      </c>
      <c r="D886" t="s">
        <v>2338</v>
      </c>
      <c r="E886">
        <f>COUNTIF(data.SampSummary!$C$2:$C$958,C886)</f>
        <v>1</v>
      </c>
    </row>
    <row r="887" spans="1:5" x14ac:dyDescent="0.25">
      <c r="A887" t="s">
        <v>27</v>
      </c>
      <c r="B887" s="5">
        <v>33737</v>
      </c>
      <c r="C887" s="5" t="str">
        <f t="shared" si="13"/>
        <v>VROAK047.96_33737</v>
      </c>
      <c r="D887" t="s">
        <v>2339</v>
      </c>
      <c r="E887">
        <f>COUNTIF(data.SampSummary!$C$2:$C$958,C887)</f>
        <v>0</v>
      </c>
    </row>
    <row r="888" spans="1:5" x14ac:dyDescent="0.25">
      <c r="A888" t="s">
        <v>33</v>
      </c>
      <c r="B888" s="5">
        <v>33758</v>
      </c>
      <c r="C888" s="5" t="str">
        <f t="shared" si="13"/>
        <v>LCMIN018.05_33758</v>
      </c>
      <c r="D888" t="s">
        <v>2340</v>
      </c>
      <c r="E888">
        <f>COUNTIF(data.SampSummary!$C$2:$C$958,C888)</f>
        <v>1</v>
      </c>
    </row>
    <row r="889" spans="1:5" x14ac:dyDescent="0.25">
      <c r="A889" t="s">
        <v>1398</v>
      </c>
      <c r="B889" s="5">
        <v>34155</v>
      </c>
      <c r="C889" s="5" t="str">
        <f t="shared" si="13"/>
        <v>CGNAT000.48_34155</v>
      </c>
      <c r="D889" t="s">
        <v>2341</v>
      </c>
      <c r="E889">
        <f>COUNTIF(data.SampSummary!$C$2:$C$958,C889)</f>
        <v>0</v>
      </c>
    </row>
    <row r="890" spans="1:5" x14ac:dyDescent="0.25">
      <c r="A890" t="s">
        <v>191</v>
      </c>
      <c r="B890" s="5">
        <v>34809</v>
      </c>
      <c r="C890" s="5" t="str">
        <f t="shared" si="13"/>
        <v>VRLIM001.14_34809</v>
      </c>
      <c r="D890" t="s">
        <v>2342</v>
      </c>
      <c r="E890">
        <f>COUNTIF(data.SampSummary!$C$2:$C$958,C890)</f>
        <v>1</v>
      </c>
    </row>
    <row r="891" spans="1:5" x14ac:dyDescent="0.25">
      <c r="A891" t="s">
        <v>195</v>
      </c>
      <c r="B891" s="5">
        <v>34841</v>
      </c>
      <c r="C891" s="5" t="str">
        <f t="shared" si="13"/>
        <v>VRWCL005.10_34841</v>
      </c>
      <c r="D891" t="s">
        <v>2343</v>
      </c>
      <c r="E891">
        <f>COUNTIF(data.SampSummary!$C$2:$C$958,C891)</f>
        <v>1</v>
      </c>
    </row>
    <row r="892" spans="1:5" x14ac:dyDescent="0.25">
      <c r="A892" t="s">
        <v>340</v>
      </c>
      <c r="B892" s="5">
        <v>34078</v>
      </c>
      <c r="C892" s="5" t="str">
        <f t="shared" si="13"/>
        <v>BWSMR029.44_34078</v>
      </c>
      <c r="D892" t="s">
        <v>2344</v>
      </c>
      <c r="E892">
        <f>COUNTIF(data.SampSummary!$C$2:$C$958,C892)</f>
        <v>1</v>
      </c>
    </row>
    <row r="893" spans="1:5" x14ac:dyDescent="0.25">
      <c r="A893" t="s">
        <v>245</v>
      </c>
      <c r="B893" s="5">
        <v>34113</v>
      </c>
      <c r="C893" s="5" t="str">
        <f t="shared" si="13"/>
        <v>SRHAG007.47_34113</v>
      </c>
      <c r="D893" t="s">
        <v>2345</v>
      </c>
      <c r="E893">
        <f>COUNTIF(data.SampSummary!$C$2:$C$958,C893)</f>
        <v>1</v>
      </c>
    </row>
    <row r="894" spans="1:5" x14ac:dyDescent="0.25">
      <c r="A894" t="s">
        <v>283</v>
      </c>
      <c r="B894" s="5">
        <v>34456</v>
      </c>
      <c r="C894" s="5" t="str">
        <f t="shared" si="13"/>
        <v>MGHSR082.11_34456</v>
      </c>
      <c r="D894" t="s">
        <v>2346</v>
      </c>
      <c r="E894">
        <f>COUNTIF(data.SampSummary!$C$2:$C$958,C894)</f>
        <v>1</v>
      </c>
    </row>
    <row r="895" spans="1:5" x14ac:dyDescent="0.25">
      <c r="A895" t="s">
        <v>300</v>
      </c>
      <c r="B895" s="5">
        <v>34449</v>
      </c>
      <c r="C895" s="5" t="str">
        <f t="shared" si="13"/>
        <v>BWTRT011.97_34449</v>
      </c>
      <c r="D895" t="s">
        <v>2347</v>
      </c>
      <c r="E895">
        <f>COUNTIF(data.SampSummary!$C$2:$C$958,C895)</f>
        <v>1</v>
      </c>
    </row>
    <row r="896" spans="1:5" x14ac:dyDescent="0.25">
      <c r="A896" t="s">
        <v>2348</v>
      </c>
      <c r="B896" s="5">
        <v>33733</v>
      </c>
      <c r="C896" s="5" t="str">
        <f t="shared" si="13"/>
        <v>MGPOL002.72_33733</v>
      </c>
      <c r="D896" t="s">
        <v>2349</v>
      </c>
      <c r="E896">
        <f>COUNTIF(data.SampSummary!$C$2:$C$958,C896)</f>
        <v>0</v>
      </c>
    </row>
    <row r="897" spans="1:5" x14ac:dyDescent="0.25">
      <c r="A897" t="s">
        <v>2241</v>
      </c>
      <c r="B897" s="5">
        <v>35191</v>
      </c>
      <c r="C897" s="5" t="str">
        <f t="shared" si="13"/>
        <v>SRD4E005.86_35191</v>
      </c>
      <c r="D897" t="s">
        <v>2350</v>
      </c>
      <c r="E897">
        <f>COUNTIF(data.SampSummary!$C$2:$C$958,C897)</f>
        <v>0</v>
      </c>
    </row>
    <row r="898" spans="1:5" x14ac:dyDescent="0.25">
      <c r="A898" t="s">
        <v>277</v>
      </c>
      <c r="B898" s="5">
        <v>34156</v>
      </c>
      <c r="C898" s="5" t="str">
        <f t="shared" si="13"/>
        <v>CGTHS000.04_34156</v>
      </c>
      <c r="D898" t="s">
        <v>2351</v>
      </c>
      <c r="E898">
        <f>COUNTIF(data.SampSummary!$C$2:$C$958,C898)</f>
        <v>1</v>
      </c>
    </row>
    <row r="899" spans="1:5" x14ac:dyDescent="0.25">
      <c r="A899" t="s">
        <v>193</v>
      </c>
      <c r="B899" s="5">
        <v>34304</v>
      </c>
      <c r="C899" s="5" t="str">
        <f t="shared" ref="C899:C962" si="14">A899&amp;"_"&amp;B899</f>
        <v>VRSYW001.72_34304</v>
      </c>
      <c r="D899" t="s">
        <v>2352</v>
      </c>
      <c r="E899">
        <f>COUNTIF(data.SampSummary!$C$2:$C$958,C899)</f>
        <v>0</v>
      </c>
    </row>
    <row r="900" spans="1:5" x14ac:dyDescent="0.25">
      <c r="A900" t="s">
        <v>60</v>
      </c>
      <c r="B900" s="5">
        <v>34995</v>
      </c>
      <c r="C900" s="5" t="str">
        <f t="shared" si="14"/>
        <v>VREVR051.15_34995</v>
      </c>
      <c r="D900" t="s">
        <v>2353</v>
      </c>
      <c r="E900">
        <f>COUNTIF(data.SampSummary!$C$2:$C$958,C900)</f>
        <v>0</v>
      </c>
    </row>
    <row r="901" spans="1:5" x14ac:dyDescent="0.25">
      <c r="A901" t="s">
        <v>340</v>
      </c>
      <c r="B901" s="5">
        <v>33753</v>
      </c>
      <c r="C901" s="5" t="str">
        <f t="shared" si="14"/>
        <v>BWSMR029.44_33753</v>
      </c>
      <c r="D901" t="s">
        <v>2354</v>
      </c>
      <c r="E901">
        <f>COUNTIF(data.SampSummary!$C$2:$C$958,C901)</f>
        <v>1</v>
      </c>
    </row>
    <row r="902" spans="1:5" x14ac:dyDescent="0.25">
      <c r="A902" t="s">
        <v>130</v>
      </c>
      <c r="B902" s="5">
        <v>34243</v>
      </c>
      <c r="C902" s="5" t="str">
        <f t="shared" si="14"/>
        <v>LCCHC073.26_34243</v>
      </c>
      <c r="D902" t="s">
        <v>2355</v>
      </c>
      <c r="E902">
        <f>COUNTIF(data.SampSummary!$C$2:$C$958,C902)</f>
        <v>0</v>
      </c>
    </row>
    <row r="903" spans="1:5" x14ac:dyDescent="0.25">
      <c r="A903" t="s">
        <v>105</v>
      </c>
      <c r="B903" s="5">
        <v>34122</v>
      </c>
      <c r="C903" s="5" t="str">
        <f t="shared" si="14"/>
        <v>UGGRA000.82_34122</v>
      </c>
      <c r="D903" t="s">
        <v>2356</v>
      </c>
      <c r="E903">
        <f>COUNTIF(data.SampSummary!$C$2:$C$958,C903)</f>
        <v>1</v>
      </c>
    </row>
    <row r="904" spans="1:5" x14ac:dyDescent="0.25">
      <c r="A904" t="s">
        <v>23</v>
      </c>
      <c r="B904" s="5">
        <v>34608</v>
      </c>
      <c r="C904" s="5" t="str">
        <f t="shared" si="14"/>
        <v>VROAK049.65_34608</v>
      </c>
      <c r="D904" t="s">
        <v>2357</v>
      </c>
      <c r="E904">
        <f>COUNTIF(data.SampSummary!$C$2:$C$958,C904)</f>
        <v>0</v>
      </c>
    </row>
    <row r="905" spans="1:5" x14ac:dyDescent="0.25">
      <c r="A905" t="s">
        <v>43</v>
      </c>
      <c r="B905" s="5">
        <v>33771</v>
      </c>
      <c r="C905" s="5" t="str">
        <f t="shared" si="14"/>
        <v>SRCYN045.73_33771</v>
      </c>
      <c r="D905" t="s">
        <v>2358</v>
      </c>
      <c r="E905">
        <f>COUNTIF(data.SampSummary!$C$2:$C$958,C905)</f>
        <v>1</v>
      </c>
    </row>
    <row r="906" spans="1:5" x14ac:dyDescent="0.25">
      <c r="A906" t="s">
        <v>86</v>
      </c>
      <c r="B906" s="5">
        <v>34856</v>
      </c>
      <c r="C906" s="5" t="str">
        <f t="shared" si="14"/>
        <v>SRWFB005.34_34856</v>
      </c>
      <c r="D906" t="s">
        <v>2359</v>
      </c>
      <c r="E906">
        <f>COUNTIF(data.SampSummary!$C$2:$C$958,C906)</f>
        <v>1</v>
      </c>
    </row>
    <row r="907" spans="1:5" x14ac:dyDescent="0.25">
      <c r="A907" t="s">
        <v>227</v>
      </c>
      <c r="B907" s="5">
        <v>33735</v>
      </c>
      <c r="C907" s="5" t="str">
        <f t="shared" si="14"/>
        <v>SRSAL019.52_33735</v>
      </c>
      <c r="D907" t="s">
        <v>2360</v>
      </c>
      <c r="E907">
        <f>COUNTIF(data.SampSummary!$C$2:$C$958,C907)</f>
        <v>1</v>
      </c>
    </row>
    <row r="908" spans="1:5" x14ac:dyDescent="0.25">
      <c r="A908" t="s">
        <v>275</v>
      </c>
      <c r="B908" s="5">
        <v>34088</v>
      </c>
      <c r="C908" s="5" t="str">
        <f t="shared" si="14"/>
        <v>MGLAS004.52_34088</v>
      </c>
      <c r="D908" t="s">
        <v>2361</v>
      </c>
      <c r="E908">
        <f>COUNTIF(data.SampSummary!$C$2:$C$958,C908)</f>
        <v>1</v>
      </c>
    </row>
    <row r="909" spans="1:5" x14ac:dyDescent="0.25">
      <c r="A909" t="s">
        <v>380</v>
      </c>
      <c r="B909" s="5">
        <v>34085</v>
      </c>
      <c r="C909" s="5" t="str">
        <f t="shared" si="14"/>
        <v>MGTUL005.21_34085</v>
      </c>
      <c r="D909" t="s">
        <v>2362</v>
      </c>
      <c r="E909">
        <f>COUNTIF(data.SampSummary!$C$2:$C$958,C909)</f>
        <v>1</v>
      </c>
    </row>
    <row r="910" spans="1:5" x14ac:dyDescent="0.25">
      <c r="A910" t="s">
        <v>264</v>
      </c>
      <c r="B910" s="5">
        <v>34243</v>
      </c>
      <c r="C910" s="5" t="str">
        <f t="shared" si="14"/>
        <v>VRVER137.80_34243</v>
      </c>
      <c r="D910" t="s">
        <v>2363</v>
      </c>
      <c r="E910">
        <f>COUNTIF(data.SampSummary!$C$2:$C$958,C910)</f>
        <v>0</v>
      </c>
    </row>
    <row r="911" spans="1:5" x14ac:dyDescent="0.25">
      <c r="A911" t="s">
        <v>183</v>
      </c>
      <c r="B911" s="5">
        <v>34820</v>
      </c>
      <c r="C911" s="5" t="str">
        <f t="shared" si="14"/>
        <v>SPSPR126.35_34820</v>
      </c>
      <c r="D911" t="s">
        <v>2364</v>
      </c>
      <c r="E911">
        <f>COUNTIF(data.SampSummary!$C$2:$C$958,C911)</f>
        <v>1</v>
      </c>
    </row>
    <row r="912" spans="1:5" x14ac:dyDescent="0.25">
      <c r="A912" t="s">
        <v>300</v>
      </c>
      <c r="B912" s="5">
        <v>33751</v>
      </c>
      <c r="C912" s="5" t="str">
        <f t="shared" si="14"/>
        <v>BWTRT011.97_33751</v>
      </c>
      <c r="D912" t="s">
        <v>2365</v>
      </c>
      <c r="E912">
        <f>COUNTIF(data.SampSummary!$C$2:$C$958,C912)</f>
        <v>1</v>
      </c>
    </row>
    <row r="913" spans="1:5" x14ac:dyDescent="0.25">
      <c r="A913" t="s">
        <v>1573</v>
      </c>
      <c r="B913" s="5">
        <v>33775</v>
      </c>
      <c r="C913" s="5" t="str">
        <f t="shared" si="14"/>
        <v>CGSPG000.17_33775</v>
      </c>
      <c r="D913" t="s">
        <v>2366</v>
      </c>
      <c r="E913">
        <f>COUNTIF(data.SampSummary!$C$2:$C$958,C913)</f>
        <v>0</v>
      </c>
    </row>
    <row r="914" spans="1:5" x14ac:dyDescent="0.25">
      <c r="A914" t="s">
        <v>285</v>
      </c>
      <c r="B914" s="5">
        <v>34494</v>
      </c>
      <c r="C914" s="5" t="str">
        <f t="shared" si="14"/>
        <v>VRPIE000.29_34494</v>
      </c>
      <c r="D914" t="s">
        <v>2367</v>
      </c>
      <c r="E914">
        <f>COUNTIF(data.SampSummary!$C$2:$C$958,C914)</f>
        <v>1</v>
      </c>
    </row>
    <row r="915" spans="1:5" x14ac:dyDescent="0.25">
      <c r="A915" t="s">
        <v>92</v>
      </c>
      <c r="B915" s="5">
        <v>34124</v>
      </c>
      <c r="C915" s="5" t="str">
        <f t="shared" si="14"/>
        <v>LCLIL002.16_34124</v>
      </c>
      <c r="D915" t="s">
        <v>2368</v>
      </c>
      <c r="E915">
        <f>COUNTIF(data.SampSummary!$C$2:$C$958,C915)</f>
        <v>1</v>
      </c>
    </row>
    <row r="916" spans="1:5" x14ac:dyDescent="0.25">
      <c r="A916" t="s">
        <v>175</v>
      </c>
      <c r="B916" s="5">
        <v>34243</v>
      </c>
      <c r="C916" s="5" t="str">
        <f t="shared" si="14"/>
        <v>LCCHC077.84_34243</v>
      </c>
      <c r="D916" t="s">
        <v>2369</v>
      </c>
      <c r="E916">
        <f>COUNTIF(data.SampSummary!$C$2:$C$958,C916)</f>
        <v>0</v>
      </c>
    </row>
    <row r="917" spans="1:5" x14ac:dyDescent="0.25">
      <c r="A917" t="s">
        <v>2333</v>
      </c>
      <c r="B917" s="5">
        <v>34968</v>
      </c>
      <c r="C917" s="5" t="str">
        <f t="shared" si="14"/>
        <v>VRBEV005.74_34968</v>
      </c>
      <c r="D917" t="s">
        <v>2370</v>
      </c>
      <c r="E917">
        <f>COUNTIF(data.SampSummary!$C$2:$C$958,C917)</f>
        <v>0</v>
      </c>
    </row>
    <row r="918" spans="1:5" x14ac:dyDescent="0.25">
      <c r="A918" t="s">
        <v>146</v>
      </c>
      <c r="B918" s="5">
        <v>34830</v>
      </c>
      <c r="C918" s="5" t="str">
        <f t="shared" si="14"/>
        <v>VREVR044.96_34830</v>
      </c>
      <c r="D918" t="s">
        <v>2371</v>
      </c>
      <c r="E918">
        <f>COUNTIF(data.SampSummary!$C$2:$C$958,C918)</f>
        <v>1</v>
      </c>
    </row>
    <row r="919" spans="1:5" x14ac:dyDescent="0.25">
      <c r="A919" t="s">
        <v>204</v>
      </c>
      <c r="B919" s="5">
        <v>34434</v>
      </c>
      <c r="C919" s="5" t="str">
        <f t="shared" si="14"/>
        <v>SPBAS001.64_34434</v>
      </c>
      <c r="D919" t="s">
        <v>2372</v>
      </c>
      <c r="E919">
        <f>COUNTIF(data.SampSummary!$C$2:$C$958,C919)</f>
        <v>1</v>
      </c>
    </row>
    <row r="920" spans="1:5" x14ac:dyDescent="0.25">
      <c r="A920" t="s">
        <v>258</v>
      </c>
      <c r="B920" s="5">
        <v>34829</v>
      </c>
      <c r="C920" s="5" t="str">
        <f t="shared" si="14"/>
        <v>VROAK017.49_34829</v>
      </c>
      <c r="D920" t="s">
        <v>2373</v>
      </c>
      <c r="E920">
        <f>COUNTIF(data.SampSummary!$C$2:$C$958,C920)</f>
        <v>1</v>
      </c>
    </row>
    <row r="921" spans="1:5" x14ac:dyDescent="0.25">
      <c r="A921" t="s">
        <v>290</v>
      </c>
      <c r="B921" s="5">
        <v>33711</v>
      </c>
      <c r="C921" s="5" t="str">
        <f t="shared" si="14"/>
        <v>SPHSC010.67_33711</v>
      </c>
      <c r="D921" t="s">
        <v>2374</v>
      </c>
      <c r="E921">
        <f>COUNTIF(data.SampSummary!$C$2:$C$958,C921)</f>
        <v>1</v>
      </c>
    </row>
    <row r="922" spans="1:5" x14ac:dyDescent="0.25">
      <c r="A922" t="s">
        <v>285</v>
      </c>
      <c r="B922" s="5">
        <v>34995</v>
      </c>
      <c r="C922" s="5" t="str">
        <f t="shared" si="14"/>
        <v>VRPIE000.29_34995</v>
      </c>
      <c r="D922" t="s">
        <v>2375</v>
      </c>
      <c r="E922">
        <f>COUNTIF(data.SampSummary!$C$2:$C$958,C922)</f>
        <v>0</v>
      </c>
    </row>
    <row r="923" spans="1:5" x14ac:dyDescent="0.25">
      <c r="A923" t="s">
        <v>341</v>
      </c>
      <c r="B923" s="5">
        <v>33786</v>
      </c>
      <c r="C923" s="5" t="str">
        <f t="shared" si="14"/>
        <v>UGSFR019.63_33786</v>
      </c>
      <c r="D923" t="s">
        <v>2376</v>
      </c>
      <c r="E923">
        <f>COUNTIF(data.SampSummary!$C$2:$C$958,C923)</f>
        <v>0</v>
      </c>
    </row>
    <row r="924" spans="1:5" x14ac:dyDescent="0.25">
      <c r="A924" t="s">
        <v>146</v>
      </c>
      <c r="B924" s="5">
        <v>34997</v>
      </c>
      <c r="C924" s="5" t="str">
        <f t="shared" si="14"/>
        <v>VREVR044.96_34997</v>
      </c>
      <c r="D924" t="s">
        <v>2377</v>
      </c>
      <c r="E924">
        <f>COUNTIF(data.SampSummary!$C$2:$C$958,C924)</f>
        <v>0</v>
      </c>
    </row>
    <row r="925" spans="1:5" x14ac:dyDescent="0.25">
      <c r="A925" t="s">
        <v>199</v>
      </c>
      <c r="B925" s="5">
        <v>34109</v>
      </c>
      <c r="C925" s="5" t="str">
        <f t="shared" si="14"/>
        <v>UGBON006.41_34109</v>
      </c>
      <c r="D925" t="s">
        <v>2378</v>
      </c>
      <c r="E925">
        <f>COUNTIF(data.SampSummary!$C$2:$C$958,C925)</f>
        <v>1</v>
      </c>
    </row>
    <row r="926" spans="1:5" x14ac:dyDescent="0.25">
      <c r="A926" t="s">
        <v>2379</v>
      </c>
      <c r="B926" s="5">
        <v>33724</v>
      </c>
      <c r="C926" s="5" t="str">
        <f t="shared" si="14"/>
        <v>MGA2S030.40_33724</v>
      </c>
      <c r="D926" t="s">
        <v>2380</v>
      </c>
      <c r="E926">
        <f>COUNTIF(data.SampSummary!$C$2:$C$958,C926)</f>
        <v>0</v>
      </c>
    </row>
    <row r="927" spans="1:5" x14ac:dyDescent="0.25">
      <c r="A927" t="s">
        <v>261</v>
      </c>
      <c r="B927" s="5">
        <v>34304</v>
      </c>
      <c r="C927" s="5" t="str">
        <f t="shared" si="14"/>
        <v>VRWBV012.56_34304</v>
      </c>
      <c r="D927" t="s">
        <v>2381</v>
      </c>
      <c r="E927">
        <f>COUNTIF(data.SampSummary!$C$2:$C$958,C927)</f>
        <v>0</v>
      </c>
    </row>
    <row r="928" spans="1:5" x14ac:dyDescent="0.25">
      <c r="A928" t="s">
        <v>188</v>
      </c>
      <c r="B928" s="5">
        <v>35187</v>
      </c>
      <c r="C928" s="5" t="str">
        <f t="shared" si="14"/>
        <v>SCSYR004.21_35187</v>
      </c>
      <c r="D928" t="s">
        <v>2382</v>
      </c>
      <c r="E928">
        <f>COUNTIF(data.SampSummary!$C$2:$C$958,C928)</f>
        <v>0</v>
      </c>
    </row>
    <row r="929" spans="1:5" x14ac:dyDescent="0.25">
      <c r="A929" t="s">
        <v>293</v>
      </c>
      <c r="B929" s="5">
        <v>34610</v>
      </c>
      <c r="C929" s="5" t="str">
        <f t="shared" si="14"/>
        <v>VREVR031.25_34610</v>
      </c>
      <c r="D929" t="s">
        <v>2383</v>
      </c>
      <c r="E929">
        <f>COUNTIF(data.SampSummary!$C$2:$C$958,C929)</f>
        <v>0</v>
      </c>
    </row>
    <row r="930" spans="1:5" x14ac:dyDescent="0.25">
      <c r="A930" t="s">
        <v>47</v>
      </c>
      <c r="B930" s="5">
        <v>34064</v>
      </c>
      <c r="C930" s="5" t="str">
        <f t="shared" si="14"/>
        <v>SPWRC000.48_34064</v>
      </c>
      <c r="D930" t="s">
        <v>2384</v>
      </c>
      <c r="E930">
        <f>COUNTIF(data.SampSummary!$C$2:$C$958,C930)</f>
        <v>1</v>
      </c>
    </row>
    <row r="931" spans="1:5" x14ac:dyDescent="0.25">
      <c r="A931" t="s">
        <v>272</v>
      </c>
      <c r="B931" s="5">
        <v>34836</v>
      </c>
      <c r="C931" s="5" t="str">
        <f t="shared" si="14"/>
        <v>VROAK028.24_34836</v>
      </c>
      <c r="D931" t="s">
        <v>2385</v>
      </c>
      <c r="E931">
        <f>COUNTIF(data.SampSummary!$C$2:$C$958,C931)</f>
        <v>1</v>
      </c>
    </row>
    <row r="932" spans="1:5" x14ac:dyDescent="0.25">
      <c r="A932" t="s">
        <v>290</v>
      </c>
      <c r="B932" s="5">
        <v>34434</v>
      </c>
      <c r="C932" s="5" t="str">
        <f t="shared" si="14"/>
        <v>SPHSC010.67_34434</v>
      </c>
      <c r="D932" t="s">
        <v>2386</v>
      </c>
      <c r="E932">
        <f>COUNTIF(data.SampSummary!$C$2:$C$958,C932)</f>
        <v>1</v>
      </c>
    </row>
    <row r="933" spans="1:5" x14ac:dyDescent="0.25">
      <c r="A933" t="s">
        <v>64</v>
      </c>
      <c r="B933" s="5">
        <v>34137</v>
      </c>
      <c r="C933" s="5" t="str">
        <f t="shared" si="14"/>
        <v>SRCKN001.61_34137</v>
      </c>
      <c r="D933" t="s">
        <v>2387</v>
      </c>
      <c r="E933">
        <f>COUNTIF(data.SampSummary!$C$2:$C$958,C933)</f>
        <v>1</v>
      </c>
    </row>
    <row r="934" spans="1:5" x14ac:dyDescent="0.25">
      <c r="A934" t="s">
        <v>2269</v>
      </c>
      <c r="B934" s="5">
        <v>34604</v>
      </c>
      <c r="C934" s="5" t="str">
        <f t="shared" si="14"/>
        <v>VRBLA010.11_34604</v>
      </c>
      <c r="D934" t="s">
        <v>2388</v>
      </c>
      <c r="E934">
        <f>COUNTIF(data.SampSummary!$C$2:$C$958,C934)</f>
        <v>0</v>
      </c>
    </row>
    <row r="935" spans="1:5" x14ac:dyDescent="0.25">
      <c r="A935" t="s">
        <v>68</v>
      </c>
      <c r="B935" s="5">
        <v>34858</v>
      </c>
      <c r="C935" s="5" t="str">
        <f t="shared" si="14"/>
        <v>LCSLR001.42_34858</v>
      </c>
      <c r="D935" t="s">
        <v>2389</v>
      </c>
      <c r="E935">
        <f>COUNTIF(data.SampSummary!$C$2:$C$958,C935)</f>
        <v>1</v>
      </c>
    </row>
    <row r="936" spans="1:5" x14ac:dyDescent="0.25">
      <c r="A936" t="s">
        <v>226</v>
      </c>
      <c r="B936" s="5">
        <v>34824</v>
      </c>
      <c r="C936" s="5" t="str">
        <f t="shared" si="14"/>
        <v>MGSYD009.13_34824</v>
      </c>
      <c r="D936" t="s">
        <v>2390</v>
      </c>
      <c r="E936">
        <f>COUNTIF(data.SampSummary!$C$2:$C$958,C936)</f>
        <v>1</v>
      </c>
    </row>
    <row r="937" spans="1:5" x14ac:dyDescent="0.25">
      <c r="A937" t="s">
        <v>253</v>
      </c>
      <c r="B937" s="5">
        <v>34968</v>
      </c>
      <c r="C937" s="5" t="str">
        <f t="shared" si="14"/>
        <v>VRWBV006.54_34968</v>
      </c>
      <c r="D937" t="s">
        <v>2391</v>
      </c>
      <c r="E937">
        <f>COUNTIF(data.SampSummary!$C$2:$C$958,C937)</f>
        <v>0</v>
      </c>
    </row>
    <row r="938" spans="1:5" x14ac:dyDescent="0.25">
      <c r="A938" t="s">
        <v>1398</v>
      </c>
      <c r="B938" s="5">
        <v>34524</v>
      </c>
      <c r="C938" s="5" t="str">
        <f t="shared" si="14"/>
        <v>CGNAT000.48_34524</v>
      </c>
      <c r="D938" t="s">
        <v>2392</v>
      </c>
      <c r="E938">
        <f>COUNTIF(data.SampSummary!$C$2:$C$958,C938)</f>
        <v>0</v>
      </c>
    </row>
    <row r="939" spans="1:5" x14ac:dyDescent="0.25">
      <c r="A939" t="s">
        <v>233</v>
      </c>
      <c r="B939" s="5">
        <v>34107</v>
      </c>
      <c r="C939" s="5" t="str">
        <f t="shared" si="14"/>
        <v>UGBLR011.55_34107</v>
      </c>
      <c r="D939" t="s">
        <v>2393</v>
      </c>
      <c r="E939">
        <f>COUNTIF(data.SampSummary!$C$2:$C$958,C939)</f>
        <v>1</v>
      </c>
    </row>
    <row r="940" spans="1:5" x14ac:dyDescent="0.25">
      <c r="A940" t="s">
        <v>1454</v>
      </c>
      <c r="B940" s="5">
        <v>33773</v>
      </c>
      <c r="C940" s="5" t="str">
        <f t="shared" si="14"/>
        <v>CGMAT000.03_33773</v>
      </c>
      <c r="D940" t="s">
        <v>2394</v>
      </c>
      <c r="E940">
        <f>COUNTIF(data.SampSummary!$C$2:$C$958,C940)</f>
        <v>0</v>
      </c>
    </row>
    <row r="941" spans="1:5" x14ac:dyDescent="0.25">
      <c r="A941" t="s">
        <v>188</v>
      </c>
      <c r="B941" s="5">
        <v>34474</v>
      </c>
      <c r="C941" s="5" t="str">
        <f t="shared" si="14"/>
        <v>SCSYR004.21_34474</v>
      </c>
      <c r="D941" t="s">
        <v>2395</v>
      </c>
      <c r="E941">
        <f>COUNTIF(data.SampSummary!$C$2:$C$958,C941)</f>
        <v>0</v>
      </c>
    </row>
    <row r="942" spans="1:5" x14ac:dyDescent="0.25">
      <c r="A942" t="s">
        <v>39</v>
      </c>
      <c r="B942" s="5">
        <v>33715</v>
      </c>
      <c r="C942" s="5" t="str">
        <f t="shared" si="14"/>
        <v>UGFRY009.52_33715</v>
      </c>
      <c r="D942" t="s">
        <v>2396</v>
      </c>
      <c r="E942">
        <f>COUNTIF(data.SampSummary!$C$2:$C$958,C942)</f>
        <v>1</v>
      </c>
    </row>
    <row r="943" spans="1:5" x14ac:dyDescent="0.25">
      <c r="A943" t="s">
        <v>256</v>
      </c>
      <c r="B943" s="5">
        <v>34435</v>
      </c>
      <c r="C943" s="5" t="str">
        <f t="shared" si="14"/>
        <v>SPRDC012.76_34435</v>
      </c>
      <c r="D943" t="s">
        <v>2397</v>
      </c>
      <c r="E943">
        <f>COUNTIF(data.SampSummary!$C$2:$C$958,C943)</f>
        <v>1</v>
      </c>
    </row>
    <row r="944" spans="1:5" x14ac:dyDescent="0.25">
      <c r="A944" t="s">
        <v>352</v>
      </c>
      <c r="B944" s="5">
        <v>33753</v>
      </c>
      <c r="C944" s="5" t="str">
        <f t="shared" si="14"/>
        <v>BWCNG006.59_33753</v>
      </c>
      <c r="D944" t="s">
        <v>2398</v>
      </c>
      <c r="E944">
        <f>COUNTIF(data.SampSummary!$C$2:$C$958,C944)</f>
        <v>1</v>
      </c>
    </row>
    <row r="945" spans="1:5" x14ac:dyDescent="0.25">
      <c r="A945" t="s">
        <v>68</v>
      </c>
      <c r="B945" s="5">
        <v>34501</v>
      </c>
      <c r="C945" s="5" t="str">
        <f t="shared" si="14"/>
        <v>LCSLR001.42_34501</v>
      </c>
      <c r="D945" t="s">
        <v>2399</v>
      </c>
      <c r="E945">
        <f>COUNTIF(data.SampSummary!$C$2:$C$958,C945)</f>
        <v>1</v>
      </c>
    </row>
    <row r="946" spans="1:5" x14ac:dyDescent="0.25">
      <c r="A946" t="s">
        <v>130</v>
      </c>
      <c r="B946" s="5">
        <v>34130</v>
      </c>
      <c r="C946" s="5" t="str">
        <f t="shared" si="14"/>
        <v>LCCHC073.26_34130</v>
      </c>
      <c r="D946" t="s">
        <v>2400</v>
      </c>
      <c r="E946">
        <f>COUNTIF(data.SampSummary!$C$2:$C$958,C946)</f>
        <v>1</v>
      </c>
    </row>
    <row r="947" spans="1:5" x14ac:dyDescent="0.25">
      <c r="A947" t="s">
        <v>22</v>
      </c>
      <c r="B947" s="5">
        <v>33710</v>
      </c>
      <c r="C947" s="5" t="str">
        <f t="shared" si="14"/>
        <v>SPRMC011.48_33710</v>
      </c>
      <c r="D947" t="s">
        <v>2401</v>
      </c>
      <c r="E947">
        <f>COUNTIF(data.SampSummary!$C$2:$C$958,C947)</f>
        <v>1</v>
      </c>
    </row>
    <row r="948" spans="1:5" x14ac:dyDescent="0.25">
      <c r="A948" t="s">
        <v>79</v>
      </c>
      <c r="B948" s="5">
        <v>34429</v>
      </c>
      <c r="C948" s="5" t="str">
        <f t="shared" si="14"/>
        <v>UGETK011.80_34429</v>
      </c>
      <c r="D948" t="s">
        <v>2402</v>
      </c>
      <c r="E948">
        <f>COUNTIF(data.SampSummary!$C$2:$C$958,C948)</f>
        <v>1</v>
      </c>
    </row>
    <row r="949" spans="1:5" x14ac:dyDescent="0.25">
      <c r="A949" t="s">
        <v>79</v>
      </c>
      <c r="B949" s="5">
        <v>34065</v>
      </c>
      <c r="C949" s="5" t="str">
        <f t="shared" si="14"/>
        <v>UGETK011.80_34065</v>
      </c>
      <c r="D949" t="s">
        <v>2403</v>
      </c>
      <c r="E949">
        <f>COUNTIF(data.SampSummary!$C$2:$C$958,C949)</f>
        <v>1</v>
      </c>
    </row>
    <row r="950" spans="1:5" x14ac:dyDescent="0.25">
      <c r="A950" t="s">
        <v>312</v>
      </c>
      <c r="B950" s="5">
        <v>35003</v>
      </c>
      <c r="C950" s="5" t="str">
        <f t="shared" si="14"/>
        <v>VRRED004.17_35003</v>
      </c>
      <c r="D950" t="s">
        <v>2404</v>
      </c>
      <c r="E950">
        <f>COUNTIF(data.SampSummary!$C$2:$C$958,C950)</f>
        <v>0</v>
      </c>
    </row>
    <row r="951" spans="1:5" x14ac:dyDescent="0.25">
      <c r="A951" t="s">
        <v>265</v>
      </c>
      <c r="B951" s="5">
        <v>34829</v>
      </c>
      <c r="C951" s="5" t="str">
        <f t="shared" si="14"/>
        <v>VRVER127.02_34829</v>
      </c>
      <c r="D951" t="s">
        <v>2405</v>
      </c>
      <c r="E951">
        <f>COUNTIF(data.SampSummary!$C$2:$C$958,C951)</f>
        <v>1</v>
      </c>
    </row>
    <row r="952" spans="1:5" x14ac:dyDescent="0.25">
      <c r="A952" t="s">
        <v>2406</v>
      </c>
      <c r="B952" s="5">
        <v>34073</v>
      </c>
      <c r="C952" s="5" t="str">
        <f t="shared" si="14"/>
        <v>SCCDO032.20_34073</v>
      </c>
      <c r="D952" t="s">
        <v>2407</v>
      </c>
      <c r="E952">
        <f>COUNTIF(data.SampSummary!$C$2:$C$958,C952)</f>
        <v>0</v>
      </c>
    </row>
    <row r="953" spans="1:5" x14ac:dyDescent="0.25">
      <c r="A953" t="s">
        <v>22</v>
      </c>
      <c r="B953" s="5">
        <v>34430</v>
      </c>
      <c r="C953" s="5" t="str">
        <f t="shared" si="14"/>
        <v>SPRMC011.48_34430</v>
      </c>
      <c r="D953" t="s">
        <v>2408</v>
      </c>
      <c r="E953">
        <f>COUNTIF(data.SampSummary!$C$2:$C$958,C953)</f>
        <v>1</v>
      </c>
    </row>
    <row r="954" spans="1:5" x14ac:dyDescent="0.25">
      <c r="A954" t="s">
        <v>280</v>
      </c>
      <c r="B954" s="5">
        <v>34996</v>
      </c>
      <c r="C954" s="5" t="str">
        <f t="shared" si="14"/>
        <v>VROAK016.70_34996</v>
      </c>
      <c r="D954" t="s">
        <v>2409</v>
      </c>
      <c r="E954">
        <f>COUNTIF(data.SampSummary!$C$2:$C$958,C954)</f>
        <v>0</v>
      </c>
    </row>
    <row r="955" spans="1:5" x14ac:dyDescent="0.25">
      <c r="A955" t="s">
        <v>189</v>
      </c>
      <c r="B955" s="5">
        <v>33732</v>
      </c>
      <c r="C955" s="5" t="str">
        <f t="shared" si="14"/>
        <v>MGANT013.35_33732</v>
      </c>
      <c r="D955" t="s">
        <v>2410</v>
      </c>
      <c r="E955">
        <f>COUNTIF(data.SampSummary!$C$2:$C$958,C955)</f>
        <v>1</v>
      </c>
    </row>
    <row r="956" spans="1:5" x14ac:dyDescent="0.25">
      <c r="A956" t="s">
        <v>21</v>
      </c>
      <c r="B956" s="5">
        <v>33792</v>
      </c>
      <c r="C956" s="5" t="str">
        <f t="shared" si="14"/>
        <v>LCWLR005.31_33792</v>
      </c>
      <c r="D956" t="s">
        <v>2411</v>
      </c>
      <c r="E956">
        <f>COUNTIF(data.SampSummary!$C$2:$C$958,C956)</f>
        <v>1</v>
      </c>
    </row>
    <row r="957" spans="1:5" x14ac:dyDescent="0.25">
      <c r="A957" t="s">
        <v>63</v>
      </c>
      <c r="B957" s="5">
        <v>33794</v>
      </c>
      <c r="C957" s="5" t="str">
        <f t="shared" si="14"/>
        <v>LCRUD007.23_33794</v>
      </c>
      <c r="D957" t="s">
        <v>2412</v>
      </c>
      <c r="E957">
        <f>COUNTIF(data.SampSummary!$C$2:$C$958,C957)</f>
        <v>1</v>
      </c>
    </row>
    <row r="958" spans="1:5" x14ac:dyDescent="0.25">
      <c r="A958" t="s">
        <v>35</v>
      </c>
      <c r="B958" s="5">
        <v>33742</v>
      </c>
      <c r="C958" s="5" t="str">
        <f t="shared" si="14"/>
        <v>UGCMB004.23_33742</v>
      </c>
      <c r="D958" t="s">
        <v>2413</v>
      </c>
      <c r="E958">
        <f>COUNTIF(data.SampSummary!$C$2:$C$958,C958)</f>
        <v>1</v>
      </c>
    </row>
    <row r="959" spans="1:5" x14ac:dyDescent="0.25">
      <c r="A959" t="s">
        <v>2406</v>
      </c>
      <c r="B959" s="5">
        <v>34431</v>
      </c>
      <c r="C959" s="5" t="str">
        <f t="shared" si="14"/>
        <v>SCCDO032.20_34431</v>
      </c>
      <c r="D959" t="s">
        <v>2414</v>
      </c>
      <c r="E959">
        <f>COUNTIF(data.SampSummary!$C$2:$C$958,C959)</f>
        <v>0</v>
      </c>
    </row>
    <row r="960" spans="1:5" x14ac:dyDescent="0.25">
      <c r="A960" t="s">
        <v>16</v>
      </c>
      <c r="B960" s="5">
        <v>34501</v>
      </c>
      <c r="C960" s="5" t="str">
        <f t="shared" si="14"/>
        <v>LCWLR001.23_34501</v>
      </c>
      <c r="D960" t="s">
        <v>2415</v>
      </c>
      <c r="E960">
        <f>COUNTIF(data.SampSummary!$C$2:$C$958,C960)</f>
        <v>1</v>
      </c>
    </row>
    <row r="961" spans="1:5" x14ac:dyDescent="0.25">
      <c r="A961" t="s">
        <v>72</v>
      </c>
      <c r="B961" s="5">
        <v>34855</v>
      </c>
      <c r="C961" s="5" t="str">
        <f t="shared" si="14"/>
        <v>SRNBE000.86_34855</v>
      </c>
      <c r="D961" t="s">
        <v>2416</v>
      </c>
      <c r="E961">
        <f>COUNTIF(data.SampSummary!$C$2:$C$958,C961)</f>
        <v>1</v>
      </c>
    </row>
    <row r="962" spans="1:5" x14ac:dyDescent="0.25">
      <c r="A962" t="s">
        <v>69</v>
      </c>
      <c r="B962" s="5">
        <v>34464</v>
      </c>
      <c r="C962" s="5" t="str">
        <f t="shared" si="14"/>
        <v>SRWRK007.97_34464</v>
      </c>
      <c r="D962" t="s">
        <v>2417</v>
      </c>
      <c r="E962">
        <f>COUNTIF(data.SampSummary!$C$2:$C$958,C962)</f>
        <v>1</v>
      </c>
    </row>
    <row r="963" spans="1:5" x14ac:dyDescent="0.25">
      <c r="A963" t="s">
        <v>94</v>
      </c>
      <c r="B963" s="5">
        <v>34124</v>
      </c>
      <c r="C963" s="5" t="str">
        <f t="shared" ref="C963:C1026" si="15">A963&amp;"_"&amp;B963</f>
        <v>LCMAM002.05_34124</v>
      </c>
      <c r="D963" t="s">
        <v>2418</v>
      </c>
      <c r="E963">
        <f>COUNTIF(data.SampSummary!$C$2:$C$958,C963)</f>
        <v>1</v>
      </c>
    </row>
    <row r="964" spans="1:5" x14ac:dyDescent="0.25">
      <c r="A964" t="s">
        <v>89</v>
      </c>
      <c r="B964" s="5">
        <v>33702</v>
      </c>
      <c r="C964" s="5" t="str">
        <f t="shared" si="15"/>
        <v>SPRUC008.21_33702</v>
      </c>
      <c r="D964" t="s">
        <v>2419</v>
      </c>
      <c r="E964">
        <f>COUNTIF(data.SampSummary!$C$2:$C$958,C964)</f>
        <v>1</v>
      </c>
    </row>
    <row r="965" spans="1:5" x14ac:dyDescent="0.25">
      <c r="A965" t="s">
        <v>317</v>
      </c>
      <c r="B965" s="5">
        <v>34492</v>
      </c>
      <c r="C965" s="5" t="str">
        <f t="shared" si="15"/>
        <v>CGBDW000.70_34492</v>
      </c>
      <c r="D965" t="s">
        <v>2420</v>
      </c>
      <c r="E965">
        <f>COUNTIF(data.SampSummary!$C$2:$C$958,C965)</f>
        <v>1</v>
      </c>
    </row>
    <row r="966" spans="1:5" x14ac:dyDescent="0.25">
      <c r="A966" t="s">
        <v>21</v>
      </c>
      <c r="B966" s="5">
        <v>34857</v>
      </c>
      <c r="C966" s="5" t="str">
        <f t="shared" si="15"/>
        <v>LCWLR005.31_34857</v>
      </c>
      <c r="D966" t="s">
        <v>2421</v>
      </c>
      <c r="E966">
        <f>COUNTIF(data.SampSummary!$C$2:$C$958,C966)</f>
        <v>1</v>
      </c>
    </row>
    <row r="967" spans="1:5" x14ac:dyDescent="0.25">
      <c r="A967" t="s">
        <v>272</v>
      </c>
      <c r="B967" s="5">
        <v>34247</v>
      </c>
      <c r="C967" s="5" t="str">
        <f t="shared" si="15"/>
        <v>VROAK028.24_34247</v>
      </c>
      <c r="D967" t="s">
        <v>2422</v>
      </c>
      <c r="E967">
        <f>COUNTIF(data.SampSummary!$C$2:$C$958,C967)</f>
        <v>0</v>
      </c>
    </row>
    <row r="968" spans="1:5" x14ac:dyDescent="0.25">
      <c r="A968" t="s">
        <v>156</v>
      </c>
      <c r="B968" s="5">
        <v>34989</v>
      </c>
      <c r="C968" s="5" t="str">
        <f t="shared" si="15"/>
        <v>LCBCK005.75_34989</v>
      </c>
      <c r="D968" t="s">
        <v>2423</v>
      </c>
      <c r="E968">
        <f>COUNTIF(data.SampSummary!$C$2:$C$958,C968)</f>
        <v>0</v>
      </c>
    </row>
    <row r="969" spans="1:5" x14ac:dyDescent="0.25">
      <c r="A969" t="s">
        <v>243</v>
      </c>
      <c r="B969" s="5">
        <v>35184</v>
      </c>
      <c r="C969" s="5" t="str">
        <f t="shared" si="15"/>
        <v>SPBHC004.66_35184</v>
      </c>
      <c r="D969" t="s">
        <v>2424</v>
      </c>
      <c r="E969">
        <f>COUNTIF(data.SampSummary!$C$2:$C$958,C969)</f>
        <v>1</v>
      </c>
    </row>
    <row r="970" spans="1:5" x14ac:dyDescent="0.25">
      <c r="A970" t="s">
        <v>1543</v>
      </c>
      <c r="B970" s="5">
        <v>34429</v>
      </c>
      <c r="C970" s="5" t="str">
        <f t="shared" si="15"/>
        <v>UGSCV002.80_34429</v>
      </c>
      <c r="D970" t="s">
        <v>2425</v>
      </c>
      <c r="E970">
        <f>COUNTIF(data.SampSummary!$C$2:$C$958,C970)</f>
        <v>0</v>
      </c>
    </row>
    <row r="971" spans="1:5" x14ac:dyDescent="0.25">
      <c r="A971" t="s">
        <v>183</v>
      </c>
      <c r="B971" s="5">
        <v>34430</v>
      </c>
      <c r="C971" s="5" t="str">
        <f t="shared" si="15"/>
        <v>SPSPR126.35_34430</v>
      </c>
      <c r="D971" t="s">
        <v>2426</v>
      </c>
      <c r="E971">
        <f>COUNTIF(data.SampSummary!$C$2:$C$958,C971)</f>
        <v>1</v>
      </c>
    </row>
    <row r="972" spans="1:5" x14ac:dyDescent="0.25">
      <c r="A972" t="s">
        <v>358</v>
      </c>
      <c r="B972" s="5">
        <v>34115</v>
      </c>
      <c r="C972" s="5" t="str">
        <f t="shared" si="15"/>
        <v>SRSPI011.63_34115</v>
      </c>
      <c r="D972" t="s">
        <v>2427</v>
      </c>
      <c r="E972">
        <f>COUNTIF(data.SampSummary!$C$2:$C$958,C972)</f>
        <v>1</v>
      </c>
    </row>
    <row r="973" spans="1:5" x14ac:dyDescent="0.25">
      <c r="A973" t="s">
        <v>60</v>
      </c>
      <c r="B973" s="5">
        <v>34830</v>
      </c>
      <c r="C973" s="5" t="str">
        <f t="shared" si="15"/>
        <v>VREVR051.15_34830</v>
      </c>
      <c r="D973" t="s">
        <v>2428</v>
      </c>
      <c r="E973">
        <f>COUNTIF(data.SampSummary!$C$2:$C$958,C973)</f>
        <v>1</v>
      </c>
    </row>
    <row r="974" spans="1:5" x14ac:dyDescent="0.25">
      <c r="A974" t="s">
        <v>2269</v>
      </c>
      <c r="B974" s="5">
        <v>34099</v>
      </c>
      <c r="C974" s="5" t="str">
        <f t="shared" si="15"/>
        <v>VRBLA010.11_34099</v>
      </c>
      <c r="D974" t="s">
        <v>2429</v>
      </c>
      <c r="E974">
        <f>COUNTIF(data.SampSummary!$C$2:$C$958,C974)</f>
        <v>0</v>
      </c>
    </row>
    <row r="975" spans="1:5" x14ac:dyDescent="0.25">
      <c r="A975" t="s">
        <v>1519</v>
      </c>
      <c r="B975" s="5">
        <v>34491</v>
      </c>
      <c r="C975" s="5" t="str">
        <f t="shared" si="15"/>
        <v>LCBRB000.27_34491</v>
      </c>
      <c r="D975" t="s">
        <v>2430</v>
      </c>
      <c r="E975">
        <f>COUNTIF(data.SampSummary!$C$2:$C$958,C975)</f>
        <v>0</v>
      </c>
    </row>
    <row r="976" spans="1:5" x14ac:dyDescent="0.25">
      <c r="A976" t="s">
        <v>2431</v>
      </c>
      <c r="B976" s="5">
        <v>34802</v>
      </c>
      <c r="C976" s="5" t="str">
        <f t="shared" si="15"/>
        <v>SCACW006.74_34802</v>
      </c>
      <c r="D976" t="s">
        <v>2432</v>
      </c>
      <c r="E976">
        <f>COUNTIF(data.SampSummary!$C$2:$C$958,C976)</f>
        <v>0</v>
      </c>
    </row>
    <row r="977" spans="1:5" x14ac:dyDescent="0.25">
      <c r="A977" t="s">
        <v>184</v>
      </c>
      <c r="B977" s="5">
        <v>34522</v>
      </c>
      <c r="C977" s="5" t="str">
        <f t="shared" si="15"/>
        <v>CGDEE000.07_34522</v>
      </c>
      <c r="D977" t="s">
        <v>2433</v>
      </c>
      <c r="E977">
        <f>COUNTIF(data.SampSummary!$C$2:$C$958,C977)</f>
        <v>1</v>
      </c>
    </row>
    <row r="978" spans="1:5" x14ac:dyDescent="0.25">
      <c r="A978" t="s">
        <v>241</v>
      </c>
      <c r="B978" s="5">
        <v>35215</v>
      </c>
      <c r="C978" s="5" t="str">
        <f t="shared" si="15"/>
        <v>SCCIE019.90_35215</v>
      </c>
      <c r="D978" t="s">
        <v>2434</v>
      </c>
      <c r="E978">
        <f>COUNTIF(data.SampSummary!$C$2:$C$958,C978)</f>
        <v>1</v>
      </c>
    </row>
    <row r="979" spans="1:5" x14ac:dyDescent="0.25">
      <c r="A979" t="s">
        <v>282</v>
      </c>
      <c r="B979" s="5">
        <v>34808</v>
      </c>
      <c r="C979" s="5" t="str">
        <f t="shared" si="15"/>
        <v>VRTGL000.52_34808</v>
      </c>
      <c r="D979" t="s">
        <v>2435</v>
      </c>
      <c r="E979">
        <f>COUNTIF(data.SampSummary!$C$2:$C$958,C979)</f>
        <v>1</v>
      </c>
    </row>
    <row r="980" spans="1:5" x14ac:dyDescent="0.25">
      <c r="A980" t="s">
        <v>209</v>
      </c>
      <c r="B980" s="5">
        <v>33727</v>
      </c>
      <c r="C980" s="5" t="str">
        <f t="shared" si="15"/>
        <v>VRSYM016.44_33727</v>
      </c>
      <c r="D980" t="s">
        <v>2436</v>
      </c>
      <c r="E980">
        <f>COUNTIF(data.SampSummary!$C$2:$C$958,C980)</f>
        <v>1</v>
      </c>
    </row>
    <row r="981" spans="1:5" x14ac:dyDescent="0.25">
      <c r="A981" t="s">
        <v>190</v>
      </c>
      <c r="B981" s="5">
        <v>34823</v>
      </c>
      <c r="C981" s="5" t="str">
        <f t="shared" si="15"/>
        <v>MGAFR087.06_34823</v>
      </c>
      <c r="D981" t="s">
        <v>2437</v>
      </c>
      <c r="E981">
        <f>COUNTIF(data.SampSummary!$C$2:$C$958,C981)</f>
        <v>1</v>
      </c>
    </row>
    <row r="982" spans="1:5" x14ac:dyDescent="0.25">
      <c r="A982" t="s">
        <v>272</v>
      </c>
      <c r="B982" s="5">
        <v>34975</v>
      </c>
      <c r="C982" s="5" t="str">
        <f t="shared" si="15"/>
        <v>VROAK028.24_34975</v>
      </c>
      <c r="D982" t="s">
        <v>2438</v>
      </c>
      <c r="E982">
        <f>COUNTIF(data.SampSummary!$C$2:$C$958,C982)</f>
        <v>0</v>
      </c>
    </row>
    <row r="983" spans="1:5" x14ac:dyDescent="0.25">
      <c r="A983" t="s">
        <v>205</v>
      </c>
      <c r="B983" s="5">
        <v>34152</v>
      </c>
      <c r="C983" s="5" t="str">
        <f t="shared" si="15"/>
        <v>CGRYA000.05_34152</v>
      </c>
      <c r="D983" t="s">
        <v>2439</v>
      </c>
      <c r="E983">
        <f>COUNTIF(data.SampSummary!$C$2:$C$958,C983)</f>
        <v>1</v>
      </c>
    </row>
    <row r="984" spans="1:5" x14ac:dyDescent="0.25">
      <c r="A984" t="s">
        <v>347</v>
      </c>
      <c r="B984" s="5">
        <v>34466</v>
      </c>
      <c r="C984" s="5" t="str">
        <f t="shared" si="15"/>
        <v>SRCGN009.78_34466</v>
      </c>
      <c r="D984" t="s">
        <v>2440</v>
      </c>
      <c r="E984">
        <f>COUNTIF(data.SampSummary!$C$2:$C$958,C984)</f>
        <v>1</v>
      </c>
    </row>
    <row r="985" spans="1:5" x14ac:dyDescent="0.25">
      <c r="A985" t="s">
        <v>2441</v>
      </c>
      <c r="B985" s="5">
        <v>34134</v>
      </c>
      <c r="C985" s="5" t="str">
        <f t="shared" si="15"/>
        <v>SRHRT002.34_34134</v>
      </c>
      <c r="D985" t="s">
        <v>2442</v>
      </c>
      <c r="E985">
        <f>COUNTIF(data.SampSummary!$C$2:$C$958,C985)</f>
        <v>0</v>
      </c>
    </row>
    <row r="986" spans="1:5" x14ac:dyDescent="0.25">
      <c r="A986" t="s">
        <v>291</v>
      </c>
      <c r="B986" s="5">
        <v>34996</v>
      </c>
      <c r="C986" s="5" t="str">
        <f t="shared" si="15"/>
        <v>VREVR015.34_34996</v>
      </c>
      <c r="D986" t="s">
        <v>2443</v>
      </c>
      <c r="E986">
        <f>COUNTIF(data.SampSummary!$C$2:$C$958,C986)</f>
        <v>0</v>
      </c>
    </row>
    <row r="987" spans="1:5" x14ac:dyDescent="0.25">
      <c r="A987" t="s">
        <v>236</v>
      </c>
      <c r="B987" s="5">
        <v>34150</v>
      </c>
      <c r="C987" s="5" t="str">
        <f t="shared" si="15"/>
        <v>CGBRA000.44_34150</v>
      </c>
      <c r="D987" t="s">
        <v>2444</v>
      </c>
      <c r="E987">
        <f>COUNTIF(data.SampSummary!$C$2:$C$958,C987)</f>
        <v>1</v>
      </c>
    </row>
    <row r="988" spans="1:5" x14ac:dyDescent="0.25">
      <c r="A988" t="s">
        <v>2445</v>
      </c>
      <c r="B988" s="5">
        <v>34989</v>
      </c>
      <c r="C988" s="5" t="str">
        <f t="shared" si="15"/>
        <v>SRCRS002.25_34989</v>
      </c>
      <c r="D988" t="s">
        <v>2446</v>
      </c>
      <c r="E988">
        <f>COUNTIF(data.SampSummary!$C$2:$C$958,C988)</f>
        <v>0</v>
      </c>
    </row>
    <row r="989" spans="1:5" x14ac:dyDescent="0.25">
      <c r="A989" t="s">
        <v>2447</v>
      </c>
      <c r="B989" s="5">
        <v>34982</v>
      </c>
      <c r="C989" s="5" t="str">
        <f t="shared" si="15"/>
        <v>VRAPA001.11_34982</v>
      </c>
      <c r="D989" t="s">
        <v>2448</v>
      </c>
      <c r="E989">
        <f>COUNTIF(data.SampSummary!$C$2:$C$958,C989)</f>
        <v>0</v>
      </c>
    </row>
    <row r="990" spans="1:5" x14ac:dyDescent="0.25">
      <c r="A990" t="s">
        <v>159</v>
      </c>
      <c r="B990" s="5">
        <v>33777</v>
      </c>
      <c r="C990" s="5" t="str">
        <f t="shared" si="15"/>
        <v>LCECL017.75_33777</v>
      </c>
      <c r="D990" t="s">
        <v>2449</v>
      </c>
      <c r="E990">
        <f>COUNTIF(data.SampSummary!$C$2:$C$958,C990)</f>
        <v>1</v>
      </c>
    </row>
    <row r="991" spans="1:5" x14ac:dyDescent="0.25">
      <c r="A991" t="s">
        <v>267</v>
      </c>
      <c r="B991" s="5">
        <v>35004</v>
      </c>
      <c r="C991" s="5" t="str">
        <f t="shared" si="15"/>
        <v>VRSYH000.25_35004</v>
      </c>
      <c r="D991" t="s">
        <v>2450</v>
      </c>
      <c r="E991">
        <f>COUNTIF(data.SampSummary!$C$2:$C$958,C991)</f>
        <v>0</v>
      </c>
    </row>
    <row r="992" spans="1:5" x14ac:dyDescent="0.25">
      <c r="A992" t="s">
        <v>307</v>
      </c>
      <c r="B992" s="5">
        <v>34816</v>
      </c>
      <c r="C992" s="5" t="str">
        <f t="shared" si="15"/>
        <v>VRWBV009.31_34816</v>
      </c>
      <c r="D992" t="s">
        <v>2451</v>
      </c>
      <c r="E992">
        <f>COUNTIF(data.SampSummary!$C$2:$C$958,C992)</f>
        <v>1</v>
      </c>
    </row>
    <row r="993" spans="1:5" x14ac:dyDescent="0.25">
      <c r="A993" t="s">
        <v>306</v>
      </c>
      <c r="B993" s="5">
        <v>34807</v>
      </c>
      <c r="C993" s="5" t="str">
        <f t="shared" si="15"/>
        <v>VRVER053.70_34807</v>
      </c>
      <c r="D993" t="s">
        <v>2452</v>
      </c>
      <c r="E993">
        <f>COUNTIF(data.SampSummary!$C$2:$C$958,C993)</f>
        <v>1</v>
      </c>
    </row>
    <row r="994" spans="1:5" x14ac:dyDescent="0.25">
      <c r="A994" t="s">
        <v>225</v>
      </c>
      <c r="B994" s="5">
        <v>33764</v>
      </c>
      <c r="C994" s="5" t="str">
        <f t="shared" si="15"/>
        <v>CGNAN000.20_33764</v>
      </c>
      <c r="D994" t="s">
        <v>2453</v>
      </c>
      <c r="E994">
        <f>COUNTIF(data.SampSummary!$C$2:$C$958,C994)</f>
        <v>1</v>
      </c>
    </row>
    <row r="995" spans="1:5" x14ac:dyDescent="0.25">
      <c r="A995" t="s">
        <v>285</v>
      </c>
      <c r="B995" s="5">
        <v>34608</v>
      </c>
      <c r="C995" s="5" t="str">
        <f t="shared" si="15"/>
        <v>VRPIE000.29_34608</v>
      </c>
      <c r="D995" t="s">
        <v>2454</v>
      </c>
      <c r="E995">
        <f>COUNTIF(data.SampSummary!$C$2:$C$958,C995)</f>
        <v>0</v>
      </c>
    </row>
    <row r="996" spans="1:5" x14ac:dyDescent="0.25">
      <c r="A996" t="s">
        <v>255</v>
      </c>
      <c r="B996" s="5">
        <v>34061</v>
      </c>
      <c r="C996" s="5" t="str">
        <f t="shared" si="15"/>
        <v>SPARA017.25_34061</v>
      </c>
      <c r="D996" t="s">
        <v>2455</v>
      </c>
      <c r="E996">
        <f>COUNTIF(data.SampSummary!$C$2:$C$958,C996)</f>
        <v>1</v>
      </c>
    </row>
    <row r="997" spans="1:5" x14ac:dyDescent="0.25">
      <c r="A997" t="s">
        <v>1519</v>
      </c>
      <c r="B997" s="5">
        <v>34131</v>
      </c>
      <c r="C997" s="5" t="str">
        <f t="shared" si="15"/>
        <v>LCBRB000.27_34131</v>
      </c>
      <c r="D997" t="s">
        <v>2456</v>
      </c>
      <c r="E997">
        <f>COUNTIF(data.SampSummary!$C$2:$C$958,C997)</f>
        <v>0</v>
      </c>
    </row>
    <row r="998" spans="1:5" x14ac:dyDescent="0.25">
      <c r="A998" t="s">
        <v>2241</v>
      </c>
      <c r="B998" s="5">
        <v>34463</v>
      </c>
      <c r="C998" s="5" t="str">
        <f t="shared" si="15"/>
        <v>SRD4E005.86_34463</v>
      </c>
      <c r="D998" t="s">
        <v>2457</v>
      </c>
      <c r="E998">
        <f>COUNTIF(data.SampSummary!$C$2:$C$958,C998)</f>
        <v>0</v>
      </c>
    </row>
    <row r="999" spans="1:5" x14ac:dyDescent="0.25">
      <c r="A999" t="s">
        <v>293</v>
      </c>
      <c r="B999" s="5">
        <v>33728</v>
      </c>
      <c r="C999" s="5" t="str">
        <f t="shared" si="15"/>
        <v>VREVR031.25_33728</v>
      </c>
      <c r="D999" t="s">
        <v>2458</v>
      </c>
      <c r="E999">
        <f>COUNTIF(data.SampSummary!$C$2:$C$958,C999)</f>
        <v>1</v>
      </c>
    </row>
    <row r="1000" spans="1:5" x14ac:dyDescent="0.25">
      <c r="A1000" t="s">
        <v>2459</v>
      </c>
      <c r="B1000" s="5">
        <v>34113</v>
      </c>
      <c r="C1000" s="5" t="str">
        <f t="shared" si="15"/>
        <v>SRGOD006.23_34113</v>
      </c>
      <c r="D1000" t="s">
        <v>2460</v>
      </c>
      <c r="E1000">
        <f>COUNTIF(data.SampSummary!$C$2:$C$958,C1000)</f>
        <v>0</v>
      </c>
    </row>
    <row r="1001" spans="1:5" x14ac:dyDescent="0.25">
      <c r="A1001" t="s">
        <v>2461</v>
      </c>
      <c r="B1001" s="5">
        <v>34827</v>
      </c>
      <c r="C1001" s="5" t="str">
        <f t="shared" si="15"/>
        <v>VRAPA003.46_34827</v>
      </c>
      <c r="D1001" t="s">
        <v>2462</v>
      </c>
      <c r="E1001">
        <f>COUNTIF(data.SampSummary!$C$2:$C$958,C1001)</f>
        <v>0</v>
      </c>
    </row>
    <row r="1002" spans="1:5" x14ac:dyDescent="0.25">
      <c r="A1002" t="s">
        <v>2241</v>
      </c>
      <c r="B1002" s="5">
        <v>33708</v>
      </c>
      <c r="C1002" s="5" t="str">
        <f t="shared" si="15"/>
        <v>SRD4E005.86_33708</v>
      </c>
      <c r="D1002" t="s">
        <v>2463</v>
      </c>
      <c r="E1002">
        <f>COUNTIF(data.SampSummary!$C$2:$C$958,C1002)</f>
        <v>0</v>
      </c>
    </row>
    <row r="1003" spans="1:5" x14ac:dyDescent="0.25">
      <c r="A1003" t="s">
        <v>82</v>
      </c>
      <c r="B1003" s="5">
        <v>34857</v>
      </c>
      <c r="C1003" s="5" t="str">
        <f t="shared" si="15"/>
        <v>LCLCR352.57_34857</v>
      </c>
      <c r="D1003" t="s">
        <v>2464</v>
      </c>
      <c r="E1003">
        <f>COUNTIF(data.SampSummary!$C$2:$C$958,C1003)</f>
        <v>1</v>
      </c>
    </row>
    <row r="1004" spans="1:5" x14ac:dyDescent="0.25">
      <c r="A1004" t="s">
        <v>306</v>
      </c>
      <c r="B1004" s="5">
        <v>34243</v>
      </c>
      <c r="C1004" s="5" t="str">
        <f t="shared" si="15"/>
        <v>VRVER053.70_34243</v>
      </c>
      <c r="D1004" t="s">
        <v>2465</v>
      </c>
      <c r="E1004">
        <f>COUNTIF(data.SampSummary!$C$2:$C$958,C1004)</f>
        <v>0</v>
      </c>
    </row>
    <row r="1005" spans="1:5" x14ac:dyDescent="0.25">
      <c r="A1005" t="s">
        <v>281</v>
      </c>
      <c r="B1005" s="5">
        <v>34519</v>
      </c>
      <c r="C1005" s="5" t="str">
        <f t="shared" si="15"/>
        <v>CGCRY000.05_34519</v>
      </c>
      <c r="D1005" t="s">
        <v>2466</v>
      </c>
      <c r="E1005">
        <f>COUNTIF(data.SampSummary!$C$2:$C$958,C1005)</f>
        <v>1</v>
      </c>
    </row>
    <row r="1006" spans="1:5" x14ac:dyDescent="0.25">
      <c r="A1006" t="s">
        <v>275</v>
      </c>
      <c r="B1006" s="5">
        <v>34823</v>
      </c>
      <c r="C1006" s="5" t="str">
        <f t="shared" si="15"/>
        <v>MGLAS004.52_34823</v>
      </c>
      <c r="D1006" t="s">
        <v>2467</v>
      </c>
      <c r="E1006">
        <f>COUNTIF(data.SampSummary!$C$2:$C$958,C1006)</f>
        <v>1</v>
      </c>
    </row>
    <row r="1007" spans="1:5" x14ac:dyDescent="0.25">
      <c r="A1007" t="s">
        <v>49</v>
      </c>
      <c r="B1007" s="5">
        <v>34608</v>
      </c>
      <c r="C1007" s="5" t="str">
        <f t="shared" si="15"/>
        <v>VRWCL036.37_34608</v>
      </c>
      <c r="D1007" t="s">
        <v>2468</v>
      </c>
      <c r="E1007">
        <f>COUNTIF(data.SampSummary!$C$2:$C$958,C1007)</f>
        <v>0</v>
      </c>
    </row>
    <row r="1008" spans="1:5" x14ac:dyDescent="0.25">
      <c r="A1008" t="s">
        <v>248</v>
      </c>
      <c r="B1008" s="5">
        <v>34815</v>
      </c>
      <c r="C1008" s="5" t="str">
        <f t="shared" si="15"/>
        <v>VRVER103.73_34815</v>
      </c>
      <c r="D1008" t="s">
        <v>2469</v>
      </c>
      <c r="E1008">
        <f>COUNTIF(data.SampSummary!$C$2:$C$958,C1008)</f>
        <v>1</v>
      </c>
    </row>
    <row r="1009" spans="1:5" x14ac:dyDescent="0.25">
      <c r="A1009" t="s">
        <v>271</v>
      </c>
      <c r="B1009" s="5">
        <v>34101</v>
      </c>
      <c r="C1009" s="5" t="str">
        <f t="shared" si="15"/>
        <v>VRWCL011.16_34101</v>
      </c>
      <c r="D1009" t="s">
        <v>2470</v>
      </c>
      <c r="E1009">
        <f>COUNTIF(data.SampSummary!$C$2:$C$958,C1009)</f>
        <v>1</v>
      </c>
    </row>
    <row r="1010" spans="1:5" x14ac:dyDescent="0.25">
      <c r="A1010" t="s">
        <v>68</v>
      </c>
      <c r="B1010" s="5">
        <v>33793</v>
      </c>
      <c r="C1010" s="5" t="str">
        <f t="shared" si="15"/>
        <v>LCSLR001.42_33793</v>
      </c>
      <c r="D1010" t="s">
        <v>2471</v>
      </c>
      <c r="E1010">
        <f>COUNTIF(data.SampSummary!$C$2:$C$958,C1010)</f>
        <v>1</v>
      </c>
    </row>
    <row r="1011" spans="1:5" x14ac:dyDescent="0.25">
      <c r="A1011" t="s">
        <v>37</v>
      </c>
      <c r="B1011" s="5">
        <v>34100</v>
      </c>
      <c r="C1011" s="5" t="str">
        <f t="shared" si="15"/>
        <v>VRWOK000.82_34100</v>
      </c>
      <c r="D1011" t="s">
        <v>2472</v>
      </c>
      <c r="E1011">
        <f>COUNTIF(data.SampSummary!$C$2:$C$958,C1011)</f>
        <v>1</v>
      </c>
    </row>
    <row r="1012" spans="1:5" x14ac:dyDescent="0.25">
      <c r="A1012" t="s">
        <v>2250</v>
      </c>
      <c r="B1012" s="5">
        <v>34463</v>
      </c>
      <c r="C1012" s="5" t="str">
        <f t="shared" si="15"/>
        <v>VRSYM017.71_34463</v>
      </c>
      <c r="D1012" t="s">
        <v>2473</v>
      </c>
      <c r="E1012">
        <f>COUNTIF(data.SampSummary!$C$2:$C$958,C1012)</f>
        <v>0</v>
      </c>
    </row>
    <row r="1013" spans="1:5" x14ac:dyDescent="0.25">
      <c r="A1013" t="s">
        <v>45</v>
      </c>
      <c r="B1013" s="5">
        <v>33735</v>
      </c>
      <c r="C1013" s="5" t="str">
        <f t="shared" si="15"/>
        <v>SRREY001.14_33735</v>
      </c>
      <c r="D1013" t="s">
        <v>2474</v>
      </c>
      <c r="E1013">
        <f>COUNTIF(data.SampSummary!$C$2:$C$958,C1013)</f>
        <v>1</v>
      </c>
    </row>
    <row r="1014" spans="1:5" x14ac:dyDescent="0.25">
      <c r="A1014" t="s">
        <v>237</v>
      </c>
      <c r="B1014" s="5">
        <v>34151</v>
      </c>
      <c r="C1014" s="5" t="str">
        <f t="shared" si="15"/>
        <v>CGHRM001.58_34151</v>
      </c>
      <c r="D1014" t="s">
        <v>2475</v>
      </c>
      <c r="E1014">
        <f>COUNTIF(data.SampSummary!$C$2:$C$958,C1014)</f>
        <v>1</v>
      </c>
    </row>
    <row r="1015" spans="1:5" x14ac:dyDescent="0.25">
      <c r="A1015" t="s">
        <v>89</v>
      </c>
      <c r="B1015" s="5">
        <v>34428</v>
      </c>
      <c r="C1015" s="5" t="str">
        <f t="shared" si="15"/>
        <v>SPRUC008.21_34428</v>
      </c>
      <c r="D1015" t="s">
        <v>2476</v>
      </c>
      <c r="E1015">
        <f>COUNTIF(data.SampSummary!$C$2:$C$958,C1015)</f>
        <v>1</v>
      </c>
    </row>
    <row r="1016" spans="1:5" x14ac:dyDescent="0.25">
      <c r="A1016" t="s">
        <v>255</v>
      </c>
      <c r="B1016" s="5">
        <v>33716</v>
      </c>
      <c r="C1016" s="5" t="str">
        <f t="shared" si="15"/>
        <v>SPARA017.25_33716</v>
      </c>
      <c r="D1016" t="s">
        <v>2477</v>
      </c>
      <c r="E1016">
        <f>COUNTIF(data.SampSummary!$C$2:$C$958,C1016)</f>
        <v>1</v>
      </c>
    </row>
    <row r="1017" spans="1:5" x14ac:dyDescent="0.25">
      <c r="A1017" t="s">
        <v>40</v>
      </c>
      <c r="B1017" s="5">
        <v>34997</v>
      </c>
      <c r="C1017" s="5" t="str">
        <f t="shared" si="15"/>
        <v>VRWEB009.13_34997</v>
      </c>
      <c r="D1017" t="s">
        <v>2478</v>
      </c>
      <c r="E1017">
        <f>COUNTIF(data.SampSummary!$C$2:$C$958,C1017)</f>
        <v>0</v>
      </c>
    </row>
    <row r="1018" spans="1:5" x14ac:dyDescent="0.25">
      <c r="A1018" t="s">
        <v>37</v>
      </c>
      <c r="B1018" s="5">
        <v>34472</v>
      </c>
      <c r="C1018" s="5" t="str">
        <f t="shared" si="15"/>
        <v>VRWOK000.82_34472</v>
      </c>
      <c r="D1018" t="s">
        <v>2479</v>
      </c>
      <c r="E1018">
        <f>COUNTIF(data.SampSummary!$C$2:$C$958,C1018)</f>
        <v>1</v>
      </c>
    </row>
    <row r="1019" spans="1:5" x14ac:dyDescent="0.25">
      <c r="A1019" t="s">
        <v>381</v>
      </c>
      <c r="B1019" s="5">
        <v>34492</v>
      </c>
      <c r="C1019" s="5" t="str">
        <f t="shared" si="15"/>
        <v>CGBDW006.86_34492</v>
      </c>
      <c r="D1019" t="s">
        <v>2480</v>
      </c>
      <c r="E1019">
        <f>COUNTIF(data.SampSummary!$C$2:$C$958,C1019)</f>
        <v>1</v>
      </c>
    </row>
    <row r="1020" spans="1:5" x14ac:dyDescent="0.25">
      <c r="A1020" t="s">
        <v>33</v>
      </c>
      <c r="B1020" s="5">
        <v>34121</v>
      </c>
      <c r="C1020" s="5" t="str">
        <f t="shared" si="15"/>
        <v>LCMIN018.05_34121</v>
      </c>
      <c r="D1020" t="s">
        <v>2481</v>
      </c>
      <c r="E1020">
        <f>COUNTIF(data.SampSummary!$C$2:$C$958,C1020)</f>
        <v>1</v>
      </c>
    </row>
    <row r="1021" spans="1:5" x14ac:dyDescent="0.25">
      <c r="A1021" t="s">
        <v>227</v>
      </c>
      <c r="B1021" s="5">
        <v>35192</v>
      </c>
      <c r="C1021" s="5" t="str">
        <f t="shared" si="15"/>
        <v>SRSAL019.52_35192</v>
      </c>
      <c r="D1021" t="s">
        <v>2482</v>
      </c>
      <c r="E1021">
        <f>COUNTIF(data.SampSummary!$C$2:$C$958,C1021)</f>
        <v>1</v>
      </c>
    </row>
    <row r="1022" spans="1:5" x14ac:dyDescent="0.25">
      <c r="A1022" t="s">
        <v>312</v>
      </c>
      <c r="B1022" s="5">
        <v>34807</v>
      </c>
      <c r="C1022" s="5" t="str">
        <f t="shared" si="15"/>
        <v>VRRED004.17_34807</v>
      </c>
      <c r="D1022" t="s">
        <v>2483</v>
      </c>
      <c r="E1022">
        <f>COUNTIF(data.SampSummary!$C$2:$C$958,C1022)</f>
        <v>1</v>
      </c>
    </row>
    <row r="1023" spans="1:5" x14ac:dyDescent="0.25">
      <c r="A1023" t="s">
        <v>378</v>
      </c>
      <c r="B1023" s="5">
        <v>33773</v>
      </c>
      <c r="C1023" s="5" t="str">
        <f t="shared" si="15"/>
        <v>CGHAV000.36_33773</v>
      </c>
      <c r="D1023" t="s">
        <v>2484</v>
      </c>
      <c r="E1023">
        <f>COUNTIF(data.SampSummary!$C$2:$C$958,C1023)</f>
        <v>1</v>
      </c>
    </row>
    <row r="1024" spans="1:5" x14ac:dyDescent="0.25">
      <c r="A1024" t="s">
        <v>35</v>
      </c>
      <c r="B1024" s="5">
        <v>34123</v>
      </c>
      <c r="C1024" s="5" t="str">
        <f t="shared" si="15"/>
        <v>UGCMB004.23_34123</v>
      </c>
      <c r="D1024" t="s">
        <v>2485</v>
      </c>
      <c r="E1024">
        <f>COUNTIF(data.SampSummary!$C$2:$C$958,C1024)</f>
        <v>1</v>
      </c>
    </row>
    <row r="1025" spans="1:5" x14ac:dyDescent="0.25">
      <c r="A1025" t="s">
        <v>285</v>
      </c>
      <c r="B1025" s="5">
        <v>33728</v>
      </c>
      <c r="C1025" s="5" t="str">
        <f t="shared" si="15"/>
        <v>VRPIE000.29_33728</v>
      </c>
      <c r="D1025" t="s">
        <v>2486</v>
      </c>
      <c r="E1025">
        <f>COUNTIF(data.SampSummary!$C$2:$C$958,C1025)</f>
        <v>1</v>
      </c>
    </row>
    <row r="1026" spans="1:5" x14ac:dyDescent="0.25">
      <c r="A1026" t="s">
        <v>262</v>
      </c>
      <c r="B1026" s="5">
        <v>33784</v>
      </c>
      <c r="C1026" s="5" t="str">
        <f t="shared" si="15"/>
        <v>UGEAG040.33_33784</v>
      </c>
      <c r="D1026" t="s">
        <v>2487</v>
      </c>
      <c r="E1026">
        <f>COUNTIF(data.SampSummary!$C$2:$C$958,C1026)</f>
        <v>1</v>
      </c>
    </row>
    <row r="1027" spans="1:5" x14ac:dyDescent="0.25">
      <c r="A1027" t="s">
        <v>168</v>
      </c>
      <c r="B1027" s="5">
        <v>34844</v>
      </c>
      <c r="C1027" s="5" t="str">
        <f t="shared" ref="C1027:C1090" si="16">A1027&amp;"_"&amp;B1027</f>
        <v>VRELL009.02_34844</v>
      </c>
      <c r="D1027" t="s">
        <v>2488</v>
      </c>
      <c r="E1027">
        <f>COUNTIF(data.SampSummary!$C$2:$C$958,C1027)</f>
        <v>1</v>
      </c>
    </row>
    <row r="1028" spans="1:5" x14ac:dyDescent="0.25">
      <c r="A1028" t="s">
        <v>23</v>
      </c>
      <c r="B1028" s="5">
        <v>34100</v>
      </c>
      <c r="C1028" s="5" t="str">
        <f t="shared" si="16"/>
        <v>VROAK049.65_34100</v>
      </c>
      <c r="D1028" t="s">
        <v>2489</v>
      </c>
      <c r="E1028">
        <f>COUNTIF(data.SampSummary!$C$2:$C$958,C1028)</f>
        <v>0</v>
      </c>
    </row>
    <row r="1029" spans="1:5" x14ac:dyDescent="0.25">
      <c r="A1029" t="s">
        <v>1543</v>
      </c>
      <c r="B1029" s="5">
        <v>34800</v>
      </c>
      <c r="C1029" s="5" t="str">
        <f t="shared" si="16"/>
        <v>UGSCV002.80_34800</v>
      </c>
      <c r="D1029" t="s">
        <v>2490</v>
      </c>
      <c r="E1029">
        <f>COUNTIF(data.SampSummary!$C$2:$C$958,C1029)</f>
        <v>0</v>
      </c>
    </row>
    <row r="1030" spans="1:5" x14ac:dyDescent="0.25">
      <c r="A1030" t="s">
        <v>2491</v>
      </c>
      <c r="B1030" s="5">
        <v>34608</v>
      </c>
      <c r="C1030" s="5" t="str">
        <f t="shared" si="16"/>
        <v>SRTON057.55_34608</v>
      </c>
      <c r="D1030" t="s">
        <v>2492</v>
      </c>
      <c r="E1030">
        <f>COUNTIF(data.SampSummary!$C$2:$C$958,C1030)</f>
        <v>0</v>
      </c>
    </row>
    <row r="1031" spans="1:5" x14ac:dyDescent="0.25">
      <c r="A1031" t="s">
        <v>69</v>
      </c>
      <c r="B1031" s="5">
        <v>35192</v>
      </c>
      <c r="C1031" s="5" t="str">
        <f t="shared" si="16"/>
        <v>SRWRK007.97_35192</v>
      </c>
      <c r="D1031" t="s">
        <v>2493</v>
      </c>
      <c r="E1031">
        <f>COUNTIF(data.SampSummary!$C$2:$C$958,C1031)</f>
        <v>1</v>
      </c>
    </row>
    <row r="1032" spans="1:5" x14ac:dyDescent="0.25">
      <c r="A1032" t="s">
        <v>33</v>
      </c>
      <c r="B1032" s="5">
        <v>34505</v>
      </c>
      <c r="C1032" s="5" t="str">
        <f t="shared" si="16"/>
        <v>LCMIN018.05_34505</v>
      </c>
      <c r="D1032" t="s">
        <v>2494</v>
      </c>
      <c r="E1032">
        <f>COUNTIF(data.SampSummary!$C$2:$C$958,C1032)</f>
        <v>1</v>
      </c>
    </row>
    <row r="1033" spans="1:5" x14ac:dyDescent="0.25">
      <c r="A1033" t="s">
        <v>47</v>
      </c>
      <c r="B1033" s="5">
        <v>34799</v>
      </c>
      <c r="C1033" s="5" t="str">
        <f t="shared" si="16"/>
        <v>SPWRC000.48_34799</v>
      </c>
      <c r="D1033" t="s">
        <v>2495</v>
      </c>
      <c r="E1033">
        <f>COUNTIF(data.SampSummary!$C$2:$C$958,C1033)</f>
        <v>1</v>
      </c>
    </row>
    <row r="1034" spans="1:5" x14ac:dyDescent="0.25">
      <c r="A1034" t="s">
        <v>49</v>
      </c>
      <c r="B1034" s="5">
        <v>34492</v>
      </c>
      <c r="C1034" s="5" t="str">
        <f t="shared" si="16"/>
        <v>VRWCL036.37_34492</v>
      </c>
      <c r="D1034" t="s">
        <v>2496</v>
      </c>
      <c r="E1034">
        <f>COUNTIF(data.SampSummary!$C$2:$C$958,C1034)</f>
        <v>1</v>
      </c>
    </row>
    <row r="1035" spans="1:5" x14ac:dyDescent="0.25">
      <c r="A1035" t="s">
        <v>285</v>
      </c>
      <c r="B1035" s="5">
        <v>34243</v>
      </c>
      <c r="C1035" s="5" t="str">
        <f t="shared" si="16"/>
        <v>VRPIE000.29_34243</v>
      </c>
      <c r="D1035" t="s">
        <v>2497</v>
      </c>
      <c r="E1035">
        <f>COUNTIF(data.SampSummary!$C$2:$C$958,C1035)</f>
        <v>0</v>
      </c>
    </row>
    <row r="1036" spans="1:5" x14ac:dyDescent="0.25">
      <c r="A1036" t="s">
        <v>250</v>
      </c>
      <c r="B1036" s="5">
        <v>35193</v>
      </c>
      <c r="C1036" s="5" t="str">
        <f t="shared" si="16"/>
        <v>SRDEV000.38_35193</v>
      </c>
      <c r="D1036" t="s">
        <v>2498</v>
      </c>
      <c r="E1036">
        <f>COUNTIF(data.SampSummary!$C$2:$C$958,C1036)</f>
        <v>1</v>
      </c>
    </row>
    <row r="1037" spans="1:5" x14ac:dyDescent="0.25">
      <c r="A1037" t="s">
        <v>2499</v>
      </c>
      <c r="B1037" s="5">
        <v>34791</v>
      </c>
      <c r="C1037" s="5" t="str">
        <f t="shared" si="16"/>
        <v>UGEMC012.71_34791</v>
      </c>
      <c r="D1037" t="s">
        <v>2500</v>
      </c>
      <c r="E1037">
        <f>COUNTIF(data.SampSummary!$C$2:$C$958,C1037)</f>
        <v>0</v>
      </c>
    </row>
    <row r="1038" spans="1:5" x14ac:dyDescent="0.25">
      <c r="A1038" t="s">
        <v>259</v>
      </c>
      <c r="B1038" s="5">
        <v>34983</v>
      </c>
      <c r="C1038" s="5" t="str">
        <f t="shared" si="16"/>
        <v>VRVER185.21_34983</v>
      </c>
      <c r="D1038" t="s">
        <v>2501</v>
      </c>
      <c r="E1038">
        <f>COUNTIF(data.SampSummary!$C$2:$C$958,C1038)</f>
        <v>0</v>
      </c>
    </row>
    <row r="1039" spans="1:5" x14ac:dyDescent="0.25">
      <c r="A1039" t="s">
        <v>2068</v>
      </c>
      <c r="B1039" s="5">
        <v>35186</v>
      </c>
      <c r="C1039" s="5" t="str">
        <f t="shared" si="16"/>
        <v>SCSAB009.77_35186</v>
      </c>
      <c r="D1039" t="s">
        <v>2502</v>
      </c>
      <c r="E1039">
        <f>COUNTIF(data.SampSummary!$C$2:$C$958,C1039)</f>
        <v>0</v>
      </c>
    </row>
    <row r="1040" spans="1:5" x14ac:dyDescent="0.25">
      <c r="A1040" t="s">
        <v>295</v>
      </c>
      <c r="B1040" s="5">
        <v>34807</v>
      </c>
      <c r="C1040" s="5" t="str">
        <f t="shared" si="16"/>
        <v>VRROU002.93_34807</v>
      </c>
      <c r="D1040" t="s">
        <v>2503</v>
      </c>
      <c r="E1040">
        <f>COUNTIF(data.SampSummary!$C$2:$C$958,C1040)</f>
        <v>1</v>
      </c>
    </row>
    <row r="1041" spans="1:5" x14ac:dyDescent="0.25">
      <c r="A1041" t="s">
        <v>2504</v>
      </c>
      <c r="B1041" s="5">
        <v>34243</v>
      </c>
      <c r="C1041" s="5" t="str">
        <f t="shared" si="16"/>
        <v>LCCHC060.43_34243</v>
      </c>
      <c r="D1041" t="s">
        <v>2505</v>
      </c>
      <c r="E1041">
        <f>COUNTIF(data.SampSummary!$C$2:$C$958,C1041)</f>
        <v>0</v>
      </c>
    </row>
    <row r="1042" spans="1:5" x14ac:dyDescent="0.25">
      <c r="A1042" t="s">
        <v>84</v>
      </c>
      <c r="B1042" s="5">
        <v>33760</v>
      </c>
      <c r="C1042" s="5" t="str">
        <f t="shared" si="16"/>
        <v>SRRES000.33_33760</v>
      </c>
      <c r="D1042" t="s">
        <v>2506</v>
      </c>
      <c r="E1042">
        <f>COUNTIF(data.SampSummary!$C$2:$C$958,C1042)</f>
        <v>1</v>
      </c>
    </row>
    <row r="1043" spans="1:5" x14ac:dyDescent="0.25">
      <c r="A1043" t="s">
        <v>2068</v>
      </c>
      <c r="B1043" s="5">
        <v>34073</v>
      </c>
      <c r="C1043" s="5" t="str">
        <f t="shared" si="16"/>
        <v>SCSAB009.77_34073</v>
      </c>
      <c r="D1043" t="s">
        <v>2507</v>
      </c>
      <c r="E1043">
        <f>COUNTIF(data.SampSummary!$C$2:$C$958,C1043)</f>
        <v>0</v>
      </c>
    </row>
    <row r="1044" spans="1:5" x14ac:dyDescent="0.25">
      <c r="A1044" t="s">
        <v>21</v>
      </c>
      <c r="B1044" s="5">
        <v>34136</v>
      </c>
      <c r="C1044" s="5" t="str">
        <f t="shared" si="16"/>
        <v>LCWLR005.31_34136</v>
      </c>
      <c r="D1044" t="s">
        <v>2508</v>
      </c>
      <c r="E1044">
        <f>COUNTIF(data.SampSummary!$C$2:$C$958,C1044)</f>
        <v>1</v>
      </c>
    </row>
    <row r="1045" spans="1:5" x14ac:dyDescent="0.25">
      <c r="A1045" t="s">
        <v>29</v>
      </c>
      <c r="B1045" s="5">
        <v>34090</v>
      </c>
      <c r="C1045" s="5" t="str">
        <f t="shared" si="16"/>
        <v>UGSFR144.95_34090</v>
      </c>
      <c r="D1045" t="s">
        <v>2509</v>
      </c>
      <c r="E1045">
        <f>COUNTIF(data.SampSummary!$C$2:$C$958,C1045)</f>
        <v>0</v>
      </c>
    </row>
    <row r="1046" spans="1:5" x14ac:dyDescent="0.25">
      <c r="A1046" t="s">
        <v>233</v>
      </c>
      <c r="B1046" s="5">
        <v>35199</v>
      </c>
      <c r="C1046" s="5" t="str">
        <f t="shared" si="16"/>
        <v>UGBLR011.55_35199</v>
      </c>
      <c r="D1046" t="s">
        <v>2510</v>
      </c>
      <c r="E1046">
        <f>COUNTIF(data.SampSummary!$C$2:$C$958,C1046)</f>
        <v>1</v>
      </c>
    </row>
    <row r="1047" spans="1:5" x14ac:dyDescent="0.25">
      <c r="A1047" t="s">
        <v>2406</v>
      </c>
      <c r="B1047" s="5">
        <v>33756</v>
      </c>
      <c r="C1047" s="5" t="str">
        <f t="shared" si="16"/>
        <v>SCCDO032.20_33756</v>
      </c>
      <c r="D1047" t="s">
        <v>2511</v>
      </c>
      <c r="E1047">
        <f>COUNTIF(data.SampSummary!$C$2:$C$958,C1047)</f>
        <v>0</v>
      </c>
    </row>
    <row r="1048" spans="1:5" x14ac:dyDescent="0.25">
      <c r="A1048" t="s">
        <v>304</v>
      </c>
      <c r="B1048" s="5">
        <v>34836</v>
      </c>
      <c r="C1048" s="5" t="str">
        <f t="shared" si="16"/>
        <v>VRSPN002.04_34836</v>
      </c>
      <c r="D1048" t="s">
        <v>2512</v>
      </c>
      <c r="E1048">
        <f>COUNTIF(data.SampSummary!$C$2:$C$958,C1048)</f>
        <v>1</v>
      </c>
    </row>
    <row r="1049" spans="1:5" x14ac:dyDescent="0.25">
      <c r="A1049" t="s">
        <v>37</v>
      </c>
      <c r="B1049" s="5">
        <v>34243</v>
      </c>
      <c r="C1049" s="5" t="str">
        <f t="shared" si="16"/>
        <v>VRWOK000.82_34243</v>
      </c>
      <c r="D1049" t="s">
        <v>2513</v>
      </c>
      <c r="E1049">
        <f>COUNTIF(data.SampSummary!$C$2:$C$958,C1049)</f>
        <v>0</v>
      </c>
    </row>
    <row r="1050" spans="1:5" x14ac:dyDescent="0.25">
      <c r="A1050" t="s">
        <v>275</v>
      </c>
      <c r="B1050" s="5">
        <v>33745</v>
      </c>
      <c r="C1050" s="5" t="str">
        <f t="shared" si="16"/>
        <v>MGLAS004.52_33745</v>
      </c>
      <c r="D1050" t="s">
        <v>2514</v>
      </c>
      <c r="E1050">
        <f>COUNTIF(data.SampSummary!$C$2:$C$958,C1050)</f>
        <v>1</v>
      </c>
    </row>
    <row r="1051" spans="1:5" x14ac:dyDescent="0.25">
      <c r="A1051" t="s">
        <v>349</v>
      </c>
      <c r="B1051" s="5">
        <v>35002</v>
      </c>
      <c r="C1051" s="5" t="str">
        <f t="shared" si="16"/>
        <v>VRHOU003.48_35002</v>
      </c>
      <c r="D1051" t="s">
        <v>2515</v>
      </c>
      <c r="E1051">
        <f>COUNTIF(data.SampSummary!$C$2:$C$958,C1051)</f>
        <v>0</v>
      </c>
    </row>
    <row r="1052" spans="1:5" x14ac:dyDescent="0.25">
      <c r="A1052" t="s">
        <v>295</v>
      </c>
      <c r="B1052" s="5">
        <v>34608</v>
      </c>
      <c r="C1052" s="5" t="str">
        <f t="shared" si="16"/>
        <v>VRROU002.93_34608</v>
      </c>
      <c r="D1052" t="s">
        <v>2516</v>
      </c>
      <c r="E1052">
        <f>COUNTIF(data.SampSummary!$C$2:$C$958,C1052)</f>
        <v>0</v>
      </c>
    </row>
    <row r="1053" spans="1:5" x14ac:dyDescent="0.25">
      <c r="A1053" t="s">
        <v>79</v>
      </c>
      <c r="B1053" s="5">
        <v>33703</v>
      </c>
      <c r="C1053" s="5" t="str">
        <f t="shared" si="16"/>
        <v>UGETK011.80_33703</v>
      </c>
      <c r="D1053" t="s">
        <v>2517</v>
      </c>
      <c r="E1053">
        <f>COUNTIF(data.SampSummary!$C$2:$C$958,C1053)</f>
        <v>1</v>
      </c>
    </row>
    <row r="1054" spans="1:5" x14ac:dyDescent="0.25">
      <c r="A1054" t="s">
        <v>2518</v>
      </c>
      <c r="B1054" s="5">
        <v>33757</v>
      </c>
      <c r="C1054" s="5" t="str">
        <f t="shared" si="16"/>
        <v>SRGRE009.81_33757</v>
      </c>
      <c r="D1054" t="s">
        <v>2519</v>
      </c>
      <c r="E1054">
        <f>COUNTIF(data.SampSummary!$C$2:$C$958,C1054)</f>
        <v>0</v>
      </c>
    </row>
    <row r="1055" spans="1:5" x14ac:dyDescent="0.25">
      <c r="A1055" t="s">
        <v>168</v>
      </c>
      <c r="B1055" s="5">
        <v>34997</v>
      </c>
      <c r="C1055" s="5" t="str">
        <f t="shared" si="16"/>
        <v>VRELL009.02_34997</v>
      </c>
      <c r="D1055" t="s">
        <v>2520</v>
      </c>
      <c r="E1055">
        <f>COUNTIF(data.SampSummary!$C$2:$C$958,C1055)</f>
        <v>0</v>
      </c>
    </row>
    <row r="1056" spans="1:5" x14ac:dyDescent="0.25">
      <c r="A1056" t="s">
        <v>241</v>
      </c>
      <c r="B1056" s="5">
        <v>34445</v>
      </c>
      <c r="C1056" s="5" t="str">
        <f t="shared" si="16"/>
        <v>SCCIE019.90_34445</v>
      </c>
      <c r="D1056" t="s">
        <v>2521</v>
      </c>
      <c r="E1056">
        <f>COUNTIF(data.SampSummary!$C$2:$C$958,C1056)</f>
        <v>1</v>
      </c>
    </row>
    <row r="1057" spans="1:5" x14ac:dyDescent="0.25">
      <c r="A1057" t="s">
        <v>130</v>
      </c>
      <c r="B1057" s="5">
        <v>34608</v>
      </c>
      <c r="C1057" s="5" t="str">
        <f t="shared" si="16"/>
        <v>LCCHC073.26_34608</v>
      </c>
      <c r="D1057" t="s">
        <v>2522</v>
      </c>
      <c r="E1057">
        <f>COUNTIF(data.SampSummary!$C$2:$C$958,C1057)</f>
        <v>0</v>
      </c>
    </row>
    <row r="1058" spans="1:5" x14ac:dyDescent="0.25">
      <c r="A1058" t="s">
        <v>1573</v>
      </c>
      <c r="B1058" s="5">
        <v>34525</v>
      </c>
      <c r="C1058" s="5" t="str">
        <f t="shared" si="16"/>
        <v>CGSPG000.17_34525</v>
      </c>
      <c r="D1058" t="s">
        <v>2523</v>
      </c>
      <c r="E1058">
        <f>COUNTIF(data.SampSummary!$C$2:$C$958,C1058)</f>
        <v>0</v>
      </c>
    </row>
    <row r="1059" spans="1:5" x14ac:dyDescent="0.25">
      <c r="A1059" t="s">
        <v>241</v>
      </c>
      <c r="B1059" s="5">
        <v>33711</v>
      </c>
      <c r="C1059" s="5" t="str">
        <f t="shared" si="16"/>
        <v>SCCIE019.90_33711</v>
      </c>
      <c r="D1059" t="s">
        <v>2524</v>
      </c>
      <c r="E1059">
        <f>COUNTIF(data.SampSummary!$C$2:$C$958,C1059)</f>
        <v>1</v>
      </c>
    </row>
    <row r="1060" spans="1:5" x14ac:dyDescent="0.25">
      <c r="A1060" t="s">
        <v>267</v>
      </c>
      <c r="B1060" s="5">
        <v>34608</v>
      </c>
      <c r="C1060" s="5" t="str">
        <f t="shared" si="16"/>
        <v>VRSYH000.25_34608</v>
      </c>
      <c r="D1060" t="s">
        <v>2525</v>
      </c>
      <c r="E1060">
        <f>COUNTIF(data.SampSummary!$C$2:$C$958,C1060)</f>
        <v>0</v>
      </c>
    </row>
    <row r="1061" spans="1:5" x14ac:dyDescent="0.25">
      <c r="A1061" t="s">
        <v>37</v>
      </c>
      <c r="B1061" s="5">
        <v>33737</v>
      </c>
      <c r="C1061" s="5" t="str">
        <f t="shared" si="16"/>
        <v>VRWOK000.82_33737</v>
      </c>
      <c r="D1061" t="s">
        <v>2526</v>
      </c>
      <c r="E1061">
        <f>COUNTIF(data.SampSummary!$C$2:$C$958,C1061)</f>
        <v>1</v>
      </c>
    </row>
    <row r="1062" spans="1:5" x14ac:dyDescent="0.25">
      <c r="A1062" t="s">
        <v>274</v>
      </c>
      <c r="B1062" s="5">
        <v>34864</v>
      </c>
      <c r="C1062" s="5" t="str">
        <f t="shared" si="16"/>
        <v>VRVER165.07_34864</v>
      </c>
      <c r="D1062" t="s">
        <v>2527</v>
      </c>
      <c r="E1062">
        <f>COUNTIF(data.SampSummary!$C$2:$C$958,C1062)</f>
        <v>1</v>
      </c>
    </row>
    <row r="1063" spans="1:5" x14ac:dyDescent="0.25">
      <c r="A1063" t="s">
        <v>190</v>
      </c>
      <c r="B1063" s="5">
        <v>33745</v>
      </c>
      <c r="C1063" s="5" t="str">
        <f t="shared" si="16"/>
        <v>MGAFR087.06_33745</v>
      </c>
      <c r="D1063" t="s">
        <v>2528</v>
      </c>
      <c r="E1063">
        <f>COUNTIF(data.SampSummary!$C$2:$C$958,C1063)</f>
        <v>1</v>
      </c>
    </row>
    <row r="1064" spans="1:5" x14ac:dyDescent="0.25">
      <c r="A1064" t="s">
        <v>188</v>
      </c>
      <c r="B1064" s="5">
        <v>34074</v>
      </c>
      <c r="C1064" s="5" t="str">
        <f t="shared" si="16"/>
        <v>SCSYR004.21_34074</v>
      </c>
      <c r="D1064" t="s">
        <v>2529</v>
      </c>
      <c r="E1064">
        <f>COUNTIF(data.SampSummary!$C$2:$C$958,C1064)</f>
        <v>1</v>
      </c>
    </row>
    <row r="1065" spans="1:5" x14ac:dyDescent="0.25">
      <c r="A1065" t="s">
        <v>44</v>
      </c>
      <c r="B1065" s="5">
        <v>33715</v>
      </c>
      <c r="C1065" s="5" t="str">
        <f t="shared" si="16"/>
        <v>UGMRW011.38_33715</v>
      </c>
      <c r="D1065" t="s">
        <v>2530</v>
      </c>
      <c r="E1065">
        <f>COUNTIF(data.SampSummary!$C$2:$C$958,C1065)</f>
        <v>1</v>
      </c>
    </row>
    <row r="1066" spans="1:5" x14ac:dyDescent="0.25">
      <c r="A1066" t="s">
        <v>23</v>
      </c>
      <c r="B1066" s="5">
        <v>34243</v>
      </c>
      <c r="C1066" s="5" t="str">
        <f t="shared" si="16"/>
        <v>VROAK049.65_34243</v>
      </c>
      <c r="D1066" t="s">
        <v>2531</v>
      </c>
      <c r="E1066">
        <f>COUNTIF(data.SampSummary!$C$2:$C$958,C1066)</f>
        <v>0</v>
      </c>
    </row>
    <row r="1067" spans="1:5" x14ac:dyDescent="0.25">
      <c r="A1067" t="s">
        <v>274</v>
      </c>
      <c r="B1067" s="5">
        <v>34471</v>
      </c>
      <c r="C1067" s="5" t="str">
        <f t="shared" si="16"/>
        <v>VRVER165.07_34471</v>
      </c>
      <c r="D1067" t="s">
        <v>2532</v>
      </c>
      <c r="E1067">
        <f>COUNTIF(data.SampSummary!$C$2:$C$958,C1067)</f>
        <v>1</v>
      </c>
    </row>
    <row r="1068" spans="1:5" x14ac:dyDescent="0.25">
      <c r="A1068" t="s">
        <v>255</v>
      </c>
      <c r="B1068" s="5">
        <v>34436</v>
      </c>
      <c r="C1068" s="5" t="str">
        <f t="shared" si="16"/>
        <v>SPARA017.25_34436</v>
      </c>
      <c r="D1068" t="s">
        <v>2533</v>
      </c>
      <c r="E1068">
        <f>COUNTIF(data.SampSummary!$C$2:$C$958,C1068)</f>
        <v>1</v>
      </c>
    </row>
    <row r="1069" spans="1:5" x14ac:dyDescent="0.25">
      <c r="A1069" t="s">
        <v>280</v>
      </c>
      <c r="B1069" s="5">
        <v>34829</v>
      </c>
      <c r="C1069" s="5" t="str">
        <f t="shared" si="16"/>
        <v>VROAK016.70_34829</v>
      </c>
      <c r="D1069" t="s">
        <v>2534</v>
      </c>
      <c r="E1069">
        <f>COUNTIF(data.SampSummary!$C$2:$C$958,C1069)</f>
        <v>1</v>
      </c>
    </row>
    <row r="1070" spans="1:5" x14ac:dyDescent="0.25">
      <c r="A1070" t="s">
        <v>81</v>
      </c>
      <c r="B1070" s="5">
        <v>34793</v>
      </c>
      <c r="C1070" s="5" t="str">
        <f t="shared" si="16"/>
        <v>SPCRC013.37_34793</v>
      </c>
      <c r="D1070" t="s">
        <v>2535</v>
      </c>
      <c r="E1070">
        <f>COUNTIF(data.SampSummary!$C$2:$C$958,C1070)</f>
        <v>1</v>
      </c>
    </row>
    <row r="1071" spans="1:5" x14ac:dyDescent="0.25">
      <c r="A1071" t="s">
        <v>86</v>
      </c>
      <c r="B1071" s="5">
        <v>33763</v>
      </c>
      <c r="C1071" s="5" t="str">
        <f t="shared" si="16"/>
        <v>SRWFB005.34_33763</v>
      </c>
      <c r="D1071" t="s">
        <v>2536</v>
      </c>
      <c r="E1071">
        <f>COUNTIF(data.SampSummary!$C$2:$C$958,C1071)</f>
        <v>1</v>
      </c>
    </row>
    <row r="1072" spans="1:5" x14ac:dyDescent="0.25">
      <c r="A1072" t="s">
        <v>2537</v>
      </c>
      <c r="B1072" s="5">
        <v>34990</v>
      </c>
      <c r="C1072" s="5" t="str">
        <f t="shared" si="16"/>
        <v>SRCRS005.42_34990</v>
      </c>
      <c r="D1072" t="s">
        <v>2538</v>
      </c>
      <c r="E1072">
        <f>COUNTIF(data.SampSummary!$C$2:$C$958,C1072)</f>
        <v>0</v>
      </c>
    </row>
    <row r="1073" spans="1:5" x14ac:dyDescent="0.25">
      <c r="A1073" t="s">
        <v>49</v>
      </c>
      <c r="B1073" s="5">
        <v>33729</v>
      </c>
      <c r="C1073" s="5" t="str">
        <f t="shared" si="16"/>
        <v>VRWCL036.37_33729</v>
      </c>
      <c r="D1073" t="s">
        <v>2539</v>
      </c>
      <c r="E1073">
        <f>COUNTIF(data.SampSummary!$C$2:$C$958,C1073)</f>
        <v>1</v>
      </c>
    </row>
    <row r="1074" spans="1:5" x14ac:dyDescent="0.25">
      <c r="A1074" t="s">
        <v>222</v>
      </c>
      <c r="B1074" s="5">
        <v>33736</v>
      </c>
      <c r="C1074" s="5" t="str">
        <f t="shared" si="16"/>
        <v>SRCHE013.65_33736</v>
      </c>
      <c r="D1074" t="s">
        <v>2540</v>
      </c>
      <c r="E1074">
        <f>COUNTIF(data.SampSummary!$C$2:$C$958,C1074)</f>
        <v>1</v>
      </c>
    </row>
    <row r="1075" spans="1:5" x14ac:dyDescent="0.25">
      <c r="A1075" t="s">
        <v>72</v>
      </c>
      <c r="B1075" s="5">
        <v>34498</v>
      </c>
      <c r="C1075" s="5" t="str">
        <f t="shared" si="16"/>
        <v>SRNBE000.86_34498</v>
      </c>
      <c r="D1075" t="s">
        <v>2541</v>
      </c>
      <c r="E1075">
        <f>COUNTIF(data.SampSummary!$C$2:$C$958,C1075)</f>
        <v>1</v>
      </c>
    </row>
    <row r="1076" spans="1:5" x14ac:dyDescent="0.25">
      <c r="A1076" t="s">
        <v>24</v>
      </c>
      <c r="B1076" s="5">
        <v>34998</v>
      </c>
      <c r="C1076" s="5" t="str">
        <f t="shared" si="16"/>
        <v>VRWCL023.36_34998</v>
      </c>
      <c r="D1076" t="s">
        <v>2542</v>
      </c>
      <c r="E1076">
        <f>COUNTIF(data.SampSummary!$C$2:$C$958,C1076)</f>
        <v>0</v>
      </c>
    </row>
    <row r="1077" spans="1:5" x14ac:dyDescent="0.25">
      <c r="A1077" t="s">
        <v>209</v>
      </c>
      <c r="B1077" s="5">
        <v>34864</v>
      </c>
      <c r="C1077" s="5" t="str">
        <f t="shared" si="16"/>
        <v>VRSYM016.44_34864</v>
      </c>
      <c r="D1077" t="s">
        <v>2543</v>
      </c>
      <c r="E1077">
        <f>COUNTIF(data.SampSummary!$C$2:$C$958,C1077)</f>
        <v>1</v>
      </c>
    </row>
    <row r="1078" spans="1:5" x14ac:dyDescent="0.25">
      <c r="A1078" t="s">
        <v>140</v>
      </c>
      <c r="B1078" s="5">
        <v>33784</v>
      </c>
      <c r="C1078" s="5" t="str">
        <f t="shared" si="16"/>
        <v>UGEAG056.85_33784</v>
      </c>
      <c r="D1078" t="s">
        <v>2544</v>
      </c>
      <c r="E1078">
        <f>COUNTIF(data.SampSummary!$C$2:$C$958,C1078)</f>
        <v>1</v>
      </c>
    </row>
    <row r="1079" spans="1:5" x14ac:dyDescent="0.25">
      <c r="A1079" t="s">
        <v>193</v>
      </c>
      <c r="B1079" s="5">
        <v>34243</v>
      </c>
      <c r="C1079" s="5" t="str">
        <f t="shared" si="16"/>
        <v>VRSYW001.72_34243</v>
      </c>
      <c r="D1079" t="s">
        <v>2545</v>
      </c>
      <c r="E1079">
        <f>COUNTIF(data.SampSummary!$C$2:$C$958,C1079)</f>
        <v>0</v>
      </c>
    </row>
    <row r="1080" spans="1:5" x14ac:dyDescent="0.25">
      <c r="A1080" t="s">
        <v>94</v>
      </c>
      <c r="B1080" s="5">
        <v>35207</v>
      </c>
      <c r="C1080" s="5" t="str">
        <f t="shared" si="16"/>
        <v>LCMAM002.05_35207</v>
      </c>
      <c r="D1080" t="s">
        <v>2546</v>
      </c>
      <c r="E1080">
        <f>COUNTIF(data.SampSummary!$C$2:$C$958,C1080)</f>
        <v>0</v>
      </c>
    </row>
    <row r="1081" spans="1:5" x14ac:dyDescent="0.25">
      <c r="A1081" t="s">
        <v>54</v>
      </c>
      <c r="B1081" s="5">
        <v>33744</v>
      </c>
      <c r="C1081" s="5" t="str">
        <f t="shared" si="16"/>
        <v>UGCOL003.48_33744</v>
      </c>
      <c r="D1081" t="s">
        <v>2547</v>
      </c>
      <c r="E1081">
        <f>COUNTIF(data.SampSummary!$C$2:$C$958,C1081)</f>
        <v>1</v>
      </c>
    </row>
    <row r="1082" spans="1:5" x14ac:dyDescent="0.25">
      <c r="A1082" t="s">
        <v>88</v>
      </c>
      <c r="B1082" s="5">
        <v>33792</v>
      </c>
      <c r="C1082" s="5" t="str">
        <f t="shared" si="16"/>
        <v>LCELR007.74_33792</v>
      </c>
      <c r="D1082" t="s">
        <v>2548</v>
      </c>
      <c r="E1082">
        <f>COUNTIF(data.SampSummary!$C$2:$C$958,C1082)</f>
        <v>1</v>
      </c>
    </row>
    <row r="1083" spans="1:5" x14ac:dyDescent="0.25">
      <c r="A1083" t="s">
        <v>262</v>
      </c>
      <c r="B1083" s="5">
        <v>34477</v>
      </c>
      <c r="C1083" s="5" t="str">
        <f t="shared" si="16"/>
        <v>UGEAG040.33_34477</v>
      </c>
      <c r="D1083" t="s">
        <v>2549</v>
      </c>
      <c r="E1083">
        <f>COUNTIF(data.SampSummary!$C$2:$C$958,C1083)</f>
        <v>1</v>
      </c>
    </row>
    <row r="1084" spans="1:5" x14ac:dyDescent="0.25">
      <c r="A1084" t="s">
        <v>2550</v>
      </c>
      <c r="B1084" s="5">
        <v>34086</v>
      </c>
      <c r="C1084" s="5" t="str">
        <f t="shared" si="16"/>
        <v>MGLIO000.19_34086</v>
      </c>
      <c r="D1084" t="s">
        <v>2551</v>
      </c>
      <c r="E1084">
        <f>COUNTIF(data.SampSummary!$C$2:$C$958,C1084)</f>
        <v>0</v>
      </c>
    </row>
    <row r="1085" spans="1:5" x14ac:dyDescent="0.25">
      <c r="A1085" t="s">
        <v>45</v>
      </c>
      <c r="B1085" s="5">
        <v>35194</v>
      </c>
      <c r="C1085" s="5" t="str">
        <f t="shared" si="16"/>
        <v>SRREY001.14_35194</v>
      </c>
      <c r="D1085" t="s">
        <v>2552</v>
      </c>
      <c r="E1085">
        <f>COUNTIF(data.SampSummary!$C$2:$C$958,C1085)</f>
        <v>1</v>
      </c>
    </row>
    <row r="1086" spans="1:5" x14ac:dyDescent="0.25">
      <c r="A1086" t="s">
        <v>295</v>
      </c>
      <c r="B1086" s="5">
        <v>35003</v>
      </c>
      <c r="C1086" s="5" t="str">
        <f t="shared" si="16"/>
        <v>VRROU002.93_35003</v>
      </c>
      <c r="D1086" t="s">
        <v>2553</v>
      </c>
      <c r="E1086">
        <f>COUNTIF(data.SampSummary!$C$2:$C$958,C1086)</f>
        <v>0</v>
      </c>
    </row>
    <row r="1087" spans="1:5" x14ac:dyDescent="0.25">
      <c r="A1087" t="s">
        <v>35</v>
      </c>
      <c r="B1087" s="5">
        <v>35206</v>
      </c>
      <c r="C1087" s="5" t="str">
        <f t="shared" si="16"/>
        <v>UGCMB004.23_35206</v>
      </c>
      <c r="D1087" t="s">
        <v>2554</v>
      </c>
      <c r="E1087">
        <f>COUNTIF(data.SampSummary!$C$2:$C$958,C1087)</f>
        <v>1</v>
      </c>
    </row>
    <row r="1088" spans="1:5" x14ac:dyDescent="0.25">
      <c r="A1088" t="s">
        <v>23</v>
      </c>
      <c r="B1088" s="5">
        <v>34304</v>
      </c>
      <c r="C1088" s="5" t="str">
        <f t="shared" si="16"/>
        <v>VROAK049.65_34304</v>
      </c>
      <c r="D1088" t="s">
        <v>2555</v>
      </c>
      <c r="E1088">
        <f>COUNTIF(data.SampSummary!$C$2:$C$958,C1088)</f>
        <v>0</v>
      </c>
    </row>
    <row r="1089" spans="1:5" x14ac:dyDescent="0.25">
      <c r="A1089" t="s">
        <v>214</v>
      </c>
      <c r="B1089" s="5">
        <v>33772</v>
      </c>
      <c r="C1089" s="5" t="str">
        <f t="shared" si="16"/>
        <v>CGKAN000.26_33772</v>
      </c>
      <c r="D1089" t="s">
        <v>2556</v>
      </c>
      <c r="E1089">
        <f>COUNTIF(data.SampSummary!$C$2:$C$958,C1089)</f>
        <v>1</v>
      </c>
    </row>
    <row r="1090" spans="1:5" x14ac:dyDescent="0.25">
      <c r="A1090" t="s">
        <v>57</v>
      </c>
      <c r="B1090" s="5">
        <v>34499</v>
      </c>
      <c r="C1090" s="5" t="str">
        <f t="shared" si="16"/>
        <v>SREFB008.27_34499</v>
      </c>
      <c r="D1090" t="s">
        <v>2557</v>
      </c>
      <c r="E1090">
        <f>COUNTIF(data.SampSummary!$C$2:$C$958,C1090)</f>
        <v>1</v>
      </c>
    </row>
    <row r="1091" spans="1:5" x14ac:dyDescent="0.25">
      <c r="A1091" t="s">
        <v>222</v>
      </c>
      <c r="B1091" s="5">
        <v>35193</v>
      </c>
      <c r="C1091" s="5" t="str">
        <f t="shared" ref="C1091:C1154" si="17">A1091&amp;"_"&amp;B1091</f>
        <v>SRCHE013.65_35193</v>
      </c>
      <c r="D1091" t="s">
        <v>2558</v>
      </c>
      <c r="E1091">
        <f>COUNTIF(data.SampSummary!$C$2:$C$958,C1091)</f>
        <v>1</v>
      </c>
    </row>
    <row r="1092" spans="1:5" x14ac:dyDescent="0.25">
      <c r="A1092" t="s">
        <v>295</v>
      </c>
      <c r="B1092" s="5">
        <v>34243</v>
      </c>
      <c r="C1092" s="5" t="str">
        <f t="shared" si="17"/>
        <v>VRROU002.93_34243</v>
      </c>
      <c r="D1092" t="s">
        <v>2559</v>
      </c>
      <c r="E1092">
        <f>COUNTIF(data.SampSummary!$C$2:$C$958,C1092)</f>
        <v>0</v>
      </c>
    </row>
    <row r="1093" spans="1:5" x14ac:dyDescent="0.25">
      <c r="A1093" t="s">
        <v>2269</v>
      </c>
      <c r="B1093" s="5">
        <v>33724</v>
      </c>
      <c r="C1093" s="5" t="str">
        <f t="shared" si="17"/>
        <v>VRBLA010.11_33724</v>
      </c>
      <c r="D1093" t="s">
        <v>2560</v>
      </c>
      <c r="E1093">
        <f>COUNTIF(data.SampSummary!$C$2:$C$958,C1093)</f>
        <v>0</v>
      </c>
    </row>
    <row r="1094" spans="1:5" x14ac:dyDescent="0.25">
      <c r="A1094" t="s">
        <v>271</v>
      </c>
      <c r="B1094" s="5">
        <v>33730</v>
      </c>
      <c r="C1094" s="5" t="str">
        <f t="shared" si="17"/>
        <v>VRWCL011.16_33730</v>
      </c>
      <c r="D1094" t="s">
        <v>2561</v>
      </c>
      <c r="E1094">
        <f>COUNTIF(data.SampSummary!$C$2:$C$958,C1094)</f>
        <v>1</v>
      </c>
    </row>
    <row r="1095" spans="1:5" x14ac:dyDescent="0.25">
      <c r="A1095" t="s">
        <v>40</v>
      </c>
      <c r="B1095" s="5">
        <v>34865</v>
      </c>
      <c r="C1095" s="5" t="str">
        <f t="shared" si="17"/>
        <v>VRWEB009.13_34865</v>
      </c>
      <c r="D1095" t="s">
        <v>2562</v>
      </c>
      <c r="E1095">
        <f>COUNTIF(data.SampSummary!$C$2:$C$958,C1095)</f>
        <v>1</v>
      </c>
    </row>
    <row r="1096" spans="1:5" x14ac:dyDescent="0.25">
      <c r="A1096" t="s">
        <v>84</v>
      </c>
      <c r="B1096" s="5">
        <v>34137</v>
      </c>
      <c r="C1096" s="5" t="str">
        <f t="shared" si="17"/>
        <v>SRRES000.33_34137</v>
      </c>
      <c r="D1096" t="s">
        <v>2563</v>
      </c>
      <c r="E1096">
        <f>COUNTIF(data.SampSummary!$C$2:$C$958,C1096)</f>
        <v>1</v>
      </c>
    </row>
    <row r="1097" spans="1:5" x14ac:dyDescent="0.25">
      <c r="A1097" t="s">
        <v>256</v>
      </c>
      <c r="B1097" s="5">
        <v>33700</v>
      </c>
      <c r="C1097" s="5" t="str">
        <f t="shared" si="17"/>
        <v>SPRDC012.76_33700</v>
      </c>
      <c r="D1097" t="s">
        <v>2564</v>
      </c>
      <c r="E1097">
        <f>COUNTIF(data.SampSummary!$C$2:$C$958,C1097)</f>
        <v>1</v>
      </c>
    </row>
    <row r="1098" spans="1:5" x14ac:dyDescent="0.25">
      <c r="A1098" t="s">
        <v>325</v>
      </c>
      <c r="B1098" s="5">
        <v>34107</v>
      </c>
      <c r="C1098" s="5" t="str">
        <f t="shared" si="17"/>
        <v>UGPIG002.47_34107</v>
      </c>
      <c r="D1098" t="s">
        <v>2565</v>
      </c>
      <c r="E1098">
        <f>COUNTIF(data.SampSummary!$C$2:$C$958,C1098)</f>
        <v>1</v>
      </c>
    </row>
    <row r="1099" spans="1:5" x14ac:dyDescent="0.25">
      <c r="A1099" t="s">
        <v>45</v>
      </c>
      <c r="B1099" s="5">
        <v>34465</v>
      </c>
      <c r="C1099" s="5" t="str">
        <f t="shared" si="17"/>
        <v>SRREY001.14_34465</v>
      </c>
      <c r="D1099" t="s">
        <v>2566</v>
      </c>
      <c r="E1099">
        <f>COUNTIF(data.SampSummary!$C$2:$C$958,C1099)</f>
        <v>1</v>
      </c>
    </row>
    <row r="1100" spans="1:5" x14ac:dyDescent="0.25">
      <c r="A1100" t="s">
        <v>140</v>
      </c>
      <c r="B1100" s="5">
        <v>34106</v>
      </c>
      <c r="C1100" s="5" t="str">
        <f t="shared" si="17"/>
        <v>UGEAG056.85_34106</v>
      </c>
      <c r="D1100" t="s">
        <v>2567</v>
      </c>
      <c r="E1100">
        <f>COUNTIF(data.SampSummary!$C$2:$C$958,C1100)</f>
        <v>1</v>
      </c>
    </row>
    <row r="1101" spans="1:5" x14ac:dyDescent="0.25">
      <c r="A1101" t="s">
        <v>352</v>
      </c>
      <c r="B1101" s="5">
        <v>34080</v>
      </c>
      <c r="C1101" s="5" t="str">
        <f t="shared" si="17"/>
        <v>BWCNG006.59_34080</v>
      </c>
      <c r="D1101" t="s">
        <v>2568</v>
      </c>
      <c r="E1101">
        <f>COUNTIF(data.SampSummary!$C$2:$C$958,C1101)</f>
        <v>1</v>
      </c>
    </row>
    <row r="1102" spans="1:5" x14ac:dyDescent="0.25">
      <c r="A1102" t="s">
        <v>193</v>
      </c>
      <c r="B1102" s="5">
        <v>35010</v>
      </c>
      <c r="C1102" s="5" t="str">
        <f t="shared" si="17"/>
        <v>VRSYW001.72_35010</v>
      </c>
      <c r="D1102" t="s">
        <v>2569</v>
      </c>
      <c r="E1102">
        <f>COUNTIF(data.SampSummary!$C$2:$C$958,C1102)</f>
        <v>0</v>
      </c>
    </row>
    <row r="1103" spans="1:5" x14ac:dyDescent="0.25">
      <c r="A1103" t="s">
        <v>347</v>
      </c>
      <c r="B1103" s="5">
        <v>33708</v>
      </c>
      <c r="C1103" s="5" t="str">
        <f t="shared" si="17"/>
        <v>SRCGN009.78_33708</v>
      </c>
      <c r="D1103" t="s">
        <v>2570</v>
      </c>
      <c r="E1103">
        <f>COUNTIF(data.SampSummary!$C$2:$C$958,C1103)</f>
        <v>1</v>
      </c>
    </row>
    <row r="1104" spans="1:5" x14ac:dyDescent="0.25">
      <c r="A1104" t="s">
        <v>207</v>
      </c>
      <c r="B1104" s="5">
        <v>34492</v>
      </c>
      <c r="C1104" s="5" t="str">
        <f t="shared" si="17"/>
        <v>CGVGR039.41_34492</v>
      </c>
      <c r="D1104" t="s">
        <v>2571</v>
      </c>
      <c r="E1104">
        <f>COUNTIF(data.SampSummary!$C$2:$C$958,C1104)</f>
        <v>1</v>
      </c>
    </row>
    <row r="1105" spans="1:5" x14ac:dyDescent="0.25">
      <c r="A1105" t="s">
        <v>260</v>
      </c>
      <c r="B1105" s="5">
        <v>34835</v>
      </c>
      <c r="C1105" s="5" t="str">
        <f t="shared" si="17"/>
        <v>VROAK034.02_34835</v>
      </c>
      <c r="D1105" t="s">
        <v>2572</v>
      </c>
      <c r="E1105">
        <f>COUNTIF(data.SampSummary!$C$2:$C$958,C1105)</f>
        <v>1</v>
      </c>
    </row>
    <row r="1106" spans="1:5" x14ac:dyDescent="0.25">
      <c r="A1106" t="s">
        <v>371</v>
      </c>
      <c r="B1106" s="5">
        <v>34067</v>
      </c>
      <c r="C1106" s="5" t="str">
        <f t="shared" si="17"/>
        <v>SCRED008.94_34067</v>
      </c>
      <c r="D1106" t="s">
        <v>2573</v>
      </c>
      <c r="E1106">
        <f>COUNTIF(data.SampSummary!$C$2:$C$958,C1106)</f>
        <v>1</v>
      </c>
    </row>
    <row r="1107" spans="1:5" x14ac:dyDescent="0.25">
      <c r="A1107" t="s">
        <v>237</v>
      </c>
      <c r="B1107" s="5">
        <v>33769</v>
      </c>
      <c r="C1107" s="5" t="str">
        <f t="shared" si="17"/>
        <v>CGHRM001.58_33769</v>
      </c>
      <c r="D1107" t="s">
        <v>2574</v>
      </c>
      <c r="E1107">
        <f>COUNTIF(data.SampSummary!$C$2:$C$958,C1107)</f>
        <v>1</v>
      </c>
    </row>
    <row r="1108" spans="1:5" x14ac:dyDescent="0.25">
      <c r="A1108" t="s">
        <v>274</v>
      </c>
      <c r="B1108" s="5">
        <v>34983</v>
      </c>
      <c r="C1108" s="5" t="str">
        <f t="shared" si="17"/>
        <v>VRVER165.07_34983</v>
      </c>
      <c r="D1108" t="s">
        <v>2575</v>
      </c>
      <c r="E1108">
        <f>COUNTIF(data.SampSummary!$C$2:$C$958,C1108)</f>
        <v>0</v>
      </c>
    </row>
    <row r="1109" spans="1:5" x14ac:dyDescent="0.25">
      <c r="A1109" t="s">
        <v>2269</v>
      </c>
      <c r="B1109" s="5">
        <v>34991</v>
      </c>
      <c r="C1109" s="5" t="str">
        <f t="shared" si="17"/>
        <v>VRBLA010.11_34991</v>
      </c>
      <c r="D1109" t="s">
        <v>2576</v>
      </c>
      <c r="E1109">
        <f>COUNTIF(data.SampSummary!$C$2:$C$958,C1109)</f>
        <v>0</v>
      </c>
    </row>
    <row r="1110" spans="1:5" x14ac:dyDescent="0.25">
      <c r="A1110" t="s">
        <v>260</v>
      </c>
      <c r="B1110" s="5">
        <v>35011</v>
      </c>
      <c r="C1110" s="5" t="str">
        <f t="shared" si="17"/>
        <v>VROAK034.02_35011</v>
      </c>
      <c r="D1110" t="s">
        <v>2577</v>
      </c>
      <c r="E1110">
        <f>COUNTIF(data.SampSummary!$C$2:$C$958,C1110)</f>
        <v>0</v>
      </c>
    </row>
    <row r="1111" spans="1:5" x14ac:dyDescent="0.25">
      <c r="A1111" t="s">
        <v>274</v>
      </c>
      <c r="B1111" s="5">
        <v>34304</v>
      </c>
      <c r="C1111" s="5" t="str">
        <f t="shared" si="17"/>
        <v>VRVER165.07_34304</v>
      </c>
      <c r="D1111" t="s">
        <v>2578</v>
      </c>
      <c r="E1111">
        <f>COUNTIF(data.SampSummary!$C$2:$C$958,C1111)</f>
        <v>0</v>
      </c>
    </row>
    <row r="1112" spans="1:5" x14ac:dyDescent="0.25">
      <c r="A1112" t="s">
        <v>274</v>
      </c>
      <c r="B1112" s="5">
        <v>34099</v>
      </c>
      <c r="C1112" s="5" t="str">
        <f t="shared" si="17"/>
        <v>VRVER165.07_34099</v>
      </c>
      <c r="D1112" t="s">
        <v>2579</v>
      </c>
      <c r="E1112">
        <f>COUNTIF(data.SampSummary!$C$2:$C$958,C1112)</f>
        <v>1</v>
      </c>
    </row>
    <row r="1113" spans="1:5" x14ac:dyDescent="0.25">
      <c r="A1113" t="s">
        <v>2580</v>
      </c>
      <c r="B1113" s="5">
        <v>34990</v>
      </c>
      <c r="C1113" s="5" t="str">
        <f t="shared" si="17"/>
        <v>SRCRS001.54_34990</v>
      </c>
      <c r="D1113" t="s">
        <v>2581</v>
      </c>
      <c r="E1113">
        <f>COUNTIF(data.SampSummary!$C$2:$C$958,C1113)</f>
        <v>0</v>
      </c>
    </row>
    <row r="1114" spans="1:5" x14ac:dyDescent="0.25">
      <c r="A1114" t="s">
        <v>140</v>
      </c>
      <c r="B1114" s="5">
        <v>35198</v>
      </c>
      <c r="C1114" s="5" t="str">
        <f t="shared" si="17"/>
        <v>UGEAG056.85_35198</v>
      </c>
      <c r="D1114" t="s">
        <v>2582</v>
      </c>
      <c r="E1114">
        <f>COUNTIF(data.SampSummary!$C$2:$C$958,C1114)</f>
        <v>1</v>
      </c>
    </row>
    <row r="1115" spans="1:5" x14ac:dyDescent="0.25">
      <c r="A1115" t="s">
        <v>2583</v>
      </c>
      <c r="B1115" s="5">
        <v>33709</v>
      </c>
      <c r="C1115" s="5" t="str">
        <f t="shared" si="17"/>
        <v>SCGDN018.24_33709</v>
      </c>
      <c r="D1115" t="s">
        <v>2584</v>
      </c>
      <c r="E1115">
        <f>COUNTIF(data.SampSummary!$C$2:$C$958,C1115)</f>
        <v>0</v>
      </c>
    </row>
    <row r="1116" spans="1:5" x14ac:dyDescent="0.25">
      <c r="A1116" t="s">
        <v>287</v>
      </c>
      <c r="B1116" s="5">
        <v>34970</v>
      </c>
      <c r="C1116" s="5" t="str">
        <f t="shared" si="17"/>
        <v>VRGAP000.92_34970</v>
      </c>
      <c r="D1116" t="s">
        <v>2585</v>
      </c>
      <c r="E1116">
        <f>COUNTIF(data.SampSummary!$C$2:$C$958,C1116)</f>
        <v>0</v>
      </c>
    </row>
    <row r="1117" spans="1:5" x14ac:dyDescent="0.25">
      <c r="A1117" t="s">
        <v>62</v>
      </c>
      <c r="B1117" s="5">
        <v>34491</v>
      </c>
      <c r="C1117" s="5" t="str">
        <f t="shared" si="17"/>
        <v>LCBRB006.74_34491</v>
      </c>
      <c r="D1117" t="s">
        <v>2586</v>
      </c>
      <c r="E1117">
        <f>COUNTIF(data.SampSummary!$C$2:$C$958,C1117)</f>
        <v>1</v>
      </c>
    </row>
    <row r="1118" spans="1:5" x14ac:dyDescent="0.25">
      <c r="A1118" t="s">
        <v>307</v>
      </c>
      <c r="B1118" s="5">
        <v>34967</v>
      </c>
      <c r="C1118" s="5" t="str">
        <f t="shared" si="17"/>
        <v>VRWBV009.31_34967</v>
      </c>
      <c r="D1118" t="s">
        <v>2587</v>
      </c>
      <c r="E1118">
        <f>COUNTIF(data.SampSummary!$C$2:$C$958,C1118)</f>
        <v>0</v>
      </c>
    </row>
    <row r="1119" spans="1:5" x14ac:dyDescent="0.25">
      <c r="A1119" t="s">
        <v>264</v>
      </c>
      <c r="B1119" s="5">
        <v>34984</v>
      </c>
      <c r="C1119" s="5" t="str">
        <f t="shared" si="17"/>
        <v>VRVER137.80_34984</v>
      </c>
      <c r="D1119" t="s">
        <v>2588</v>
      </c>
      <c r="E1119">
        <f>COUNTIF(data.SampSummary!$C$2:$C$958,C1119)</f>
        <v>0</v>
      </c>
    </row>
    <row r="1120" spans="1:5" x14ac:dyDescent="0.25">
      <c r="A1120" t="s">
        <v>261</v>
      </c>
      <c r="B1120" s="5">
        <v>34967</v>
      </c>
      <c r="C1120" s="5" t="str">
        <f t="shared" si="17"/>
        <v>VRWBV012.56_34967</v>
      </c>
      <c r="D1120" t="s">
        <v>2589</v>
      </c>
      <c r="E1120">
        <f>COUNTIF(data.SampSummary!$C$2:$C$958,C1120)</f>
        <v>0</v>
      </c>
    </row>
    <row r="1121" spans="1:5" x14ac:dyDescent="0.25">
      <c r="A1121" t="s">
        <v>159</v>
      </c>
      <c r="B1121" s="5">
        <v>34129</v>
      </c>
      <c r="C1121" s="5" t="str">
        <f t="shared" si="17"/>
        <v>LCECL017.75_34129</v>
      </c>
      <c r="D1121" t="s">
        <v>2590</v>
      </c>
      <c r="E1121">
        <f>COUNTIF(data.SampSummary!$C$2:$C$958,C1121)</f>
        <v>1</v>
      </c>
    </row>
    <row r="1122" spans="1:5" x14ac:dyDescent="0.25">
      <c r="A1122" t="s">
        <v>21</v>
      </c>
      <c r="B1122" s="5">
        <v>34501</v>
      </c>
      <c r="C1122" s="5" t="str">
        <f t="shared" si="17"/>
        <v>LCWLR005.31_34501</v>
      </c>
      <c r="D1122" t="s">
        <v>2591</v>
      </c>
      <c r="E1122">
        <f>COUNTIF(data.SampSummary!$C$2:$C$958,C1122)</f>
        <v>1</v>
      </c>
    </row>
    <row r="1123" spans="1:5" x14ac:dyDescent="0.25">
      <c r="A1123" t="s">
        <v>2441</v>
      </c>
      <c r="B1123" s="5">
        <v>33765</v>
      </c>
      <c r="C1123" s="5" t="str">
        <f t="shared" si="17"/>
        <v>SRHRT002.34_33765</v>
      </c>
      <c r="D1123" t="s">
        <v>2592</v>
      </c>
      <c r="E1123">
        <f>COUNTIF(data.SampSummary!$C$2:$C$958,C1123)</f>
        <v>0</v>
      </c>
    </row>
    <row r="1124" spans="1:5" x14ac:dyDescent="0.25">
      <c r="A1124" t="s">
        <v>44</v>
      </c>
      <c r="B1124" s="5">
        <v>34108</v>
      </c>
      <c r="C1124" s="5" t="str">
        <f t="shared" si="17"/>
        <v>UGMRW011.38_34108</v>
      </c>
      <c r="D1124" t="s">
        <v>2593</v>
      </c>
      <c r="E1124">
        <f>COUNTIF(data.SampSummary!$C$2:$C$958,C1124)</f>
        <v>1</v>
      </c>
    </row>
    <row r="1125" spans="1:5" x14ac:dyDescent="0.25">
      <c r="A1125" t="s">
        <v>1519</v>
      </c>
      <c r="B1125" s="5">
        <v>33778</v>
      </c>
      <c r="C1125" s="5" t="str">
        <f t="shared" si="17"/>
        <v>LCBRB000.27_33778</v>
      </c>
      <c r="D1125" t="s">
        <v>2594</v>
      </c>
      <c r="E1125">
        <f>COUNTIF(data.SampSummary!$C$2:$C$958,C1125)</f>
        <v>0</v>
      </c>
    </row>
    <row r="1126" spans="1:5" x14ac:dyDescent="0.25">
      <c r="A1126" t="s">
        <v>276</v>
      </c>
      <c r="B1126" s="5">
        <v>34992</v>
      </c>
      <c r="C1126" s="5" t="str">
        <f t="shared" si="17"/>
        <v>VROAK038.61_34992</v>
      </c>
      <c r="D1126" t="s">
        <v>2595</v>
      </c>
      <c r="E1126">
        <f>COUNTIF(data.SampSummary!$C$2:$C$958,C1126)</f>
        <v>0</v>
      </c>
    </row>
    <row r="1127" spans="1:5" x14ac:dyDescent="0.25">
      <c r="A1127" t="s">
        <v>241</v>
      </c>
      <c r="B1127" s="5">
        <v>34075</v>
      </c>
      <c r="C1127" s="5" t="str">
        <f t="shared" si="17"/>
        <v>SCCIE019.90_34075</v>
      </c>
      <c r="D1127" t="s">
        <v>2596</v>
      </c>
      <c r="E1127">
        <f>COUNTIF(data.SampSummary!$C$2:$C$958,C1127)</f>
        <v>1</v>
      </c>
    </row>
    <row r="1128" spans="1:5" x14ac:dyDescent="0.25">
      <c r="A1128" t="s">
        <v>39</v>
      </c>
      <c r="B1128" s="5">
        <v>34108</v>
      </c>
      <c r="C1128" s="5" t="str">
        <f t="shared" si="17"/>
        <v>UGFRY009.52_34108</v>
      </c>
      <c r="D1128" t="s">
        <v>2597</v>
      </c>
      <c r="E1128">
        <f>COUNTIF(data.SampSummary!$C$2:$C$958,C1128)</f>
        <v>1</v>
      </c>
    </row>
    <row r="1129" spans="1:5" x14ac:dyDescent="0.25">
      <c r="A1129" t="s">
        <v>160</v>
      </c>
      <c r="B1129" s="5">
        <v>33771</v>
      </c>
      <c r="C1129" s="5" t="str">
        <f t="shared" si="17"/>
        <v>CGTAP000.08_33771</v>
      </c>
      <c r="D1129" t="s">
        <v>2598</v>
      </c>
      <c r="E1129">
        <f>COUNTIF(data.SampSummary!$C$2:$C$958,C1129)</f>
        <v>1</v>
      </c>
    </row>
    <row r="1130" spans="1:5" x14ac:dyDescent="0.25">
      <c r="A1130" t="s">
        <v>267</v>
      </c>
      <c r="B1130" s="5">
        <v>33721</v>
      </c>
      <c r="C1130" s="5" t="str">
        <f t="shared" si="17"/>
        <v>VRSYH000.25_33721</v>
      </c>
      <c r="D1130" t="s">
        <v>2599</v>
      </c>
      <c r="E1130">
        <f>COUNTIF(data.SampSummary!$C$2:$C$958,C1130)</f>
        <v>1</v>
      </c>
    </row>
    <row r="1131" spans="1:5" x14ac:dyDescent="0.25">
      <c r="A1131" t="s">
        <v>40</v>
      </c>
      <c r="B1131" s="5">
        <v>34493</v>
      </c>
      <c r="C1131" s="5" t="str">
        <f t="shared" si="17"/>
        <v>VRWEB009.13_34493</v>
      </c>
      <c r="D1131" t="s">
        <v>2600</v>
      </c>
      <c r="E1131">
        <f>COUNTIF(data.SampSummary!$C$2:$C$958,C1131)</f>
        <v>1</v>
      </c>
    </row>
    <row r="1132" spans="1:5" x14ac:dyDescent="0.25">
      <c r="A1132" t="s">
        <v>271</v>
      </c>
      <c r="B1132" s="5">
        <v>34304</v>
      </c>
      <c r="C1132" s="5" t="str">
        <f t="shared" si="17"/>
        <v>VRWCL011.16_34304</v>
      </c>
      <c r="D1132" t="s">
        <v>2601</v>
      </c>
      <c r="E1132">
        <f>COUNTIF(data.SampSummary!$C$2:$C$958,C1132)</f>
        <v>0</v>
      </c>
    </row>
    <row r="1133" spans="1:5" x14ac:dyDescent="0.25">
      <c r="A1133" t="s">
        <v>245</v>
      </c>
      <c r="B1133" s="5">
        <v>34487</v>
      </c>
      <c r="C1133" s="5" t="str">
        <f t="shared" si="17"/>
        <v>SRHAG007.47_34487</v>
      </c>
      <c r="D1133" t="s">
        <v>2602</v>
      </c>
      <c r="E1133">
        <f>COUNTIF(data.SampSummary!$C$2:$C$958,C1133)</f>
        <v>1</v>
      </c>
    </row>
    <row r="1134" spans="1:5" x14ac:dyDescent="0.25">
      <c r="A1134" t="s">
        <v>188</v>
      </c>
      <c r="B1134" s="5">
        <v>33719</v>
      </c>
      <c r="C1134" s="5" t="str">
        <f t="shared" si="17"/>
        <v>SCSYR004.21_33719</v>
      </c>
      <c r="D1134" t="s">
        <v>2603</v>
      </c>
      <c r="E1134">
        <f>COUNTIF(data.SampSummary!$C$2:$C$958,C1134)</f>
        <v>1</v>
      </c>
    </row>
    <row r="1135" spans="1:5" x14ac:dyDescent="0.25">
      <c r="A1135" t="s">
        <v>267</v>
      </c>
      <c r="B1135" s="5">
        <v>34102</v>
      </c>
      <c r="C1135" s="5" t="str">
        <f t="shared" si="17"/>
        <v>VRSYH000.25_34102</v>
      </c>
      <c r="D1135" t="s">
        <v>2604</v>
      </c>
      <c r="E1135">
        <f>COUNTIF(data.SampSummary!$C$2:$C$958,C1135)</f>
        <v>1</v>
      </c>
    </row>
    <row r="1136" spans="1:5" x14ac:dyDescent="0.25">
      <c r="A1136" t="s">
        <v>262</v>
      </c>
      <c r="B1136" s="5">
        <v>34106</v>
      </c>
      <c r="C1136" s="5" t="str">
        <f t="shared" si="17"/>
        <v>UGEAG040.33_34106</v>
      </c>
      <c r="D1136" t="s">
        <v>2605</v>
      </c>
      <c r="E1136">
        <f>COUNTIF(data.SampSummary!$C$2:$C$958,C1136)</f>
        <v>1</v>
      </c>
    </row>
    <row r="1137" spans="1:5" x14ac:dyDescent="0.25">
      <c r="A1137" t="s">
        <v>126</v>
      </c>
      <c r="B1137" s="5">
        <v>34844</v>
      </c>
      <c r="C1137" s="5" t="str">
        <f t="shared" si="17"/>
        <v>VRELL000.18_34844</v>
      </c>
      <c r="D1137" t="s">
        <v>2606</v>
      </c>
      <c r="E1137">
        <f>COUNTIF(data.SampSummary!$C$2:$C$958,C1137)</f>
        <v>1</v>
      </c>
    </row>
    <row r="1138" spans="1:5" x14ac:dyDescent="0.25">
      <c r="A1138" t="s">
        <v>2607</v>
      </c>
      <c r="B1138" s="5">
        <v>34989</v>
      </c>
      <c r="C1138" s="5" t="str">
        <f t="shared" si="17"/>
        <v>SRCRS003.48_34989</v>
      </c>
      <c r="D1138" t="s">
        <v>2608</v>
      </c>
      <c r="E1138">
        <f>COUNTIF(data.SampSummary!$C$2:$C$958,C1138)</f>
        <v>0</v>
      </c>
    </row>
    <row r="1139" spans="1:5" x14ac:dyDescent="0.25">
      <c r="A1139" t="s">
        <v>1375</v>
      </c>
      <c r="B1139" s="5">
        <v>34074</v>
      </c>
      <c r="C1139" s="5" t="str">
        <f t="shared" si="17"/>
        <v>SCMAD012.71_34074</v>
      </c>
      <c r="D1139" t="s">
        <v>2609</v>
      </c>
      <c r="E1139">
        <f>COUNTIF(data.SampSummary!$C$2:$C$958,C1139)</f>
        <v>0</v>
      </c>
    </row>
    <row r="1140" spans="1:5" x14ac:dyDescent="0.25">
      <c r="A1140" t="s">
        <v>131</v>
      </c>
      <c r="B1140" s="5">
        <v>34975</v>
      </c>
      <c r="C1140" s="5" t="str">
        <f t="shared" si="17"/>
        <v>VROAK043.73_34975</v>
      </c>
      <c r="D1140" t="s">
        <v>2610</v>
      </c>
      <c r="E1140">
        <f>COUNTIF(data.SampSummary!$C$2:$C$958,C1140)</f>
        <v>0</v>
      </c>
    </row>
    <row r="1141" spans="1:5" x14ac:dyDescent="0.25">
      <c r="A1141" t="s">
        <v>336</v>
      </c>
      <c r="B1141" s="5">
        <v>34486</v>
      </c>
      <c r="C1141" s="5" t="str">
        <f t="shared" si="17"/>
        <v>SRTON046.90_34486</v>
      </c>
      <c r="D1141" t="s">
        <v>2611</v>
      </c>
      <c r="E1141">
        <f>COUNTIF(data.SampSummary!$C$2:$C$958,C1141)</f>
        <v>1</v>
      </c>
    </row>
    <row r="1142" spans="1:5" x14ac:dyDescent="0.25">
      <c r="A1142" t="s">
        <v>267</v>
      </c>
      <c r="B1142" s="5">
        <v>34808</v>
      </c>
      <c r="C1142" s="5" t="str">
        <f t="shared" si="17"/>
        <v>VRSYH000.25_34808</v>
      </c>
      <c r="D1142" t="s">
        <v>2612</v>
      </c>
      <c r="E1142">
        <f>COUNTIF(data.SampSummary!$C$2:$C$958,C1142)</f>
        <v>1</v>
      </c>
    </row>
    <row r="1143" spans="1:5" x14ac:dyDescent="0.25">
      <c r="A1143" t="s">
        <v>210</v>
      </c>
      <c r="B1143" s="5">
        <v>34815</v>
      </c>
      <c r="C1143" s="5" t="str">
        <f t="shared" si="17"/>
        <v>VRVER107.68_34815</v>
      </c>
      <c r="D1143" t="s">
        <v>2613</v>
      </c>
      <c r="E1143">
        <f>COUNTIF(data.SampSummary!$C$2:$C$958,C1143)</f>
        <v>1</v>
      </c>
    </row>
    <row r="1144" spans="1:5" x14ac:dyDescent="0.25">
      <c r="A1144" t="s">
        <v>210</v>
      </c>
      <c r="B1144" s="5">
        <v>34243</v>
      </c>
      <c r="C1144" s="5" t="str">
        <f t="shared" si="17"/>
        <v>VRVER107.68_34243</v>
      </c>
      <c r="D1144" t="s">
        <v>2614</v>
      </c>
      <c r="E1144">
        <f>COUNTIF(data.SampSummary!$C$2:$C$958,C1144)</f>
        <v>0</v>
      </c>
    </row>
    <row r="1145" spans="1:5" x14ac:dyDescent="0.25">
      <c r="A1145" t="s">
        <v>195</v>
      </c>
      <c r="B1145" s="5">
        <v>34243</v>
      </c>
      <c r="C1145" s="5" t="str">
        <f t="shared" si="17"/>
        <v>VRWCL005.10_34243</v>
      </c>
      <c r="D1145" t="s">
        <v>2615</v>
      </c>
      <c r="E1145">
        <f>COUNTIF(data.SampSummary!$C$2:$C$958,C1145)</f>
        <v>0</v>
      </c>
    </row>
    <row r="1146" spans="1:5" x14ac:dyDescent="0.25">
      <c r="A1146" t="s">
        <v>54</v>
      </c>
      <c r="B1146" s="5">
        <v>34123</v>
      </c>
      <c r="C1146" s="5" t="str">
        <f t="shared" si="17"/>
        <v>UGCOL003.48_34123</v>
      </c>
      <c r="D1146" t="s">
        <v>2616</v>
      </c>
      <c r="E1146">
        <f>COUNTIF(data.SampSummary!$C$2:$C$958,C1146)</f>
        <v>1</v>
      </c>
    </row>
    <row r="1147" spans="1:5" x14ac:dyDescent="0.25">
      <c r="A1147" t="s">
        <v>130</v>
      </c>
      <c r="B1147" s="5">
        <v>33779</v>
      </c>
      <c r="C1147" s="5" t="str">
        <f t="shared" si="17"/>
        <v>LCCHC073.26_33779</v>
      </c>
      <c r="D1147" t="s">
        <v>2617</v>
      </c>
      <c r="E1147">
        <f>COUNTIF(data.SampSummary!$C$2:$C$958,C1147)</f>
        <v>1</v>
      </c>
    </row>
    <row r="1148" spans="1:5" x14ac:dyDescent="0.25">
      <c r="A1148" t="s">
        <v>340</v>
      </c>
      <c r="B1148" s="5">
        <v>34451</v>
      </c>
      <c r="C1148" s="5" t="str">
        <f t="shared" si="17"/>
        <v>BWSMR029.44_34451</v>
      </c>
      <c r="D1148" t="s">
        <v>2618</v>
      </c>
      <c r="E1148">
        <f>COUNTIF(data.SampSummary!$C$2:$C$958,C1148)</f>
        <v>1</v>
      </c>
    </row>
    <row r="1149" spans="1:5" x14ac:dyDescent="0.25">
      <c r="A1149" t="s">
        <v>42</v>
      </c>
      <c r="B1149" s="5">
        <v>34506</v>
      </c>
      <c r="C1149" s="5" t="str">
        <f t="shared" si="17"/>
        <v>UGLAN000.60_34506</v>
      </c>
      <c r="D1149" t="s">
        <v>2619</v>
      </c>
      <c r="E1149">
        <f>COUNTIF(data.SampSummary!$C$2:$C$958,C1149)</f>
        <v>1</v>
      </c>
    </row>
    <row r="1150" spans="1:5" x14ac:dyDescent="0.25">
      <c r="A1150" t="s">
        <v>43</v>
      </c>
      <c r="B1150" s="5">
        <v>34116</v>
      </c>
      <c r="C1150" s="5" t="str">
        <f t="shared" si="17"/>
        <v>SRCYN045.73_34116</v>
      </c>
      <c r="D1150" t="s">
        <v>2620</v>
      </c>
      <c r="E1150">
        <f>COUNTIF(data.SampSummary!$C$2:$C$958,C1150)</f>
        <v>1</v>
      </c>
    </row>
    <row r="1151" spans="1:5" x14ac:dyDescent="0.25">
      <c r="A1151" t="s">
        <v>214</v>
      </c>
      <c r="B1151" s="5">
        <v>34154</v>
      </c>
      <c r="C1151" s="5" t="str">
        <f t="shared" si="17"/>
        <v>CGKAN000.26_34154</v>
      </c>
      <c r="D1151" t="s">
        <v>2621</v>
      </c>
      <c r="E1151">
        <f>COUNTIF(data.SampSummary!$C$2:$C$958,C1151)</f>
        <v>1</v>
      </c>
    </row>
    <row r="1152" spans="1:5" x14ac:dyDescent="0.25">
      <c r="A1152" t="s">
        <v>271</v>
      </c>
      <c r="B1152" s="5">
        <v>34608</v>
      </c>
      <c r="C1152" s="5" t="str">
        <f t="shared" si="17"/>
        <v>VRWCL011.16_34608</v>
      </c>
      <c r="D1152" t="s">
        <v>2622</v>
      </c>
      <c r="E1152">
        <f>COUNTIF(data.SampSummary!$C$2:$C$958,C1152)</f>
        <v>0</v>
      </c>
    </row>
    <row r="1153" spans="1:5" x14ac:dyDescent="0.25">
      <c r="A1153" t="s">
        <v>198</v>
      </c>
      <c r="B1153" s="5">
        <v>34081</v>
      </c>
      <c r="C1153" s="5" t="str">
        <f t="shared" si="17"/>
        <v>BWCTC009.32_34081</v>
      </c>
      <c r="D1153" t="s">
        <v>2623</v>
      </c>
      <c r="E1153">
        <f>COUNTIF(data.SampSummary!$C$2:$C$958,C1153)</f>
        <v>1</v>
      </c>
    </row>
    <row r="1154" spans="1:5" x14ac:dyDescent="0.25">
      <c r="A1154" t="s">
        <v>264</v>
      </c>
      <c r="B1154" s="5">
        <v>34829</v>
      </c>
      <c r="C1154" s="5" t="str">
        <f t="shared" si="17"/>
        <v>VRVER137.80_34829</v>
      </c>
      <c r="D1154" t="s">
        <v>2624</v>
      </c>
      <c r="E1154">
        <f>COUNTIF(data.SampSummary!$C$2:$C$958,C1154)</f>
        <v>1</v>
      </c>
    </row>
    <row r="1155" spans="1:5" x14ac:dyDescent="0.25">
      <c r="A1155" t="s">
        <v>40</v>
      </c>
      <c r="B1155" s="5">
        <v>34243</v>
      </c>
      <c r="C1155" s="5" t="str">
        <f t="shared" ref="C1155:C1218" si="18">A1155&amp;"_"&amp;B1155</f>
        <v>VRWEB009.13_34243</v>
      </c>
      <c r="D1155" t="s">
        <v>2625</v>
      </c>
      <c r="E1155">
        <f>COUNTIF(data.SampSummary!$C$2:$C$958,C1155)</f>
        <v>0</v>
      </c>
    </row>
    <row r="1156" spans="1:5" x14ac:dyDescent="0.25">
      <c r="A1156" t="s">
        <v>16</v>
      </c>
      <c r="B1156" s="5">
        <v>34136</v>
      </c>
      <c r="C1156" s="5" t="str">
        <f t="shared" si="18"/>
        <v>LCWLR001.23_34136</v>
      </c>
      <c r="D1156" t="s">
        <v>2626</v>
      </c>
      <c r="E1156">
        <f>COUNTIF(data.SampSummary!$C$2:$C$958,C1156)</f>
        <v>1</v>
      </c>
    </row>
    <row r="1157" spans="1:5" x14ac:dyDescent="0.25">
      <c r="A1157" t="s">
        <v>2269</v>
      </c>
      <c r="B1157" s="5">
        <v>33973</v>
      </c>
      <c r="C1157" s="5" t="str">
        <f t="shared" si="18"/>
        <v>VRBLA010.11_33973</v>
      </c>
      <c r="D1157" t="s">
        <v>2627</v>
      </c>
      <c r="E1157">
        <f>COUNTIF(data.SampSummary!$C$2:$C$958,C1157)</f>
        <v>0</v>
      </c>
    </row>
    <row r="1158" spans="1:5" x14ac:dyDescent="0.25">
      <c r="A1158" t="s">
        <v>2628</v>
      </c>
      <c r="B1158" s="5">
        <v>34989</v>
      </c>
      <c r="C1158" s="5" t="str">
        <f t="shared" si="18"/>
        <v>SRCRS002.82_34989</v>
      </c>
      <c r="D1158" t="s">
        <v>2629</v>
      </c>
      <c r="E1158">
        <f>COUNTIF(data.SampSummary!$C$2:$C$958,C1158)</f>
        <v>0</v>
      </c>
    </row>
    <row r="1159" spans="1:5" x14ac:dyDescent="0.25">
      <c r="A1159" t="s">
        <v>130</v>
      </c>
      <c r="B1159" s="5">
        <v>34493</v>
      </c>
      <c r="C1159" s="5" t="str">
        <f t="shared" si="18"/>
        <v>LCCHC073.26_34493</v>
      </c>
      <c r="D1159" t="s">
        <v>2630</v>
      </c>
      <c r="E1159">
        <f>COUNTIF(data.SampSummary!$C$2:$C$958,C1159)</f>
        <v>1</v>
      </c>
    </row>
    <row r="1160" spans="1:5" x14ac:dyDescent="0.25">
      <c r="A1160" t="s">
        <v>131</v>
      </c>
      <c r="B1160" s="5">
        <v>34835</v>
      </c>
      <c r="C1160" s="5" t="str">
        <f t="shared" si="18"/>
        <v>VROAK043.73_34835</v>
      </c>
      <c r="D1160" t="s">
        <v>2631</v>
      </c>
      <c r="E1160">
        <f>COUNTIF(data.SampSummary!$C$2:$C$958,C1160)</f>
        <v>1</v>
      </c>
    </row>
    <row r="1161" spans="1:5" x14ac:dyDescent="0.25">
      <c r="A1161" t="s">
        <v>199</v>
      </c>
      <c r="B1161" s="5">
        <v>35200</v>
      </c>
      <c r="C1161" s="5" t="str">
        <f t="shared" si="18"/>
        <v>UGBON006.41_35200</v>
      </c>
      <c r="D1161" t="s">
        <v>2632</v>
      </c>
      <c r="E1161">
        <f>COUNTIF(data.SampSummary!$C$2:$C$958,C1161)</f>
        <v>1</v>
      </c>
    </row>
    <row r="1162" spans="1:5" x14ac:dyDescent="0.25">
      <c r="A1162" t="s">
        <v>84</v>
      </c>
      <c r="B1162" s="5">
        <v>34500</v>
      </c>
      <c r="C1162" s="5" t="str">
        <f t="shared" si="18"/>
        <v>SRRES000.33_34500</v>
      </c>
      <c r="D1162" t="s">
        <v>2633</v>
      </c>
      <c r="E1162">
        <f>COUNTIF(data.SampSummary!$C$2:$C$958,C1162)</f>
        <v>1</v>
      </c>
    </row>
    <row r="1163" spans="1:5" x14ac:dyDescent="0.25">
      <c r="A1163" t="s">
        <v>233</v>
      </c>
      <c r="B1163" s="5">
        <v>33785</v>
      </c>
      <c r="C1163" s="5" t="str">
        <f t="shared" si="18"/>
        <v>UGBLR011.55_33785</v>
      </c>
      <c r="D1163" t="s">
        <v>2634</v>
      </c>
      <c r="E1163">
        <f>COUNTIF(data.SampSummary!$C$2:$C$958,C1163)</f>
        <v>1</v>
      </c>
    </row>
    <row r="1164" spans="1:5" x14ac:dyDescent="0.25">
      <c r="A1164" t="s">
        <v>261</v>
      </c>
      <c r="B1164" s="5">
        <v>34813</v>
      </c>
      <c r="C1164" s="5" t="str">
        <f t="shared" si="18"/>
        <v>VRWBV012.56_34813</v>
      </c>
      <c r="D1164" t="s">
        <v>2635</v>
      </c>
      <c r="E1164">
        <f>COUNTIF(data.SampSummary!$C$2:$C$958,C1164)</f>
        <v>1</v>
      </c>
    </row>
    <row r="1165" spans="1:5" x14ac:dyDescent="0.25">
      <c r="A1165" t="s">
        <v>47</v>
      </c>
      <c r="B1165" s="5">
        <v>34428</v>
      </c>
      <c r="C1165" s="5" t="str">
        <f t="shared" si="18"/>
        <v>SPWRC000.48_34428</v>
      </c>
      <c r="D1165" t="s">
        <v>2636</v>
      </c>
      <c r="E1165">
        <f>COUNTIF(data.SampSummary!$C$2:$C$958,C1165)</f>
        <v>1</v>
      </c>
    </row>
    <row r="1166" spans="1:5" x14ac:dyDescent="0.25">
      <c r="A1166" t="s">
        <v>40</v>
      </c>
      <c r="B1166" s="5">
        <v>33729</v>
      </c>
      <c r="C1166" s="5" t="str">
        <f t="shared" si="18"/>
        <v>VRWEB009.13_33729</v>
      </c>
      <c r="D1166" t="s">
        <v>2637</v>
      </c>
      <c r="E1166">
        <f>COUNTIF(data.SampSummary!$C$2:$C$958,C1166)</f>
        <v>1</v>
      </c>
    </row>
    <row r="1167" spans="1:5" x14ac:dyDescent="0.25">
      <c r="A1167" t="s">
        <v>68</v>
      </c>
      <c r="B1167" s="5">
        <v>34136</v>
      </c>
      <c r="C1167" s="5" t="str">
        <f t="shared" si="18"/>
        <v>LCSLR001.42_34136</v>
      </c>
      <c r="D1167" t="s">
        <v>2638</v>
      </c>
      <c r="E1167">
        <f>COUNTIF(data.SampSummary!$C$2:$C$958,C1167)</f>
        <v>1</v>
      </c>
    </row>
    <row r="1168" spans="1:5" x14ac:dyDescent="0.25">
      <c r="A1168" t="s">
        <v>274</v>
      </c>
      <c r="B1168" s="5">
        <v>34243</v>
      </c>
      <c r="C1168" s="5" t="str">
        <f t="shared" si="18"/>
        <v>VRVER165.07_34243</v>
      </c>
      <c r="D1168" t="s">
        <v>2639</v>
      </c>
      <c r="E1168">
        <f>COUNTIF(data.SampSummary!$C$2:$C$958,C1168)</f>
        <v>0</v>
      </c>
    </row>
    <row r="1169" spans="1:5" x14ac:dyDescent="0.25">
      <c r="A1169" t="s">
        <v>261</v>
      </c>
      <c r="B1169" s="5">
        <v>34470</v>
      </c>
      <c r="C1169" s="5" t="str">
        <f t="shared" si="18"/>
        <v>VRWBV012.56_34470</v>
      </c>
      <c r="D1169" t="s">
        <v>2640</v>
      </c>
      <c r="E1169">
        <f>COUNTIF(data.SampSummary!$C$2:$C$958,C1169)</f>
        <v>1</v>
      </c>
    </row>
    <row r="1170" spans="1:5" x14ac:dyDescent="0.25">
      <c r="A1170" t="s">
        <v>42</v>
      </c>
      <c r="B1170" s="5">
        <v>35205</v>
      </c>
      <c r="C1170" s="5" t="str">
        <f t="shared" si="18"/>
        <v>UGLAN000.60_35205</v>
      </c>
      <c r="D1170" t="s">
        <v>2641</v>
      </c>
      <c r="E1170">
        <f>COUNTIF(data.SampSummary!$C$2:$C$958,C1170)</f>
        <v>1</v>
      </c>
    </row>
    <row r="1171" spans="1:5" x14ac:dyDescent="0.25">
      <c r="A1171" t="s">
        <v>155</v>
      </c>
      <c r="B1171" s="5">
        <v>33778</v>
      </c>
      <c r="C1171" s="5" t="str">
        <f t="shared" si="18"/>
        <v>LCCHC075.04_33778</v>
      </c>
      <c r="D1171" t="s">
        <v>2642</v>
      </c>
      <c r="E1171">
        <f>COUNTIF(data.SampSummary!$C$2:$C$958,C1171)</f>
        <v>1</v>
      </c>
    </row>
    <row r="1172" spans="1:5" x14ac:dyDescent="0.25">
      <c r="A1172" t="s">
        <v>16</v>
      </c>
      <c r="B1172" s="5">
        <v>33792</v>
      </c>
      <c r="C1172" s="5" t="str">
        <f t="shared" si="18"/>
        <v>LCWLR001.23_33792</v>
      </c>
      <c r="D1172" t="s">
        <v>2643</v>
      </c>
      <c r="E1172">
        <f>COUNTIF(data.SampSummary!$C$2:$C$958,C1172)</f>
        <v>1</v>
      </c>
    </row>
    <row r="1173" spans="1:5" x14ac:dyDescent="0.25">
      <c r="A1173" t="s">
        <v>116</v>
      </c>
      <c r="B1173" s="5">
        <v>34841</v>
      </c>
      <c r="C1173" s="5" t="str">
        <f t="shared" si="18"/>
        <v>LCBCK005.06_34841</v>
      </c>
      <c r="D1173" t="s">
        <v>2644</v>
      </c>
      <c r="E1173">
        <f>COUNTIF(data.SampSummary!$C$2:$C$958,C1173)</f>
        <v>1</v>
      </c>
    </row>
    <row r="1174" spans="1:5" x14ac:dyDescent="0.25">
      <c r="A1174" t="s">
        <v>42</v>
      </c>
      <c r="B1174" s="5">
        <v>33743</v>
      </c>
      <c r="C1174" s="5" t="str">
        <f t="shared" si="18"/>
        <v>UGLAN000.60_33743</v>
      </c>
      <c r="D1174" t="s">
        <v>2645</v>
      </c>
      <c r="E1174">
        <f>COUNTIF(data.SampSummary!$C$2:$C$958,C1174)</f>
        <v>1</v>
      </c>
    </row>
    <row r="1175" spans="1:5" x14ac:dyDescent="0.25">
      <c r="A1175" t="s">
        <v>363</v>
      </c>
      <c r="B1175" s="5">
        <v>33762</v>
      </c>
      <c r="C1175" s="5" t="str">
        <f t="shared" si="18"/>
        <v>CGPAR001.62_33762</v>
      </c>
      <c r="D1175" t="s">
        <v>2646</v>
      </c>
      <c r="E1175">
        <f>COUNTIF(data.SampSummary!$C$2:$C$958,C1175)</f>
        <v>1</v>
      </c>
    </row>
    <row r="1176" spans="1:5" x14ac:dyDescent="0.25">
      <c r="A1176" t="s">
        <v>309</v>
      </c>
      <c r="B1176" s="5">
        <v>33754</v>
      </c>
      <c r="C1176" s="5" t="str">
        <f t="shared" si="18"/>
        <v>BWPEE003.51_33754</v>
      </c>
      <c r="D1176" t="s">
        <v>2647</v>
      </c>
      <c r="E1176">
        <f>COUNTIF(data.SampSummary!$C$2:$C$958,C1176)</f>
        <v>1</v>
      </c>
    </row>
    <row r="1177" spans="1:5" x14ac:dyDescent="0.25">
      <c r="A1177" t="s">
        <v>250</v>
      </c>
      <c r="B1177" s="5">
        <v>34095</v>
      </c>
      <c r="C1177" s="5" t="str">
        <f t="shared" si="18"/>
        <v>SRDEV000.38_34095</v>
      </c>
      <c r="D1177" t="s">
        <v>2648</v>
      </c>
      <c r="E1177">
        <f>COUNTIF(data.SampSummary!$C$2:$C$958,C1177)</f>
        <v>1</v>
      </c>
    </row>
    <row r="1178" spans="1:5" x14ac:dyDescent="0.25">
      <c r="A1178" t="s">
        <v>64</v>
      </c>
      <c r="B1178" s="5">
        <v>33764</v>
      </c>
      <c r="C1178" s="5" t="str">
        <f t="shared" si="18"/>
        <v>SRCKN001.61_33764</v>
      </c>
      <c r="D1178" t="s">
        <v>2649</v>
      </c>
      <c r="E1178">
        <f>COUNTIF(data.SampSummary!$C$2:$C$958,C1178)</f>
        <v>1</v>
      </c>
    </row>
    <row r="1179" spans="1:5" x14ac:dyDescent="0.25">
      <c r="A1179" t="s">
        <v>26</v>
      </c>
      <c r="B1179" s="5">
        <v>34988</v>
      </c>
      <c r="C1179" s="5" t="str">
        <f t="shared" si="18"/>
        <v>VRPIE016.49_34988</v>
      </c>
      <c r="D1179" t="s">
        <v>2650</v>
      </c>
      <c r="E1179">
        <f>COUNTIF(data.SampSummary!$C$2:$C$958,C1179)</f>
        <v>0</v>
      </c>
    </row>
    <row r="1180" spans="1:5" x14ac:dyDescent="0.25">
      <c r="A1180" t="s">
        <v>54</v>
      </c>
      <c r="B1180" s="5">
        <v>34507</v>
      </c>
      <c r="C1180" s="5" t="str">
        <f t="shared" si="18"/>
        <v>UGCOL003.48_34507</v>
      </c>
      <c r="D1180" t="s">
        <v>2651</v>
      </c>
      <c r="E1180">
        <f>COUNTIF(data.SampSummary!$C$2:$C$958,C1180)</f>
        <v>1</v>
      </c>
    </row>
    <row r="1181" spans="1:5" x14ac:dyDescent="0.25">
      <c r="A1181" t="s">
        <v>38</v>
      </c>
      <c r="B1181" s="5">
        <v>35205</v>
      </c>
      <c r="C1181" s="5" t="str">
        <f t="shared" si="18"/>
        <v>UGBLR046.35_35205</v>
      </c>
      <c r="D1181" t="s">
        <v>2652</v>
      </c>
      <c r="E1181">
        <f>COUNTIF(data.SampSummary!$C$2:$C$958,C1181)</f>
        <v>1</v>
      </c>
    </row>
    <row r="1182" spans="1:5" x14ac:dyDescent="0.25">
      <c r="A1182" t="s">
        <v>22</v>
      </c>
      <c r="B1182" s="5">
        <v>34801</v>
      </c>
      <c r="C1182" s="5" t="str">
        <f t="shared" si="18"/>
        <v>SPRMC011.48_34801</v>
      </c>
      <c r="D1182" t="s">
        <v>2653</v>
      </c>
      <c r="E1182">
        <f>COUNTIF(data.SampSummary!$C$2:$C$958,C1182)</f>
        <v>1</v>
      </c>
    </row>
    <row r="1183" spans="1:5" x14ac:dyDescent="0.25">
      <c r="A1183" t="s">
        <v>63</v>
      </c>
      <c r="B1183" s="5">
        <v>34505</v>
      </c>
      <c r="C1183" s="5" t="str">
        <f t="shared" si="18"/>
        <v>LCRUD007.23_34505</v>
      </c>
      <c r="D1183" t="s">
        <v>2654</v>
      </c>
      <c r="E1183">
        <f>COUNTIF(data.SampSummary!$C$2:$C$958,C1183)</f>
        <v>1</v>
      </c>
    </row>
    <row r="1184" spans="1:5" x14ac:dyDescent="0.25">
      <c r="A1184" t="s">
        <v>84</v>
      </c>
      <c r="B1184" s="5">
        <v>34856</v>
      </c>
      <c r="C1184" s="5" t="str">
        <f t="shared" si="18"/>
        <v>SRRES000.33_34856</v>
      </c>
      <c r="D1184" t="s">
        <v>2655</v>
      </c>
      <c r="E1184">
        <f>COUNTIF(data.SampSummary!$C$2:$C$958,C1184)</f>
        <v>1</v>
      </c>
    </row>
    <row r="1185" spans="1:5" x14ac:dyDescent="0.25">
      <c r="A1185" t="s">
        <v>295</v>
      </c>
      <c r="B1185" s="5">
        <v>33721</v>
      </c>
      <c r="C1185" s="5" t="str">
        <f t="shared" si="18"/>
        <v>VRROU002.93_33721</v>
      </c>
      <c r="D1185" t="s">
        <v>2656</v>
      </c>
      <c r="E1185">
        <f>COUNTIF(data.SampSummary!$C$2:$C$958,C1185)</f>
        <v>1</v>
      </c>
    </row>
    <row r="1186" spans="1:5" x14ac:dyDescent="0.25">
      <c r="A1186" t="s">
        <v>38</v>
      </c>
      <c r="B1186" s="5">
        <v>34506</v>
      </c>
      <c r="C1186" s="5" t="str">
        <f t="shared" si="18"/>
        <v>UGBLR046.35_34506</v>
      </c>
      <c r="D1186" t="s">
        <v>2657</v>
      </c>
      <c r="E1186">
        <f>COUNTIF(data.SampSummary!$C$2:$C$958,C1186)</f>
        <v>1</v>
      </c>
    </row>
    <row r="1187" spans="1:5" x14ac:dyDescent="0.25">
      <c r="A1187" t="s">
        <v>183</v>
      </c>
      <c r="B1187" s="5">
        <v>33704</v>
      </c>
      <c r="C1187" s="5" t="str">
        <f t="shared" si="18"/>
        <v>SPSPR126.35_33704</v>
      </c>
      <c r="D1187" t="s">
        <v>2658</v>
      </c>
      <c r="E1187">
        <f>COUNTIF(data.SampSummary!$C$2:$C$958,C1187)</f>
        <v>1</v>
      </c>
    </row>
    <row r="1188" spans="1:5" x14ac:dyDescent="0.25">
      <c r="A1188" t="s">
        <v>199</v>
      </c>
      <c r="B1188" s="5">
        <v>34479</v>
      </c>
      <c r="C1188" s="5" t="str">
        <f t="shared" si="18"/>
        <v>UGBON006.41_34479</v>
      </c>
      <c r="D1188" t="s">
        <v>2659</v>
      </c>
      <c r="E1188">
        <f>COUNTIF(data.SampSummary!$C$2:$C$958,C1188)</f>
        <v>1</v>
      </c>
    </row>
    <row r="1189" spans="1:5" x14ac:dyDescent="0.25">
      <c r="A1189" t="s">
        <v>193</v>
      </c>
      <c r="B1189" s="5">
        <v>34828</v>
      </c>
      <c r="C1189" s="5" t="str">
        <f t="shared" si="18"/>
        <v>VRSYW001.72_34828</v>
      </c>
      <c r="D1189" t="s">
        <v>2660</v>
      </c>
      <c r="E1189">
        <f>COUNTIF(data.SampSummary!$C$2:$C$958,C1189)</f>
        <v>1</v>
      </c>
    </row>
    <row r="1190" spans="1:5" x14ac:dyDescent="0.25">
      <c r="A1190" t="s">
        <v>293</v>
      </c>
      <c r="B1190" s="5">
        <v>34843</v>
      </c>
      <c r="C1190" s="5" t="str">
        <f t="shared" si="18"/>
        <v>VREVR031.25_34843</v>
      </c>
      <c r="D1190" t="s">
        <v>2661</v>
      </c>
      <c r="E1190">
        <f>COUNTIF(data.SampSummary!$C$2:$C$958,C1190)</f>
        <v>1</v>
      </c>
    </row>
    <row r="1191" spans="1:5" x14ac:dyDescent="0.25">
      <c r="A1191" t="s">
        <v>189</v>
      </c>
      <c r="B1191" s="5">
        <v>34822</v>
      </c>
      <c r="C1191" s="5" t="str">
        <f t="shared" si="18"/>
        <v>MGANT013.35_34822</v>
      </c>
      <c r="D1191" t="s">
        <v>2662</v>
      </c>
      <c r="E1191">
        <f>COUNTIF(data.SampSummary!$C$2:$C$958,C1191)</f>
        <v>1</v>
      </c>
    </row>
    <row r="1192" spans="1:5" x14ac:dyDescent="0.25">
      <c r="A1192" t="s">
        <v>22</v>
      </c>
      <c r="B1192" s="5">
        <v>34066</v>
      </c>
      <c r="C1192" s="5" t="str">
        <f t="shared" si="18"/>
        <v>SPRMC011.48_34066</v>
      </c>
      <c r="D1192" t="s">
        <v>2663</v>
      </c>
      <c r="E1192">
        <f>COUNTIF(data.SampSummary!$C$2:$C$958,C1192)</f>
        <v>1</v>
      </c>
    </row>
    <row r="1193" spans="1:5" x14ac:dyDescent="0.25">
      <c r="A1193" t="s">
        <v>258</v>
      </c>
      <c r="B1193" s="5">
        <v>34996</v>
      </c>
      <c r="C1193" s="5" t="str">
        <f t="shared" si="18"/>
        <v>VROAK017.49_34996</v>
      </c>
      <c r="D1193" t="s">
        <v>2664</v>
      </c>
      <c r="E1193">
        <f>COUNTIF(data.SampSummary!$C$2:$C$958,C1193)</f>
        <v>0</v>
      </c>
    </row>
    <row r="1194" spans="1:5" x14ac:dyDescent="0.25">
      <c r="A1194" t="s">
        <v>49</v>
      </c>
      <c r="B1194" s="5">
        <v>34989</v>
      </c>
      <c r="C1194" s="5" t="str">
        <f t="shared" si="18"/>
        <v>VRWCL036.37_34989</v>
      </c>
      <c r="D1194" t="s">
        <v>2665</v>
      </c>
      <c r="E1194">
        <f>COUNTIF(data.SampSummary!$C$2:$C$958,C1194)</f>
        <v>0</v>
      </c>
    </row>
    <row r="1195" spans="1:5" x14ac:dyDescent="0.25">
      <c r="A1195" t="s">
        <v>298</v>
      </c>
      <c r="B1195" s="5">
        <v>34079</v>
      </c>
      <c r="C1195" s="5" t="str">
        <f t="shared" si="18"/>
        <v>BWBRO042.16_34079</v>
      </c>
      <c r="D1195" t="s">
        <v>2666</v>
      </c>
      <c r="E1195">
        <f>COUNTIF(data.SampSummary!$C$2:$C$958,C1195)</f>
        <v>1</v>
      </c>
    </row>
    <row r="1196" spans="1:5" x14ac:dyDescent="0.25">
      <c r="A1196" t="s">
        <v>16</v>
      </c>
      <c r="B1196" s="5">
        <v>34857</v>
      </c>
      <c r="C1196" s="5" t="str">
        <f t="shared" si="18"/>
        <v>LCWLR001.23_34857</v>
      </c>
      <c r="D1196" t="s">
        <v>2667</v>
      </c>
      <c r="E1196">
        <f>COUNTIF(data.SampSummary!$C$2:$C$958,C1196)</f>
        <v>1</v>
      </c>
    </row>
    <row r="1197" spans="1:5" x14ac:dyDescent="0.25">
      <c r="A1197" t="s">
        <v>259</v>
      </c>
      <c r="B1197" s="5">
        <v>34828</v>
      </c>
      <c r="C1197" s="5" t="str">
        <f t="shared" si="18"/>
        <v>VRVER185.21_34828</v>
      </c>
      <c r="D1197" t="s">
        <v>2668</v>
      </c>
      <c r="E1197">
        <f>COUNTIF(data.SampSummary!$C$2:$C$958,C1197)</f>
        <v>1</v>
      </c>
    </row>
    <row r="1198" spans="1:5" x14ac:dyDescent="0.25">
      <c r="A1198" t="s">
        <v>132</v>
      </c>
      <c r="B1198" s="5">
        <v>34827</v>
      </c>
      <c r="C1198" s="5" t="str">
        <f t="shared" si="18"/>
        <v>VRWAL018.97_34827</v>
      </c>
      <c r="D1198" t="s">
        <v>2669</v>
      </c>
      <c r="E1198">
        <f>COUNTIF(data.SampSummary!$C$2:$C$958,C1198)</f>
        <v>1</v>
      </c>
    </row>
    <row r="1199" spans="1:5" x14ac:dyDescent="0.25">
      <c r="A1199" t="s">
        <v>237</v>
      </c>
      <c r="B1199" s="5">
        <v>34519</v>
      </c>
      <c r="C1199" s="5" t="str">
        <f t="shared" si="18"/>
        <v>CGHRM001.58_34519</v>
      </c>
      <c r="D1199" t="s">
        <v>2670</v>
      </c>
      <c r="E1199">
        <f>COUNTIF(data.SampSummary!$C$2:$C$958,C1199)</f>
        <v>1</v>
      </c>
    </row>
    <row r="1200" spans="1:5" x14ac:dyDescent="0.25">
      <c r="A1200" t="s">
        <v>35</v>
      </c>
      <c r="B1200" s="5">
        <v>34507</v>
      </c>
      <c r="C1200" s="5" t="str">
        <f t="shared" si="18"/>
        <v>UGCMB004.23_34507</v>
      </c>
      <c r="D1200" t="s">
        <v>2671</v>
      </c>
      <c r="E1200">
        <f>COUNTIF(data.SampSummary!$C$2:$C$958,C1200)</f>
        <v>1</v>
      </c>
    </row>
    <row r="1201" spans="1:5" x14ac:dyDescent="0.25">
      <c r="A1201" t="s">
        <v>248</v>
      </c>
      <c r="B1201" s="5">
        <v>34969</v>
      </c>
      <c r="C1201" s="5" t="str">
        <f t="shared" si="18"/>
        <v>VRVER103.73_34969</v>
      </c>
      <c r="D1201" t="s">
        <v>2672</v>
      </c>
      <c r="E1201">
        <f>COUNTIF(data.SampSummary!$C$2:$C$958,C1201)</f>
        <v>0</v>
      </c>
    </row>
    <row r="1202" spans="1:5" x14ac:dyDescent="0.25">
      <c r="A1202" t="s">
        <v>92</v>
      </c>
      <c r="B1202" s="5">
        <v>34508</v>
      </c>
      <c r="C1202" s="5" t="str">
        <f t="shared" si="18"/>
        <v>LCLIL002.16_34508</v>
      </c>
      <c r="D1202" t="s">
        <v>2673</v>
      </c>
      <c r="E1202">
        <f>COUNTIF(data.SampSummary!$C$2:$C$958,C1202)</f>
        <v>1</v>
      </c>
    </row>
    <row r="1203" spans="1:5" x14ac:dyDescent="0.25">
      <c r="A1203" t="s">
        <v>214</v>
      </c>
      <c r="B1203" s="5">
        <v>34523</v>
      </c>
      <c r="C1203" s="5" t="str">
        <f t="shared" si="18"/>
        <v>CGKAN000.26_34523</v>
      </c>
      <c r="D1203" t="s">
        <v>2674</v>
      </c>
      <c r="E1203">
        <f>COUNTIF(data.SampSummary!$C$2:$C$958,C1203)</f>
        <v>1</v>
      </c>
    </row>
    <row r="1204" spans="1:5" x14ac:dyDescent="0.25">
      <c r="A1204" t="s">
        <v>298</v>
      </c>
      <c r="B1204" s="5">
        <v>33752</v>
      </c>
      <c r="C1204" s="5" t="str">
        <f t="shared" si="18"/>
        <v>BWBRO042.16_33752</v>
      </c>
      <c r="D1204" t="s">
        <v>2675</v>
      </c>
      <c r="E1204">
        <f>COUNTIF(data.SampSummary!$C$2:$C$958,C1204)</f>
        <v>1</v>
      </c>
    </row>
    <row r="1205" spans="1:5" x14ac:dyDescent="0.25">
      <c r="A1205" t="s">
        <v>89</v>
      </c>
      <c r="B1205" s="5">
        <v>34064</v>
      </c>
      <c r="C1205" s="5" t="str">
        <f t="shared" si="18"/>
        <v>SPRUC008.21_34064</v>
      </c>
      <c r="D1205" t="s">
        <v>2676</v>
      </c>
      <c r="E1205">
        <f>COUNTIF(data.SampSummary!$C$2:$C$958,C1205)</f>
        <v>1</v>
      </c>
    </row>
    <row r="1206" spans="1:5" x14ac:dyDescent="0.25">
      <c r="A1206" t="s">
        <v>129</v>
      </c>
      <c r="B1206" s="5">
        <v>33777</v>
      </c>
      <c r="C1206" s="5" t="str">
        <f t="shared" si="18"/>
        <v>LCECL009.39_33777</v>
      </c>
      <c r="D1206" t="s">
        <v>2677</v>
      </c>
      <c r="E1206">
        <f>COUNTIF(data.SampSummary!$C$2:$C$958,C1206)</f>
        <v>1</v>
      </c>
    </row>
    <row r="1207" spans="1:5" x14ac:dyDescent="0.25">
      <c r="A1207" t="s">
        <v>261</v>
      </c>
      <c r="B1207" s="5">
        <v>34608</v>
      </c>
      <c r="C1207" s="5" t="str">
        <f t="shared" si="18"/>
        <v>VRWBV012.56_34608</v>
      </c>
      <c r="D1207" t="s">
        <v>2678</v>
      </c>
      <c r="E1207">
        <f>COUNTIF(data.SampSummary!$C$2:$C$958,C1207)</f>
        <v>0</v>
      </c>
    </row>
    <row r="1208" spans="1:5" x14ac:dyDescent="0.25">
      <c r="A1208" t="s">
        <v>49</v>
      </c>
      <c r="B1208" s="5">
        <v>34243</v>
      </c>
      <c r="C1208" s="5" t="str">
        <f t="shared" si="18"/>
        <v>VRWCL036.37_34243</v>
      </c>
      <c r="D1208" t="s">
        <v>2679</v>
      </c>
      <c r="E1208">
        <f>COUNTIF(data.SampSummary!$C$2:$C$958,C1208)</f>
        <v>0</v>
      </c>
    </row>
    <row r="1209" spans="1:5" x14ac:dyDescent="0.25">
      <c r="A1209" t="s">
        <v>252</v>
      </c>
      <c r="B1209" s="5">
        <v>33771</v>
      </c>
      <c r="C1209" s="5" t="str">
        <f t="shared" si="18"/>
        <v>SRCHE033.95_33771</v>
      </c>
      <c r="D1209" t="s">
        <v>2680</v>
      </c>
      <c r="E1209">
        <f>COUNTIF(data.SampSummary!$C$2:$C$958,C1209)</f>
        <v>1</v>
      </c>
    </row>
    <row r="1210" spans="1:5" x14ac:dyDescent="0.25">
      <c r="A1210" t="s">
        <v>285</v>
      </c>
      <c r="B1210" s="5">
        <v>34128</v>
      </c>
      <c r="C1210" s="5" t="str">
        <f t="shared" si="18"/>
        <v>VRPIE000.29_34128</v>
      </c>
      <c r="D1210" t="s">
        <v>2681</v>
      </c>
      <c r="E1210">
        <f>COUNTIF(data.SampSummary!$C$2:$C$958,C1210)</f>
        <v>1</v>
      </c>
    </row>
    <row r="1211" spans="1:5" x14ac:dyDescent="0.25">
      <c r="A1211" t="s">
        <v>289</v>
      </c>
      <c r="B1211" s="5">
        <v>34072</v>
      </c>
      <c r="C1211" s="5" t="str">
        <f t="shared" si="18"/>
        <v>SPARA013.78_34072</v>
      </c>
      <c r="D1211" t="s">
        <v>2682</v>
      </c>
      <c r="E1211">
        <f>COUNTIF(data.SampSummary!$C$2:$C$958,C1211)</f>
        <v>1</v>
      </c>
    </row>
    <row r="1212" spans="1:5" x14ac:dyDescent="0.25">
      <c r="A1212" t="s">
        <v>261</v>
      </c>
      <c r="B1212" s="5">
        <v>33730</v>
      </c>
      <c r="C1212" s="5" t="str">
        <f t="shared" si="18"/>
        <v>VRWBV012.56_33730</v>
      </c>
      <c r="D1212" t="s">
        <v>2683</v>
      </c>
      <c r="E1212">
        <f>COUNTIF(data.SampSummary!$C$2:$C$958,C1212)</f>
        <v>1</v>
      </c>
    </row>
    <row r="1213" spans="1:5" x14ac:dyDescent="0.25">
      <c r="A1213" t="s">
        <v>283</v>
      </c>
      <c r="B1213" s="5">
        <v>34086</v>
      </c>
      <c r="C1213" s="5" t="str">
        <f t="shared" si="18"/>
        <v>MGHSR082.11_34086</v>
      </c>
      <c r="D1213" t="s">
        <v>2684</v>
      </c>
      <c r="E1213">
        <f>COUNTIF(data.SampSummary!$C$2:$C$958,C1213)</f>
        <v>1</v>
      </c>
    </row>
    <row r="1214" spans="1:5" x14ac:dyDescent="0.25">
      <c r="A1214" t="s">
        <v>92</v>
      </c>
      <c r="B1214" s="5">
        <v>33759</v>
      </c>
      <c r="C1214" s="5" t="str">
        <f t="shared" si="18"/>
        <v>LCLIL002.16_33759</v>
      </c>
      <c r="D1214" t="s">
        <v>2685</v>
      </c>
      <c r="E1214">
        <f>COUNTIF(data.SampSummary!$C$2:$C$958,C1214)</f>
        <v>1</v>
      </c>
    </row>
    <row r="1215" spans="1:5" x14ac:dyDescent="0.25">
      <c r="A1215" t="s">
        <v>183</v>
      </c>
      <c r="B1215" s="5">
        <v>34066</v>
      </c>
      <c r="C1215" s="5" t="str">
        <f t="shared" si="18"/>
        <v>SPSPR126.35_34066</v>
      </c>
      <c r="D1215" t="s">
        <v>2686</v>
      </c>
      <c r="E1215">
        <f>COUNTIF(data.SampSummary!$C$2:$C$958,C1215)</f>
        <v>1</v>
      </c>
    </row>
    <row r="1216" spans="1:5" x14ac:dyDescent="0.25">
      <c r="A1216" t="s">
        <v>209</v>
      </c>
      <c r="B1216" s="5">
        <v>35012</v>
      </c>
      <c r="C1216" s="5" t="str">
        <f t="shared" si="18"/>
        <v>VRSYM016.44_35012</v>
      </c>
      <c r="D1216" t="s">
        <v>2687</v>
      </c>
      <c r="E1216">
        <f>COUNTIF(data.SampSummary!$C$2:$C$958,C1216)</f>
        <v>0</v>
      </c>
    </row>
    <row r="1217" spans="1:5" x14ac:dyDescent="0.25">
      <c r="A1217" t="s">
        <v>233</v>
      </c>
      <c r="B1217" s="5">
        <v>34478</v>
      </c>
      <c r="C1217" s="5" t="str">
        <f t="shared" si="18"/>
        <v>UGBLR011.55_34478</v>
      </c>
      <c r="D1217" t="s">
        <v>2688</v>
      </c>
      <c r="E1217">
        <f>COUNTIF(data.SampSummary!$C$2:$C$958,C1217)</f>
        <v>1</v>
      </c>
    </row>
    <row r="1218" spans="1:5" x14ac:dyDescent="0.25">
      <c r="A1218" t="s">
        <v>193</v>
      </c>
      <c r="B1218" s="5">
        <v>34473</v>
      </c>
      <c r="C1218" s="5" t="str">
        <f t="shared" si="18"/>
        <v>VRSYW001.72_34473</v>
      </c>
      <c r="D1218" t="s">
        <v>2689</v>
      </c>
      <c r="E1218">
        <f>COUNTIF(data.SampSummary!$C$2:$C$958,C1218)</f>
        <v>1</v>
      </c>
    </row>
    <row r="1219" spans="1:5" x14ac:dyDescent="0.25">
      <c r="A1219" t="s">
        <v>261</v>
      </c>
      <c r="B1219" s="5">
        <v>34243</v>
      </c>
      <c r="C1219" s="5" t="str">
        <f t="shared" ref="C1219:C1282" si="19">A1219&amp;"_"&amp;B1219</f>
        <v>VRWBV012.56_34243</v>
      </c>
      <c r="D1219" t="s">
        <v>2690</v>
      </c>
      <c r="E1219">
        <f>COUNTIF(data.SampSummary!$C$2:$C$958,C1219)</f>
        <v>0</v>
      </c>
    </row>
    <row r="1220" spans="1:5" x14ac:dyDescent="0.25">
      <c r="A1220" t="s">
        <v>306</v>
      </c>
      <c r="B1220" s="5">
        <v>35004</v>
      </c>
      <c r="C1220" s="5" t="str">
        <f t="shared" si="19"/>
        <v>VRVER053.70_35004</v>
      </c>
      <c r="D1220" t="s">
        <v>2691</v>
      </c>
      <c r="E1220">
        <f>COUNTIF(data.SampSummary!$C$2:$C$958,C1220)</f>
        <v>0</v>
      </c>
    </row>
    <row r="1221" spans="1:5" x14ac:dyDescent="0.25">
      <c r="A1221" t="s">
        <v>2333</v>
      </c>
      <c r="B1221" s="5">
        <v>34814</v>
      </c>
      <c r="C1221" s="5" t="str">
        <f t="shared" si="19"/>
        <v>VRBEV005.74_34814</v>
      </c>
      <c r="D1221" t="s">
        <v>2692</v>
      </c>
      <c r="E1221">
        <f>COUNTIF(data.SampSummary!$C$2:$C$958,C1221)</f>
        <v>0</v>
      </c>
    </row>
    <row r="1222" spans="1:5" x14ac:dyDescent="0.25">
      <c r="A1222" t="s">
        <v>54</v>
      </c>
      <c r="B1222" s="5">
        <v>35206</v>
      </c>
      <c r="C1222" s="5" t="str">
        <f t="shared" si="19"/>
        <v>UGCOL003.48_35206</v>
      </c>
      <c r="D1222" t="s">
        <v>2693</v>
      </c>
      <c r="E1222">
        <f>COUNTIF(data.SampSummary!$C$2:$C$958,C1222)</f>
        <v>1</v>
      </c>
    </row>
    <row r="1223" spans="1:5" x14ac:dyDescent="0.25">
      <c r="A1223" t="s">
        <v>205</v>
      </c>
      <c r="B1223" s="5">
        <v>34520</v>
      </c>
      <c r="C1223" s="5" t="str">
        <f t="shared" si="19"/>
        <v>CGRYA000.05_34520</v>
      </c>
      <c r="D1223" t="s">
        <v>2694</v>
      </c>
      <c r="E1223">
        <f>COUNTIF(data.SampSummary!$C$2:$C$958,C1223)</f>
        <v>1</v>
      </c>
    </row>
    <row r="1224" spans="1:5" x14ac:dyDescent="0.25">
      <c r="A1224" t="s">
        <v>204</v>
      </c>
      <c r="B1224" s="5">
        <v>34059</v>
      </c>
      <c r="C1224" s="5" t="str">
        <f t="shared" si="19"/>
        <v>SPBAS001.64_34059</v>
      </c>
      <c r="D1224" t="s">
        <v>2695</v>
      </c>
      <c r="E1224">
        <f>COUNTIF(data.SampSummary!$C$2:$C$958,C1224)</f>
        <v>1</v>
      </c>
    </row>
    <row r="1225" spans="1:5" x14ac:dyDescent="0.25">
      <c r="A1225" t="s">
        <v>304</v>
      </c>
      <c r="B1225" s="5">
        <v>34975</v>
      </c>
      <c r="C1225" s="5" t="str">
        <f t="shared" si="19"/>
        <v>VRSPN002.04_34975</v>
      </c>
      <c r="D1225" t="s">
        <v>2696</v>
      </c>
      <c r="E1225">
        <f>COUNTIF(data.SampSummary!$C$2:$C$958,C1225)</f>
        <v>0</v>
      </c>
    </row>
    <row r="1226" spans="1:5" x14ac:dyDescent="0.25">
      <c r="A1226" t="s">
        <v>1375</v>
      </c>
      <c r="B1226" s="5">
        <v>33719</v>
      </c>
      <c r="C1226" s="5" t="str">
        <f t="shared" si="19"/>
        <v>SCMAD012.71_33719</v>
      </c>
      <c r="D1226" t="s">
        <v>2697</v>
      </c>
      <c r="E1226">
        <f>COUNTIF(data.SampSummary!$C$2:$C$958,C1226)</f>
        <v>0</v>
      </c>
    </row>
    <row r="1227" spans="1:5" x14ac:dyDescent="0.25">
      <c r="A1227" t="s">
        <v>2698</v>
      </c>
      <c r="B1227" s="5">
        <v>34990</v>
      </c>
      <c r="C1227" s="5" t="str">
        <f t="shared" si="19"/>
        <v>SRTON055.09_34990</v>
      </c>
      <c r="D1227" t="s">
        <v>2699</v>
      </c>
      <c r="E1227">
        <f>COUNTIF(data.SampSummary!$C$2:$C$958,C1227)</f>
        <v>0</v>
      </c>
    </row>
    <row r="1228" spans="1:5" x14ac:dyDescent="0.25">
      <c r="A1228" t="s">
        <v>94</v>
      </c>
      <c r="B1228" s="5">
        <v>34508</v>
      </c>
      <c r="C1228" s="5" t="str">
        <f t="shared" si="19"/>
        <v>LCMAM002.05_34508</v>
      </c>
      <c r="D1228" t="s">
        <v>2700</v>
      </c>
      <c r="E1228">
        <f>COUNTIF(data.SampSummary!$C$2:$C$958,C1228)</f>
        <v>1</v>
      </c>
    </row>
    <row r="1229" spans="1:5" x14ac:dyDescent="0.25">
      <c r="A1229" t="s">
        <v>62</v>
      </c>
      <c r="B1229" s="5">
        <v>33778</v>
      </c>
      <c r="C1229" s="5" t="str">
        <f t="shared" si="19"/>
        <v>LCBRB006.74_33778</v>
      </c>
      <c r="D1229" t="s">
        <v>2701</v>
      </c>
      <c r="E1229">
        <f>COUNTIF(data.SampSummary!$C$2:$C$958,C1229)</f>
        <v>1</v>
      </c>
    </row>
    <row r="1230" spans="1:5" x14ac:dyDescent="0.25">
      <c r="A1230" t="s">
        <v>77</v>
      </c>
      <c r="B1230" s="5">
        <v>34794</v>
      </c>
      <c r="C1230" s="5" t="str">
        <f t="shared" si="19"/>
        <v>SPMLC012.43_34794</v>
      </c>
      <c r="D1230" t="s">
        <v>2702</v>
      </c>
      <c r="E1230">
        <f>COUNTIF(data.SampSummary!$C$2:$C$958,C1230)</f>
        <v>1</v>
      </c>
    </row>
    <row r="1231" spans="1:5" x14ac:dyDescent="0.25">
      <c r="A1231" t="s">
        <v>253</v>
      </c>
      <c r="B1231" s="5">
        <v>34814</v>
      </c>
      <c r="C1231" s="5" t="str">
        <f t="shared" si="19"/>
        <v>VRWBV006.54_34814</v>
      </c>
      <c r="D1231" t="s">
        <v>2703</v>
      </c>
      <c r="E1231">
        <f>COUNTIF(data.SampSummary!$C$2:$C$958,C1231)</f>
        <v>1</v>
      </c>
    </row>
    <row r="1232" spans="1:5" x14ac:dyDescent="0.25">
      <c r="A1232" t="s">
        <v>274</v>
      </c>
      <c r="B1232" s="5">
        <v>34608</v>
      </c>
      <c r="C1232" s="5" t="str">
        <f t="shared" si="19"/>
        <v>VRVER165.07_34608</v>
      </c>
      <c r="D1232" t="s">
        <v>2704</v>
      </c>
      <c r="E1232">
        <f>COUNTIF(data.SampSummary!$C$2:$C$958,C1232)</f>
        <v>0</v>
      </c>
    </row>
    <row r="1233" spans="1:5" x14ac:dyDescent="0.25">
      <c r="A1233" t="s">
        <v>90</v>
      </c>
      <c r="B1233" s="5">
        <v>34507</v>
      </c>
      <c r="C1233" s="5" t="str">
        <f t="shared" si="19"/>
        <v>LCPAD001.30_34507</v>
      </c>
      <c r="D1233" t="s">
        <v>2705</v>
      </c>
      <c r="E1233">
        <f>COUNTIF(data.SampSummary!$C$2:$C$958,C1233)</f>
        <v>1</v>
      </c>
    </row>
    <row r="1234" spans="1:5" x14ac:dyDescent="0.25">
      <c r="A1234" t="s">
        <v>289</v>
      </c>
      <c r="B1234" s="5">
        <v>33704</v>
      </c>
      <c r="C1234" s="5" t="str">
        <f t="shared" si="19"/>
        <v>SPARA013.78_33704</v>
      </c>
      <c r="D1234" t="s">
        <v>2706</v>
      </c>
      <c r="E1234">
        <f>COUNTIF(data.SampSummary!$C$2:$C$958,C1234)</f>
        <v>1</v>
      </c>
    </row>
    <row r="1235" spans="1:5" x14ac:dyDescent="0.25">
      <c r="A1235" t="s">
        <v>2707</v>
      </c>
      <c r="B1235" s="5">
        <v>34814</v>
      </c>
      <c r="C1235" s="5" t="str">
        <f t="shared" si="19"/>
        <v>VRDBV013.99_34814</v>
      </c>
      <c r="D1235" t="s">
        <v>2708</v>
      </c>
      <c r="E1235">
        <f>COUNTIF(data.SampSummary!$C$2:$C$958,C1235)</f>
        <v>0</v>
      </c>
    </row>
    <row r="1236" spans="1:5" x14ac:dyDescent="0.25">
      <c r="A1236" t="s">
        <v>245</v>
      </c>
      <c r="B1236" s="5">
        <v>33770</v>
      </c>
      <c r="C1236" s="5" t="str">
        <f t="shared" si="19"/>
        <v>SRHAG007.47_33770</v>
      </c>
      <c r="D1236" t="s">
        <v>2709</v>
      </c>
      <c r="E1236">
        <f>COUNTIF(data.SampSummary!$C$2:$C$958,C1236)</f>
        <v>1</v>
      </c>
    </row>
    <row r="1237" spans="1:5" x14ac:dyDescent="0.25">
      <c r="A1237" t="s">
        <v>271</v>
      </c>
      <c r="B1237" s="5">
        <v>34243</v>
      </c>
      <c r="C1237" s="5" t="str">
        <f t="shared" si="19"/>
        <v>VRWCL011.16_34243</v>
      </c>
      <c r="D1237" t="s">
        <v>2710</v>
      </c>
      <c r="E1237">
        <f>COUNTIF(data.SampSummary!$C$2:$C$958,C1237)</f>
        <v>0</v>
      </c>
    </row>
    <row r="1238" spans="1:5" x14ac:dyDescent="0.25">
      <c r="A1238" t="s">
        <v>293</v>
      </c>
      <c r="B1238" s="5">
        <v>35011</v>
      </c>
      <c r="C1238" s="5" t="str">
        <f t="shared" si="19"/>
        <v>VREVR031.25_35011</v>
      </c>
      <c r="D1238" t="s">
        <v>2711</v>
      </c>
      <c r="E1238">
        <f>COUNTIF(data.SampSummary!$C$2:$C$958,C1238)</f>
        <v>0</v>
      </c>
    </row>
    <row r="1239" spans="1:5" x14ac:dyDescent="0.25">
      <c r="A1239" t="s">
        <v>320</v>
      </c>
      <c r="B1239" s="5">
        <v>41430</v>
      </c>
      <c r="C1239" s="5" t="str">
        <f t="shared" si="19"/>
        <v>UGGLR452.43_41430</v>
      </c>
      <c r="D1239" t="s">
        <v>2712</v>
      </c>
      <c r="E1239">
        <f>COUNTIF(data.SampSummary!$C$2:$C$958,C1239)</f>
        <v>0</v>
      </c>
    </row>
    <row r="1240" spans="1:5" x14ac:dyDescent="0.25">
      <c r="A1240" t="s">
        <v>273</v>
      </c>
      <c r="B1240" s="5">
        <v>41176</v>
      </c>
      <c r="C1240" s="5" t="str">
        <f t="shared" si="19"/>
        <v>MGHSR058.80_41176</v>
      </c>
      <c r="D1240" t="s">
        <v>2713</v>
      </c>
      <c r="E1240">
        <f>COUNTIF(data.SampSummary!$C$2:$C$958,C1240)</f>
        <v>0</v>
      </c>
    </row>
    <row r="1241" spans="1:5" x14ac:dyDescent="0.25">
      <c r="A1241" t="s">
        <v>219</v>
      </c>
      <c r="B1241" s="5">
        <v>41331</v>
      </c>
      <c r="C1241" s="5" t="str">
        <f t="shared" si="19"/>
        <v>CGVGR052.23_41331</v>
      </c>
      <c r="D1241" t="s">
        <v>2714</v>
      </c>
      <c r="E1241">
        <f>COUNTIF(data.SampSummary!$C$2:$C$958,C1241)</f>
        <v>0</v>
      </c>
    </row>
    <row r="1242" spans="1:5" x14ac:dyDescent="0.25">
      <c r="A1242" t="s">
        <v>350</v>
      </c>
      <c r="B1242" s="5">
        <v>41430</v>
      </c>
      <c r="C1242" s="5" t="str">
        <f t="shared" si="19"/>
        <v>UGGLR448.61_41430</v>
      </c>
      <c r="D1242" t="s">
        <v>2715</v>
      </c>
      <c r="E1242">
        <f>COUNTIF(data.SampSummary!$C$2:$C$958,C1242)</f>
        <v>0</v>
      </c>
    </row>
    <row r="1243" spans="1:5" x14ac:dyDescent="0.25">
      <c r="A1243" t="s">
        <v>111</v>
      </c>
      <c r="B1243" s="5">
        <v>41443</v>
      </c>
      <c r="C1243" s="5" t="str">
        <f t="shared" si="19"/>
        <v>LCLCR211.73_41443</v>
      </c>
      <c r="D1243" t="s">
        <v>2716</v>
      </c>
      <c r="E1243">
        <f>COUNTIF(data.SampSummary!$C$2:$C$958,C1243)</f>
        <v>0</v>
      </c>
    </row>
    <row r="1244" spans="1:5" x14ac:dyDescent="0.25">
      <c r="A1244" t="s">
        <v>2717</v>
      </c>
      <c r="B1244" s="5">
        <v>35586</v>
      </c>
      <c r="C1244" s="5" t="str">
        <f t="shared" si="19"/>
        <v>UGCAV012.55_35586</v>
      </c>
      <c r="D1244" t="s">
        <v>2718</v>
      </c>
      <c r="E1244">
        <f>COUNTIF(data.SampSummary!$C$2:$C$958,C1244)</f>
        <v>0</v>
      </c>
    </row>
    <row r="1245" spans="1:5" x14ac:dyDescent="0.25">
      <c r="A1245" t="s">
        <v>2719</v>
      </c>
      <c r="B1245" s="5">
        <v>36089</v>
      </c>
      <c r="C1245" s="5" t="str">
        <f t="shared" si="19"/>
        <v>UGCAV012.95_36089</v>
      </c>
      <c r="D1245" t="s">
        <v>2720</v>
      </c>
      <c r="E1245">
        <f>COUNTIF(data.SampSummary!$C$2:$C$958,C1245)</f>
        <v>0</v>
      </c>
    </row>
    <row r="1246" spans="1:5" x14ac:dyDescent="0.25">
      <c r="A1246" t="s">
        <v>94</v>
      </c>
      <c r="B1246" s="5">
        <v>41121</v>
      </c>
      <c r="C1246" s="5" t="str">
        <f t="shared" si="19"/>
        <v>LCMAM002.05_41121</v>
      </c>
      <c r="D1246" t="s">
        <v>2721</v>
      </c>
      <c r="E1246">
        <f>COUNTIF(data.SampSummary!$C$2:$C$958,C1246)</f>
        <v>0</v>
      </c>
    </row>
    <row r="1247" spans="1:5" x14ac:dyDescent="0.25">
      <c r="A1247" t="s">
        <v>1577</v>
      </c>
      <c r="B1247" s="5">
        <v>35927</v>
      </c>
      <c r="C1247" s="5" t="str">
        <f t="shared" si="19"/>
        <v>UGSCV002.56_35927</v>
      </c>
      <c r="D1247" t="s">
        <v>2722</v>
      </c>
      <c r="E1247">
        <f>COUNTIF(data.SampSummary!$C$2:$C$958,C1247)</f>
        <v>0</v>
      </c>
    </row>
    <row r="1248" spans="1:5" x14ac:dyDescent="0.25">
      <c r="A1248" t="s">
        <v>345</v>
      </c>
      <c r="B1248" s="5">
        <v>36283</v>
      </c>
      <c r="C1248" s="5" t="str">
        <f t="shared" si="19"/>
        <v>VRVER121.49_36283</v>
      </c>
      <c r="D1248" t="s">
        <v>2723</v>
      </c>
      <c r="E1248">
        <f>COUNTIF(data.SampSummary!$C$2:$C$958,C1248)</f>
        <v>1</v>
      </c>
    </row>
    <row r="1249" spans="1:5" x14ac:dyDescent="0.25">
      <c r="A1249" t="s">
        <v>304</v>
      </c>
      <c r="B1249" s="5">
        <v>35921</v>
      </c>
      <c r="C1249" s="5" t="str">
        <f t="shared" si="19"/>
        <v>VRSPN002.04_35921</v>
      </c>
      <c r="D1249" t="s">
        <v>2724</v>
      </c>
      <c r="E1249">
        <f>COUNTIF(data.SampSummary!$C$2:$C$958,C1249)</f>
        <v>1</v>
      </c>
    </row>
    <row r="1250" spans="1:5" x14ac:dyDescent="0.25">
      <c r="A1250" t="s">
        <v>2079</v>
      </c>
      <c r="B1250" s="5">
        <v>35928</v>
      </c>
      <c r="C1250" s="5" t="str">
        <f t="shared" si="19"/>
        <v>UGCAV011.45_35928</v>
      </c>
      <c r="D1250" t="s">
        <v>2725</v>
      </c>
      <c r="E1250">
        <f>COUNTIF(data.SampSummary!$C$2:$C$958,C1250)</f>
        <v>0</v>
      </c>
    </row>
    <row r="1251" spans="1:5" x14ac:dyDescent="0.25">
      <c r="A1251" t="s">
        <v>2726</v>
      </c>
      <c r="B1251" s="5">
        <v>35587</v>
      </c>
      <c r="C1251" s="5" t="str">
        <f t="shared" si="19"/>
        <v>UGCAV014.87_35587</v>
      </c>
      <c r="D1251" t="s">
        <v>2727</v>
      </c>
      <c r="E1251">
        <f>COUNTIF(data.SampSummary!$C$2:$C$958,C1251)</f>
        <v>0</v>
      </c>
    </row>
    <row r="1252" spans="1:5" x14ac:dyDescent="0.25">
      <c r="A1252" t="s">
        <v>1577</v>
      </c>
      <c r="B1252" s="5">
        <v>36090</v>
      </c>
      <c r="C1252" s="5" t="str">
        <f t="shared" si="19"/>
        <v>UGSCV002.56_36090</v>
      </c>
      <c r="D1252" t="s">
        <v>2728</v>
      </c>
      <c r="E1252">
        <f>COUNTIF(data.SampSummary!$C$2:$C$958,C1252)</f>
        <v>0</v>
      </c>
    </row>
    <row r="1253" spans="1:5" x14ac:dyDescent="0.25">
      <c r="A1253" t="s">
        <v>87</v>
      </c>
      <c r="B1253" s="5">
        <v>41120</v>
      </c>
      <c r="C1253" s="5" t="str">
        <f t="shared" si="19"/>
        <v>LCLVL001.32_41120</v>
      </c>
      <c r="D1253" t="s">
        <v>2729</v>
      </c>
      <c r="E1253">
        <f>COUNTIF(data.SampSummary!$C$2:$C$958,C1253)</f>
        <v>0</v>
      </c>
    </row>
    <row r="1254" spans="1:5" x14ac:dyDescent="0.25">
      <c r="A1254" t="s">
        <v>1530</v>
      </c>
      <c r="B1254" s="5">
        <v>35587</v>
      </c>
      <c r="C1254" s="5" t="str">
        <f t="shared" si="19"/>
        <v>UGCAV014.44_35587</v>
      </c>
      <c r="D1254" t="s">
        <v>2730</v>
      </c>
      <c r="E1254">
        <f>COUNTIF(data.SampSummary!$C$2:$C$958,C1254)</f>
        <v>0</v>
      </c>
    </row>
    <row r="1255" spans="1:5" x14ac:dyDescent="0.25">
      <c r="A1255" t="s">
        <v>52</v>
      </c>
      <c r="B1255" s="5">
        <v>36089</v>
      </c>
      <c r="C1255" s="5" t="str">
        <f t="shared" si="19"/>
        <v>UGCAV016.84_36089</v>
      </c>
      <c r="D1255" t="s">
        <v>2731</v>
      </c>
      <c r="E1255">
        <f>COUNTIF(data.SampSummary!$C$2:$C$958,C1255)</f>
        <v>0</v>
      </c>
    </row>
    <row r="1256" spans="1:5" x14ac:dyDescent="0.25">
      <c r="A1256" t="s">
        <v>295</v>
      </c>
      <c r="B1256" s="5">
        <v>35919</v>
      </c>
      <c r="C1256" s="5" t="str">
        <f t="shared" si="19"/>
        <v>VRROU002.93_35919</v>
      </c>
      <c r="D1256" t="s">
        <v>2732</v>
      </c>
      <c r="E1256">
        <f>COUNTIF(data.SampSummary!$C$2:$C$958,C1256)</f>
        <v>1</v>
      </c>
    </row>
    <row r="1257" spans="1:5" x14ac:dyDescent="0.25">
      <c r="A1257" t="s">
        <v>52</v>
      </c>
      <c r="B1257" s="5">
        <v>35588</v>
      </c>
      <c r="C1257" s="5" t="str">
        <f t="shared" si="19"/>
        <v>UGCAV016.84_35588</v>
      </c>
      <c r="D1257" t="s">
        <v>2733</v>
      </c>
      <c r="E1257">
        <f>COUNTIF(data.SampSummary!$C$2:$C$958,C1257)</f>
        <v>1</v>
      </c>
    </row>
    <row r="1258" spans="1:5" x14ac:dyDescent="0.25">
      <c r="A1258" t="s">
        <v>2056</v>
      </c>
      <c r="B1258" s="5">
        <v>36066</v>
      </c>
      <c r="C1258" s="5" t="str">
        <f t="shared" si="19"/>
        <v>SCCIE003.26_36066</v>
      </c>
      <c r="D1258" t="s">
        <v>2734</v>
      </c>
      <c r="E1258">
        <f>COUNTIF(data.SampSummary!$C$2:$C$958,C1258)</f>
        <v>0</v>
      </c>
    </row>
    <row r="1259" spans="1:5" x14ac:dyDescent="0.25">
      <c r="A1259" t="s">
        <v>2735</v>
      </c>
      <c r="B1259" s="5">
        <v>36067</v>
      </c>
      <c r="C1259" s="5" t="str">
        <f t="shared" si="19"/>
        <v>SCCIE000.43_36067</v>
      </c>
      <c r="D1259" t="s">
        <v>2736</v>
      </c>
      <c r="E1259">
        <f>COUNTIF(data.SampSummary!$C$2:$C$958,C1259)</f>
        <v>0</v>
      </c>
    </row>
    <row r="1260" spans="1:5" x14ac:dyDescent="0.25">
      <c r="A1260" t="s">
        <v>2717</v>
      </c>
      <c r="B1260" s="5">
        <v>35928</v>
      </c>
      <c r="C1260" s="5" t="str">
        <f t="shared" si="19"/>
        <v>UGCAV012.55_35928</v>
      </c>
      <c r="D1260" t="s">
        <v>2737</v>
      </c>
      <c r="E1260">
        <f>COUNTIF(data.SampSummary!$C$2:$C$958,C1260)</f>
        <v>0</v>
      </c>
    </row>
    <row r="1261" spans="1:5" x14ac:dyDescent="0.25">
      <c r="A1261" t="s">
        <v>270</v>
      </c>
      <c r="B1261" s="5">
        <v>36284</v>
      </c>
      <c r="C1261" s="5" t="str">
        <f t="shared" si="19"/>
        <v>VRVER134.11_36284</v>
      </c>
      <c r="D1261" t="s">
        <v>2738</v>
      </c>
      <c r="E1261">
        <f>COUNTIF(data.SampSummary!$C$2:$C$958,C1261)</f>
        <v>1</v>
      </c>
    </row>
    <row r="1262" spans="1:5" x14ac:dyDescent="0.25">
      <c r="A1262" t="s">
        <v>2717</v>
      </c>
      <c r="B1262" s="5">
        <v>36088</v>
      </c>
      <c r="C1262" s="5" t="str">
        <f t="shared" si="19"/>
        <v>UGCAV012.55_36088</v>
      </c>
      <c r="D1262" t="s">
        <v>2739</v>
      </c>
      <c r="E1262">
        <f>COUNTIF(data.SampSummary!$C$2:$C$958,C1262)</f>
        <v>0</v>
      </c>
    </row>
    <row r="1263" spans="1:5" x14ac:dyDescent="0.25">
      <c r="A1263" t="s">
        <v>2079</v>
      </c>
      <c r="B1263" s="5">
        <v>36088</v>
      </c>
      <c r="C1263" s="5" t="str">
        <f t="shared" si="19"/>
        <v>UGCAV011.45_36088</v>
      </c>
      <c r="D1263" t="s">
        <v>2740</v>
      </c>
      <c r="E1263">
        <f>COUNTIF(data.SampSummary!$C$2:$C$958,C1263)</f>
        <v>0</v>
      </c>
    </row>
    <row r="1264" spans="1:5" x14ac:dyDescent="0.25">
      <c r="A1264" t="s">
        <v>265</v>
      </c>
      <c r="B1264" s="5">
        <v>36284</v>
      </c>
      <c r="C1264" s="5" t="str">
        <f t="shared" si="19"/>
        <v>VRVER127.02_36284</v>
      </c>
      <c r="D1264" t="s">
        <v>2741</v>
      </c>
      <c r="E1264">
        <f>COUNTIF(data.SampSummary!$C$2:$C$958,C1264)</f>
        <v>1</v>
      </c>
    </row>
    <row r="1265" spans="1:5" x14ac:dyDescent="0.25">
      <c r="A1265" t="s">
        <v>2719</v>
      </c>
      <c r="B1265" s="5">
        <v>35928</v>
      </c>
      <c r="C1265" s="5" t="str">
        <f t="shared" si="19"/>
        <v>UGCAV012.95_35928</v>
      </c>
      <c r="D1265" t="s">
        <v>2742</v>
      </c>
      <c r="E1265">
        <f>COUNTIF(data.SampSummary!$C$2:$C$958,C1265)</f>
        <v>0</v>
      </c>
    </row>
    <row r="1266" spans="1:5" x14ac:dyDescent="0.25">
      <c r="A1266" t="s">
        <v>52</v>
      </c>
      <c r="B1266" s="5">
        <v>35930</v>
      </c>
      <c r="C1266" s="5" t="str">
        <f t="shared" si="19"/>
        <v>UGCAV016.84_35930</v>
      </c>
      <c r="D1266" t="s">
        <v>2743</v>
      </c>
      <c r="E1266">
        <f>COUNTIF(data.SampSummary!$C$2:$C$958,C1266)</f>
        <v>1</v>
      </c>
    </row>
    <row r="1267" spans="1:5" x14ac:dyDescent="0.25">
      <c r="A1267" t="s">
        <v>2056</v>
      </c>
      <c r="B1267" s="5">
        <v>36066</v>
      </c>
      <c r="C1267" s="5" t="str">
        <f t="shared" si="19"/>
        <v>SCCIE003.26_36066</v>
      </c>
      <c r="D1267" t="s">
        <v>2744</v>
      </c>
      <c r="E1267">
        <f>COUNTIF(data.SampSummary!$C$2:$C$958,C1267)</f>
        <v>0</v>
      </c>
    </row>
    <row r="1268" spans="1:5" x14ac:dyDescent="0.25">
      <c r="A1268" t="s">
        <v>2745</v>
      </c>
      <c r="B1268" s="5">
        <v>35588</v>
      </c>
      <c r="C1268" s="5" t="str">
        <f t="shared" si="19"/>
        <v>UGCAV015.55_35588</v>
      </c>
      <c r="D1268" t="s">
        <v>2746</v>
      </c>
      <c r="E1268">
        <f>COUNTIF(data.SampSummary!$C$2:$C$958,C1268)</f>
        <v>0</v>
      </c>
    </row>
    <row r="1269" spans="1:5" x14ac:dyDescent="0.25">
      <c r="A1269" t="s">
        <v>2747</v>
      </c>
      <c r="B1269" s="5">
        <v>35928</v>
      </c>
      <c r="C1269" s="5" t="str">
        <f t="shared" si="19"/>
        <v>UGSCV000.11_35928</v>
      </c>
      <c r="D1269" t="s">
        <v>2748</v>
      </c>
      <c r="E1269">
        <f>COUNTIF(data.SampSummary!$C$2:$C$958,C1269)</f>
        <v>0</v>
      </c>
    </row>
    <row r="1270" spans="1:5" x14ac:dyDescent="0.25">
      <c r="A1270" t="s">
        <v>86</v>
      </c>
      <c r="B1270" s="5">
        <v>35950</v>
      </c>
      <c r="C1270" s="5" t="str">
        <f t="shared" si="19"/>
        <v>SRWFB005.34_35950</v>
      </c>
      <c r="D1270" t="s">
        <v>2749</v>
      </c>
      <c r="E1270">
        <f>COUNTIF(data.SampSummary!$C$2:$C$958,C1270)</f>
        <v>0</v>
      </c>
    </row>
    <row r="1271" spans="1:5" x14ac:dyDescent="0.25">
      <c r="A1271" t="s">
        <v>2747</v>
      </c>
      <c r="B1271" s="5">
        <v>35586</v>
      </c>
      <c r="C1271" s="5" t="str">
        <f t="shared" si="19"/>
        <v>UGSCV000.11_35586</v>
      </c>
      <c r="D1271" t="s">
        <v>2750</v>
      </c>
      <c r="E1271">
        <f>COUNTIF(data.SampSummary!$C$2:$C$958,C1271)</f>
        <v>0</v>
      </c>
    </row>
    <row r="1272" spans="1:5" x14ac:dyDescent="0.25">
      <c r="A1272" t="s">
        <v>2719</v>
      </c>
      <c r="B1272" s="5">
        <v>35586</v>
      </c>
      <c r="C1272" s="5" t="str">
        <f t="shared" si="19"/>
        <v>UGCAV012.95_35586</v>
      </c>
      <c r="D1272" t="s">
        <v>2751</v>
      </c>
      <c r="E1272">
        <f>COUNTIF(data.SampSummary!$C$2:$C$958,C1272)</f>
        <v>0</v>
      </c>
    </row>
    <row r="1273" spans="1:5" x14ac:dyDescent="0.25">
      <c r="A1273" t="s">
        <v>2079</v>
      </c>
      <c r="B1273" s="5">
        <v>35585</v>
      </c>
      <c r="C1273" s="5" t="str">
        <f t="shared" si="19"/>
        <v>UGCAV011.45_35585</v>
      </c>
      <c r="D1273" t="s">
        <v>2752</v>
      </c>
      <c r="E1273">
        <f>COUNTIF(data.SampSummary!$C$2:$C$958,C1273)</f>
        <v>0</v>
      </c>
    </row>
    <row r="1274" spans="1:5" x14ac:dyDescent="0.25">
      <c r="A1274" t="s">
        <v>2726</v>
      </c>
      <c r="B1274" s="5">
        <v>35930</v>
      </c>
      <c r="C1274" s="5" t="str">
        <f t="shared" si="19"/>
        <v>UGCAV014.87_35930</v>
      </c>
      <c r="D1274" t="s">
        <v>2753</v>
      </c>
      <c r="E1274">
        <f>COUNTIF(data.SampSummary!$C$2:$C$958,C1274)</f>
        <v>0</v>
      </c>
    </row>
    <row r="1275" spans="1:5" x14ac:dyDescent="0.25">
      <c r="A1275" t="s">
        <v>1577</v>
      </c>
      <c r="B1275" s="5">
        <v>35589</v>
      </c>
      <c r="C1275" s="5" t="str">
        <f t="shared" si="19"/>
        <v>UGSCV002.56_35589</v>
      </c>
      <c r="D1275" t="s">
        <v>2754</v>
      </c>
      <c r="E1275">
        <f>COUNTIF(data.SampSummary!$C$2:$C$958,C1275)</f>
        <v>0</v>
      </c>
    </row>
    <row r="1276" spans="1:5" x14ac:dyDescent="0.25">
      <c r="A1276" t="s">
        <v>2726</v>
      </c>
      <c r="B1276" s="5">
        <v>36089</v>
      </c>
      <c r="C1276" s="5" t="str">
        <f t="shared" si="19"/>
        <v>UGCAV014.87_36089</v>
      </c>
      <c r="D1276" t="s">
        <v>2755</v>
      </c>
      <c r="E1276">
        <f>COUNTIF(data.SampSummary!$C$2:$C$958,C1276)</f>
        <v>0</v>
      </c>
    </row>
    <row r="1277" spans="1:5" x14ac:dyDescent="0.25">
      <c r="A1277" t="s">
        <v>2747</v>
      </c>
      <c r="B1277" s="5">
        <v>36088</v>
      </c>
      <c r="C1277" s="5" t="str">
        <f t="shared" si="19"/>
        <v>UGSCV000.11_36088</v>
      </c>
      <c r="D1277" t="s">
        <v>2756</v>
      </c>
      <c r="E1277">
        <f>COUNTIF(data.SampSummary!$C$2:$C$958,C1277)</f>
        <v>0</v>
      </c>
    </row>
    <row r="1278" spans="1:5" x14ac:dyDescent="0.25">
      <c r="A1278" t="s">
        <v>2757</v>
      </c>
      <c r="B1278" s="5">
        <v>36068</v>
      </c>
      <c r="C1278" s="5" t="str">
        <f t="shared" si="19"/>
        <v>SCCIE022.12_36068</v>
      </c>
      <c r="D1278" t="s">
        <v>2758</v>
      </c>
      <c r="E1278">
        <f>COUNTIF(data.SampSummary!$C$2:$C$958,C1278)</f>
        <v>0</v>
      </c>
    </row>
    <row r="1279" spans="1:5" x14ac:dyDescent="0.25">
      <c r="A1279" t="s">
        <v>2759</v>
      </c>
      <c r="B1279" s="5">
        <v>36067</v>
      </c>
      <c r="C1279" s="5" t="str">
        <f t="shared" si="19"/>
        <v>SCCIE022.98_36067</v>
      </c>
      <c r="D1279" t="s">
        <v>2760</v>
      </c>
      <c r="E1279">
        <f>COUNTIF(data.SampSummary!$C$2:$C$958,C1279)</f>
        <v>0</v>
      </c>
    </row>
    <row r="1280" spans="1:5" x14ac:dyDescent="0.25">
      <c r="A1280" t="s">
        <v>2761</v>
      </c>
      <c r="B1280" s="5">
        <v>36067</v>
      </c>
      <c r="C1280" s="5" t="str">
        <f t="shared" si="19"/>
        <v>SCCIE007.32_36067</v>
      </c>
      <c r="D1280" t="s">
        <v>2762</v>
      </c>
      <c r="E1280">
        <f>COUNTIF(data.SampSummary!$C$2:$C$958,C1280)</f>
        <v>0</v>
      </c>
    </row>
    <row r="1281" spans="1:5" x14ac:dyDescent="0.25">
      <c r="A1281" t="s">
        <v>190</v>
      </c>
      <c r="B1281" s="5">
        <v>41184</v>
      </c>
      <c r="C1281" s="5" t="str">
        <f t="shared" si="19"/>
        <v>MGAFR087.06_41184</v>
      </c>
      <c r="D1281" t="s">
        <v>2763</v>
      </c>
      <c r="E1281">
        <f>COUNTIF(data.SampSummary!$C$2:$C$958,C1281)</f>
        <v>0</v>
      </c>
    </row>
    <row r="1282" spans="1:5" x14ac:dyDescent="0.25">
      <c r="A1282" t="s">
        <v>375</v>
      </c>
      <c r="B1282" s="5">
        <v>41192</v>
      </c>
      <c r="C1282" s="5" t="str">
        <f t="shared" si="19"/>
        <v>SRPNL005.12_41192</v>
      </c>
      <c r="D1282" t="s">
        <v>2764</v>
      </c>
      <c r="E1282">
        <f>COUNTIF(data.SampSummary!$C$2:$C$958,C1282)</f>
        <v>0</v>
      </c>
    </row>
    <row r="1283" spans="1:5" x14ac:dyDescent="0.25">
      <c r="A1283" t="s">
        <v>180</v>
      </c>
      <c r="B1283" s="5">
        <v>41121</v>
      </c>
      <c r="C1283" s="5" t="str">
        <f t="shared" ref="C1283:C1318" si="20">A1283&amp;"_"&amp;B1283</f>
        <v>LCMRS043.17_41121</v>
      </c>
      <c r="D1283" t="s">
        <v>2765</v>
      </c>
      <c r="E1283">
        <f>COUNTIF(data.SampSummary!$C$2:$C$958,C1283)</f>
        <v>0</v>
      </c>
    </row>
    <row r="1284" spans="1:5" x14ac:dyDescent="0.25">
      <c r="A1284" t="s">
        <v>153</v>
      </c>
      <c r="B1284" s="5">
        <v>41122</v>
      </c>
      <c r="C1284" s="5" t="str">
        <f t="shared" si="20"/>
        <v>LCRIG004.87_41122</v>
      </c>
      <c r="D1284" t="s">
        <v>2766</v>
      </c>
      <c r="E1284">
        <f>COUNTIF(data.SampSummary!$C$2:$C$958,C1284)</f>
        <v>0</v>
      </c>
    </row>
    <row r="1285" spans="1:5" x14ac:dyDescent="0.25">
      <c r="A1285" t="s">
        <v>220</v>
      </c>
      <c r="B1285" s="5">
        <v>41192</v>
      </c>
      <c r="C1285" s="5" t="str">
        <f t="shared" si="20"/>
        <v>SRWPN004.47_41192</v>
      </c>
      <c r="D1285" t="s">
        <v>2767</v>
      </c>
      <c r="E1285">
        <f>COUNTIF(data.SampSummary!$C$2:$C$958,C1285)</f>
        <v>0</v>
      </c>
    </row>
    <row r="1286" spans="1:5" x14ac:dyDescent="0.25">
      <c r="A1286" t="s">
        <v>92</v>
      </c>
      <c r="B1286" s="5">
        <v>41121</v>
      </c>
      <c r="C1286" s="5" t="str">
        <f t="shared" si="20"/>
        <v>LCLIL002.16_41121</v>
      </c>
      <c r="D1286" t="s">
        <v>2768</v>
      </c>
      <c r="E1286">
        <f>COUNTIF(data.SampSummary!$C$2:$C$958,C1286)</f>
        <v>0</v>
      </c>
    </row>
    <row r="1287" spans="1:5" x14ac:dyDescent="0.25">
      <c r="A1287" t="s">
        <v>323</v>
      </c>
      <c r="B1287" s="5">
        <v>36277</v>
      </c>
      <c r="C1287" s="5" t="str">
        <f t="shared" si="20"/>
        <v>VRBEV005.46_36277</v>
      </c>
      <c r="D1287" t="s">
        <v>2769</v>
      </c>
      <c r="E1287">
        <f>COUNTIF(data.SampSummary!$C$2:$C$958,C1287)</f>
        <v>1</v>
      </c>
    </row>
    <row r="1288" spans="1:5" x14ac:dyDescent="0.25">
      <c r="A1288" t="s">
        <v>2770</v>
      </c>
      <c r="B1288" s="5">
        <v>38842</v>
      </c>
      <c r="C1288" s="5" t="str">
        <f t="shared" si="20"/>
        <v>SCSCR045.13_38842</v>
      </c>
      <c r="D1288" t="s">
        <v>2771</v>
      </c>
      <c r="E1288">
        <f>COUNTIF(data.SampSummary!$C$2:$C$958,C1288)</f>
        <v>0</v>
      </c>
    </row>
    <row r="1289" spans="1:5" x14ac:dyDescent="0.25">
      <c r="A1289" t="s">
        <v>362</v>
      </c>
      <c r="B1289" s="5">
        <v>38840</v>
      </c>
      <c r="C1289" s="5" t="str">
        <f t="shared" si="20"/>
        <v>SCSCR034.56_38840</v>
      </c>
      <c r="D1289" t="s">
        <v>2772</v>
      </c>
      <c r="E1289">
        <f>COUNTIF(data.SampSummary!$C$2:$C$958,C1289)</f>
        <v>0</v>
      </c>
    </row>
    <row r="1290" spans="1:5" x14ac:dyDescent="0.25">
      <c r="A1290" t="s">
        <v>2773</v>
      </c>
      <c r="B1290" s="5">
        <v>38881</v>
      </c>
      <c r="C1290" s="5" t="str">
        <f t="shared" si="20"/>
        <v>SCSCR111.66_38881</v>
      </c>
      <c r="D1290" t="s">
        <v>2774</v>
      </c>
      <c r="E1290">
        <f>COUNTIF(data.SampSummary!$C$2:$C$958,C1290)</f>
        <v>0</v>
      </c>
    </row>
    <row r="1291" spans="1:5" x14ac:dyDescent="0.25">
      <c r="A1291" t="s">
        <v>2775</v>
      </c>
      <c r="B1291" s="5">
        <v>40674</v>
      </c>
      <c r="C1291" s="5" t="str">
        <f t="shared" si="20"/>
        <v>SCSON018.31_40674</v>
      </c>
      <c r="D1291" t="s">
        <v>2776</v>
      </c>
      <c r="E1291">
        <f>COUNTIF(data.SampSummary!$C$2:$C$958,C1291)</f>
        <v>0</v>
      </c>
    </row>
    <row r="1292" spans="1:5" x14ac:dyDescent="0.25">
      <c r="A1292" t="s">
        <v>1630</v>
      </c>
      <c r="B1292" s="5">
        <v>39981</v>
      </c>
      <c r="C1292" s="5" t="str">
        <f t="shared" si="20"/>
        <v>SPWRC000.09_39981</v>
      </c>
      <c r="D1292" t="s">
        <v>2777</v>
      </c>
      <c r="E1292">
        <f>COUNTIF(data.SampSummary!$C$2:$C$958,C1292)</f>
        <v>0</v>
      </c>
    </row>
    <row r="1293" spans="1:5" x14ac:dyDescent="0.25">
      <c r="A1293" t="s">
        <v>1577</v>
      </c>
      <c r="B1293" s="5">
        <v>38845</v>
      </c>
      <c r="C1293" s="5" t="str">
        <f t="shared" si="20"/>
        <v>UGSCV002.56_38845</v>
      </c>
      <c r="D1293" t="s">
        <v>2778</v>
      </c>
      <c r="E1293">
        <f>COUNTIF(data.SampSummary!$C$2:$C$958,C1293)</f>
        <v>0</v>
      </c>
    </row>
    <row r="1294" spans="1:5" x14ac:dyDescent="0.25">
      <c r="A1294" t="s">
        <v>2747</v>
      </c>
      <c r="B1294" s="5">
        <v>39982</v>
      </c>
      <c r="C1294" s="5" t="str">
        <f t="shared" si="20"/>
        <v>UGSCV000.11_39982</v>
      </c>
      <c r="D1294" t="s">
        <v>2779</v>
      </c>
      <c r="E1294">
        <f>COUNTIF(data.SampSummary!$C$2:$C$958,C1294)</f>
        <v>0</v>
      </c>
    </row>
    <row r="1295" spans="1:5" x14ac:dyDescent="0.25">
      <c r="A1295" t="s">
        <v>257</v>
      </c>
      <c r="B1295" s="5">
        <v>38484</v>
      </c>
      <c r="C1295" s="5" t="str">
        <f t="shared" si="20"/>
        <v>CGDIA000.66_38484</v>
      </c>
      <c r="D1295" t="s">
        <v>2780</v>
      </c>
      <c r="E1295">
        <f>COUNTIF(data.SampSummary!$C$2:$C$958,C1295)</f>
        <v>1</v>
      </c>
    </row>
    <row r="1296" spans="1:5" x14ac:dyDescent="0.25">
      <c r="A1296" t="s">
        <v>2108</v>
      </c>
      <c r="B1296" s="5">
        <v>39982</v>
      </c>
      <c r="C1296" s="5" t="str">
        <f t="shared" si="20"/>
        <v>UGSFR151.22_39982</v>
      </c>
      <c r="D1296" t="s">
        <v>2781</v>
      </c>
      <c r="E1296">
        <f>COUNTIF(data.SampSummary!$C$2:$C$958,C1296)</f>
        <v>0</v>
      </c>
    </row>
    <row r="1297" spans="1:5" x14ac:dyDescent="0.25">
      <c r="A1297" t="s">
        <v>358</v>
      </c>
      <c r="B1297" s="5">
        <v>40133</v>
      </c>
      <c r="C1297" s="5" t="str">
        <f t="shared" si="20"/>
        <v>SRSPI011.63_40133</v>
      </c>
      <c r="D1297" t="s">
        <v>2782</v>
      </c>
      <c r="E1297">
        <f>COUNTIF(data.SampSummary!$C$2:$C$958,C1297)</f>
        <v>0</v>
      </c>
    </row>
    <row r="1298" spans="1:5" x14ac:dyDescent="0.25">
      <c r="A1298" t="s">
        <v>61</v>
      </c>
      <c r="B1298" s="5">
        <v>39392</v>
      </c>
      <c r="C1298" s="5" t="str">
        <f t="shared" si="20"/>
        <v>LCHAL004.59_39392</v>
      </c>
      <c r="D1298" t="s">
        <v>2783</v>
      </c>
      <c r="E1298">
        <f>COUNTIF(data.SampSummary!$C$2:$C$958,C1298)</f>
        <v>0</v>
      </c>
    </row>
    <row r="1299" spans="1:5" x14ac:dyDescent="0.25">
      <c r="A1299" t="s">
        <v>1711</v>
      </c>
      <c r="B1299" s="5">
        <v>40106</v>
      </c>
      <c r="C1299" s="5" t="str">
        <f t="shared" si="20"/>
        <v>MGIDN002.66_40106</v>
      </c>
      <c r="D1299" t="s">
        <v>2784</v>
      </c>
      <c r="E1299">
        <f>COUNTIF(data.SampSummary!$C$2:$C$958,C1299)</f>
        <v>0</v>
      </c>
    </row>
    <row r="1300" spans="1:5" x14ac:dyDescent="0.25">
      <c r="A1300" t="s">
        <v>202</v>
      </c>
      <c r="B1300" s="5">
        <v>40133</v>
      </c>
      <c r="C1300" s="5" t="str">
        <f t="shared" si="20"/>
        <v>SRPNT008.48_40133</v>
      </c>
      <c r="D1300" t="s">
        <v>2785</v>
      </c>
      <c r="E1300">
        <f>COUNTIF(data.SampSummary!$C$2:$C$958,C1300)</f>
        <v>0</v>
      </c>
    </row>
    <row r="1301" spans="1:5" x14ac:dyDescent="0.25">
      <c r="A1301" t="s">
        <v>217</v>
      </c>
      <c r="B1301" s="5">
        <v>37299</v>
      </c>
      <c r="C1301" s="5" t="str">
        <f t="shared" si="20"/>
        <v>SPARA010.19_37299</v>
      </c>
      <c r="D1301" t="s">
        <v>2786</v>
      </c>
      <c r="E1301">
        <f>COUNTIF(data.SampSummary!$C$2:$C$958,C1301)</f>
        <v>0</v>
      </c>
    </row>
    <row r="1302" spans="1:5" x14ac:dyDescent="0.25">
      <c r="A1302" t="s">
        <v>311</v>
      </c>
      <c r="B1302" s="5">
        <v>37315</v>
      </c>
      <c r="C1302" s="5" t="str">
        <f t="shared" si="20"/>
        <v>SPDOU000.18_37315</v>
      </c>
      <c r="D1302" t="s">
        <v>2787</v>
      </c>
      <c r="E1302">
        <f>COUNTIF(data.SampSummary!$C$2:$C$958,C1302)</f>
        <v>0</v>
      </c>
    </row>
    <row r="1303" spans="1:5" x14ac:dyDescent="0.25">
      <c r="A1303" t="s">
        <v>1618</v>
      </c>
      <c r="B1303" s="5">
        <v>40106</v>
      </c>
      <c r="C1303" s="5" t="str">
        <f t="shared" si="20"/>
        <v>VRGRA033.51_40106</v>
      </c>
      <c r="D1303" t="s">
        <v>2788</v>
      </c>
      <c r="E1303">
        <f>COUNTIF(data.SampSummary!$C$2:$C$958,C1303)</f>
        <v>0</v>
      </c>
    </row>
    <row r="1304" spans="1:5" x14ac:dyDescent="0.25">
      <c r="A1304" t="s">
        <v>2789</v>
      </c>
      <c r="B1304" s="5">
        <v>37376</v>
      </c>
      <c r="C1304" s="5" t="str">
        <f t="shared" si="20"/>
        <v>SPBHC007.37_37376</v>
      </c>
      <c r="D1304" t="s">
        <v>2790</v>
      </c>
      <c r="E1304">
        <f>COUNTIF(data.SampSummary!$C$2:$C$958,C1304)</f>
        <v>0</v>
      </c>
    </row>
    <row r="1305" spans="1:5" x14ac:dyDescent="0.25">
      <c r="A1305" t="s">
        <v>290</v>
      </c>
      <c r="B1305" s="5">
        <v>37314</v>
      </c>
      <c r="C1305" s="5" t="str">
        <f t="shared" si="20"/>
        <v>SPHSC010.67_37314</v>
      </c>
      <c r="D1305" t="s">
        <v>2791</v>
      </c>
      <c r="E1305">
        <f>COUNTIF(data.SampSummary!$C$2:$C$958,C1305)</f>
        <v>0</v>
      </c>
    </row>
    <row r="1306" spans="1:5" x14ac:dyDescent="0.25">
      <c r="A1306" t="s">
        <v>297</v>
      </c>
      <c r="B1306" s="5">
        <v>37307</v>
      </c>
      <c r="C1306" s="5" t="str">
        <f t="shared" si="20"/>
        <v>SPSPR059.21_37307</v>
      </c>
      <c r="D1306" t="s">
        <v>2792</v>
      </c>
      <c r="E1306">
        <f>COUNTIF(data.SampSummary!$C$2:$C$958,C1306)</f>
        <v>0</v>
      </c>
    </row>
    <row r="1307" spans="1:5" x14ac:dyDescent="0.25">
      <c r="A1307" t="s">
        <v>2793</v>
      </c>
      <c r="B1307" s="5">
        <v>37300</v>
      </c>
      <c r="C1307" s="5" t="str">
        <f t="shared" si="20"/>
        <v>SPBBR004.55_37300</v>
      </c>
      <c r="D1307" t="s">
        <v>2794</v>
      </c>
      <c r="E1307">
        <f>COUNTIF(data.SampSummary!$C$2:$C$958,C1307)</f>
        <v>0</v>
      </c>
    </row>
    <row r="1308" spans="1:5" x14ac:dyDescent="0.25">
      <c r="A1308" t="s">
        <v>343</v>
      </c>
      <c r="B1308" s="5">
        <v>37327</v>
      </c>
      <c r="C1308" s="5" t="str">
        <f t="shared" si="20"/>
        <v>SPARA019.41_37327</v>
      </c>
      <c r="D1308" t="s">
        <v>2795</v>
      </c>
      <c r="E1308">
        <f>COUNTIF(data.SampSummary!$C$2:$C$958,C1308)</f>
        <v>0</v>
      </c>
    </row>
    <row r="1309" spans="1:5" x14ac:dyDescent="0.25">
      <c r="A1309" t="s">
        <v>125</v>
      </c>
      <c r="B1309" s="5">
        <v>39393</v>
      </c>
      <c r="C1309" s="5" t="str">
        <f t="shared" si="20"/>
        <v>LCSHL026.50_39393</v>
      </c>
      <c r="D1309" t="s">
        <v>2796</v>
      </c>
      <c r="E1309">
        <f>COUNTIF(data.SampSummary!$C$2:$C$958,C1309)</f>
        <v>0</v>
      </c>
    </row>
    <row r="1310" spans="1:5" x14ac:dyDescent="0.25">
      <c r="A1310" t="s">
        <v>292</v>
      </c>
      <c r="B1310" s="5">
        <v>37375</v>
      </c>
      <c r="C1310" s="5" t="str">
        <f t="shared" si="20"/>
        <v>SPSPR005.28_37375</v>
      </c>
      <c r="D1310" t="s">
        <v>2797</v>
      </c>
      <c r="E1310">
        <f>COUNTIF(data.SampSummary!$C$2:$C$958,C1310)</f>
        <v>0</v>
      </c>
    </row>
    <row r="1311" spans="1:5" x14ac:dyDescent="0.25">
      <c r="A1311" t="s">
        <v>104</v>
      </c>
      <c r="B1311" s="5">
        <v>36447</v>
      </c>
      <c r="C1311" s="5" t="str">
        <f t="shared" si="20"/>
        <v>LCWLR000.92_36447</v>
      </c>
      <c r="D1311" t="s">
        <v>2798</v>
      </c>
      <c r="E1311">
        <f>COUNTIF(data.SampSummary!$C$2:$C$958,C1311)</f>
        <v>0</v>
      </c>
    </row>
    <row r="1312" spans="1:5" x14ac:dyDescent="0.25">
      <c r="A1312" t="s">
        <v>180</v>
      </c>
      <c r="B1312" s="5">
        <v>40064</v>
      </c>
      <c r="C1312" s="5" t="str">
        <f t="shared" si="20"/>
        <v>LCMRS043.17_40064</v>
      </c>
      <c r="D1312" t="s">
        <v>2799</v>
      </c>
      <c r="E1312">
        <f>COUNTIF(data.SampSummary!$C$2:$C$958,C1312)</f>
        <v>0</v>
      </c>
    </row>
    <row r="1313" spans="1:5" x14ac:dyDescent="0.25">
      <c r="A1313" t="s">
        <v>183</v>
      </c>
      <c r="B1313" s="5">
        <v>37306</v>
      </c>
      <c r="C1313" s="5" t="str">
        <f t="shared" si="20"/>
        <v>SPSPR126.35_37306</v>
      </c>
      <c r="D1313" t="s">
        <v>2800</v>
      </c>
      <c r="E1313">
        <f>COUNTIF(data.SampSummary!$C$2:$C$958,C1313)</f>
        <v>0</v>
      </c>
    </row>
    <row r="1314" spans="1:5" x14ac:dyDescent="0.25">
      <c r="A1314" t="s">
        <v>220</v>
      </c>
      <c r="B1314" s="5">
        <v>40135</v>
      </c>
      <c r="C1314" s="5" t="str">
        <f t="shared" si="20"/>
        <v>SRWPN004.47_40135</v>
      </c>
      <c r="D1314" t="s">
        <v>2801</v>
      </c>
      <c r="E1314">
        <f>COUNTIF(data.SampSummary!$C$2:$C$958,C1314)</f>
        <v>0</v>
      </c>
    </row>
    <row r="1315" spans="1:5" x14ac:dyDescent="0.25">
      <c r="A1315" t="s">
        <v>222</v>
      </c>
      <c r="B1315" s="5">
        <v>40134</v>
      </c>
      <c r="C1315" s="5" t="str">
        <f t="shared" si="20"/>
        <v>SRCHE013.65_40134</v>
      </c>
      <c r="D1315" t="s">
        <v>2802</v>
      </c>
      <c r="E1315">
        <f>COUNTIF(data.SampSummary!$C$2:$C$958,C1315)</f>
        <v>0</v>
      </c>
    </row>
    <row r="1316" spans="1:5" x14ac:dyDescent="0.25">
      <c r="A1316" t="s">
        <v>1698</v>
      </c>
      <c r="B1316" s="5">
        <v>40107</v>
      </c>
      <c r="C1316" s="5" t="str">
        <f t="shared" si="20"/>
        <v>VRGRA029.97_40107</v>
      </c>
      <c r="D1316" t="s">
        <v>2803</v>
      </c>
      <c r="E1316">
        <f>COUNTIF(data.SampSummary!$C$2:$C$958,C1316)</f>
        <v>0</v>
      </c>
    </row>
    <row r="1317" spans="1:5" x14ac:dyDescent="0.25">
      <c r="A1317" t="s">
        <v>204</v>
      </c>
      <c r="B1317" s="5">
        <v>37312</v>
      </c>
      <c r="C1317" s="5" t="str">
        <f t="shared" si="20"/>
        <v>SPBAS001.64_37312</v>
      </c>
      <c r="D1317" t="s">
        <v>2804</v>
      </c>
      <c r="E1317">
        <f>COUNTIF(data.SampSummary!$C$2:$C$958,C1317)</f>
        <v>0</v>
      </c>
    </row>
    <row r="1318" spans="1:5" x14ac:dyDescent="0.25">
      <c r="A1318" t="s">
        <v>210</v>
      </c>
      <c r="B1318" s="5">
        <v>36283</v>
      </c>
      <c r="C1318" s="5" t="str">
        <f t="shared" si="20"/>
        <v>VRVER107.68_36283</v>
      </c>
      <c r="D1318" t="s">
        <v>2805</v>
      </c>
      <c r="E1318">
        <f>COUNTIF(data.SampSummary!$C$2:$C$958,C1318)</f>
        <v>0</v>
      </c>
    </row>
  </sheetData>
  <autoFilter ref="A1:E13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NOTES</vt:lpstr>
      <vt:lpstr>data.SampSummary</vt:lpstr>
      <vt:lpstr>chem</vt:lpstr>
      <vt:lpstr>Habitat</vt:lpstr>
      <vt:lpstr>FileName</vt:lpstr>
    </vt:vector>
  </TitlesOfParts>
  <Company>Tetra 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Leppo, Erik</dc:creator>
  <cp:lastModifiedBy>Leppo, Erik</cp:lastModifiedBy>
  <dcterms:created xsi:type="dcterms:W3CDTF">2010-12-03T11:39:13Z</dcterms:created>
  <dcterms:modified xsi:type="dcterms:W3CDTF">2018-06-11T18:35:39Z</dcterms:modified>
</cp:coreProperties>
</file>